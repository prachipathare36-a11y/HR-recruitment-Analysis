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tables/table7.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OneDrive\Desktop\Data Analysis\Excel\Dashboards\Recruitment Analytics\"/>
    </mc:Choice>
  </mc:AlternateContent>
  <xr:revisionPtr revIDLastSave="0" documentId="13_ncr:1_{945C3CCE-D36B-40C2-9DEB-640A8B3D8325}" xr6:coauthVersionLast="47" xr6:coauthVersionMax="47" xr10:uidLastSave="{00000000-0000-0000-0000-000000000000}"/>
  <workbookProtection workbookAlgorithmName="SHA-512" workbookHashValue="aM920D6b2m/zb8gXPbA/Rme/PmX7hkiHOH1H7JHf/5pi5/SA4z+CwXe47WbCkbAqSYr3ioeoqr0u3TyMiOXLeA==" workbookSaltValue="qUSvf3gTtGPfYXhUlTLlIw==" workbookSpinCount="100000" lockStructure="1"/>
  <bookViews>
    <workbookView xWindow="-120" yWindow="-120" windowWidth="29040" windowHeight="15720" xr2:uid="{66D055E3-3F70-434E-B831-2FFCDFD03439}"/>
  </bookViews>
  <sheets>
    <sheet name="Dashboard" sheetId="1" r:id="rId1"/>
    <sheet name="Metrics" sheetId="6" state="hidden" r:id="rId2"/>
    <sheet name="Candidate Analyzer" sheetId="7" r:id="rId3"/>
    <sheet name="Data_Model" sheetId="4" state="hidden" r:id="rId4"/>
  </sheets>
  <definedNames>
    <definedName name="_xlchart.v2.0" hidden="1">Metrics!$J$6:$J$9</definedName>
    <definedName name="_xlchart.v2.1" hidden="1">Metrics!$K$5</definedName>
    <definedName name="_xlchart.v2.2" hidden="1">Metrics!$K$6:$K$9</definedName>
    <definedName name="ExternalData_1" localSheetId="3" hidden="1">Data_Model!$B$1:$P$1501</definedName>
    <definedName name="Slicer_Education_Label">#N/A</definedName>
    <definedName name="Slicer_Gender_Label">#N/A</definedName>
    <definedName name="Slicer_Hiring_Status">#N/A</definedName>
    <definedName name="Slicer_Recruitment_Strategy">#N/A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C2" i="4"/>
  <c r="B6" i="7" s="1"/>
  <c r="C3" i="4"/>
  <c r="C40" i="7" s="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M2" i="4"/>
  <c r="B13" i="7" s="1"/>
  <c r="M3" i="4"/>
  <c r="C47" i="7" s="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O2" i="4"/>
  <c r="B14" i="7" s="1"/>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B48" i="7"/>
  <c r="L14" i="7"/>
  <c r="L13" i="7"/>
  <c r="C48" i="7"/>
  <c r="B47" i="7"/>
  <c r="C46" i="7"/>
  <c r="C59" i="7" s="1"/>
  <c r="B46" i="7"/>
  <c r="B59" i="7" s="1"/>
  <c r="C45" i="7"/>
  <c r="C58" i="7" s="1"/>
  <c r="B45" i="7"/>
  <c r="B58" i="7" s="1"/>
  <c r="C43" i="7"/>
  <c r="B43" i="7"/>
  <c r="C42" i="7"/>
  <c r="B42" i="7"/>
  <c r="C41" i="7"/>
  <c r="B41" i="7"/>
  <c r="C44" i="7"/>
  <c r="C57" i="7" s="1"/>
  <c r="C39" i="7"/>
  <c r="B44" i="7"/>
  <c r="B51" i="7" s="1"/>
  <c r="B39" i="7"/>
  <c r="B5" i="7"/>
  <c r="B16" i="7"/>
  <c r="B12" i="7"/>
  <c r="B25" i="7" s="1"/>
  <c r="B11" i="7"/>
  <c r="B24" i="7" s="1"/>
  <c r="B10" i="7"/>
  <c r="B23" i="7" s="1"/>
  <c r="B9" i="7"/>
  <c r="B8" i="7"/>
  <c r="B7" i="7"/>
  <c r="B9" i="6"/>
  <c r="B7" i="6"/>
  <c r="B6" i="6"/>
  <c r="B40" i="7" l="1"/>
  <c r="L4" i="7"/>
  <c r="L5" i="7"/>
  <c r="L6" i="7"/>
  <c r="B57" i="7"/>
  <c r="B49" i="7"/>
  <c r="B50" i="7"/>
  <c r="B52" i="7"/>
  <c r="B53" i="7" s="1"/>
  <c r="B54" i="7"/>
  <c r="C50" i="7"/>
  <c r="C49" i="7"/>
  <c r="C51" i="7"/>
  <c r="B15" i="7"/>
  <c r="B17" i="7"/>
  <c r="B30" i="7" s="1"/>
  <c r="B8" i="6"/>
  <c r="L7" i="7" l="1"/>
  <c r="L8" i="7" s="1"/>
  <c r="L9" i="7" s="1"/>
  <c r="C54" i="7"/>
  <c r="C52" i="7"/>
  <c r="C53" i="7" s="1"/>
  <c r="B19" i="7"/>
  <c r="B20" i="7"/>
  <c r="B1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709AF-EB12-4C0B-95B7-C6554FC0C25B}" keepAlive="1" name="Query - recruitment_data" description="Connection to the 'recruitment_data' query in the workbook." type="5" refreshedVersion="0" background="1">
    <dbPr connection="Provider=Microsoft.Mashup.OleDb.1;Data Source=$Workbook$;Location=recruitment_data;Extended Properties=&quot;&quot;" command="SELECT * FROM [recruitment_data]"/>
  </connection>
  <connection id="2" xr16:uid="{3385DA6A-319D-4437-8632-0501E294C7B2}" keepAlive="1" name="Query - recruitment_data (2)" description="Connection to the 'recruitment_data (2)' query in the workbook." type="5" refreshedVersion="8" background="1" saveData="1">
    <dbPr connection="Provider=Microsoft.Mashup.OleDb.1;Data Source=$Workbook$;Location=&quot;recruitment_data (2)&quot;;Extended Properties=&quot;&quot;" command="SELECT * FROM [recruitment_data (2)]"/>
  </connection>
</connections>
</file>

<file path=xl/sharedStrings.xml><?xml version="1.0" encoding="utf-8"?>
<sst xmlns="http://schemas.openxmlformats.org/spreadsheetml/2006/main" count="233" uniqueCount="103">
  <si>
    <t>Age</t>
  </si>
  <si>
    <t>Gender</t>
  </si>
  <si>
    <t>EducationLevel</t>
  </si>
  <si>
    <t>ExperienceYears</t>
  </si>
  <si>
    <t>PreviousCompanies</t>
  </si>
  <si>
    <t>DistanceFromCompany</t>
  </si>
  <si>
    <t>InterviewScore</t>
  </si>
  <si>
    <t>SkillScore</t>
  </si>
  <si>
    <t>PersonalityScore</t>
  </si>
  <si>
    <t>RecruitmentStrategy</t>
  </si>
  <si>
    <t>HiringDecision</t>
  </si>
  <si>
    <t>Gender Label</t>
  </si>
  <si>
    <t>Education Label</t>
  </si>
  <si>
    <t>Recruitment Strategy</t>
  </si>
  <si>
    <t>Hiring Status</t>
  </si>
  <si>
    <t>Bachelor Type 1</t>
  </si>
  <si>
    <t>Bachelor Type 2</t>
  </si>
  <si>
    <t>Masters</t>
  </si>
  <si>
    <t>PhD</t>
  </si>
  <si>
    <t>Grand Total</t>
  </si>
  <si>
    <t>(All)</t>
  </si>
  <si>
    <t>Hired</t>
  </si>
  <si>
    <t>Rejected</t>
  </si>
  <si>
    <t>Aggressive</t>
  </si>
  <si>
    <t>Conservative</t>
  </si>
  <si>
    <t>Moderate</t>
  </si>
  <si>
    <t>Education Level</t>
  </si>
  <si>
    <t>0-19</t>
  </si>
  <si>
    <t>20-39</t>
  </si>
  <si>
    <t>40-59</t>
  </si>
  <si>
    <t>60-79</t>
  </si>
  <si>
    <t>80-100</t>
  </si>
  <si>
    <t>Interview Scores</t>
  </si>
  <si>
    <t>Experience Range</t>
  </si>
  <si>
    <t>0-2</t>
  </si>
  <si>
    <t>3-5</t>
  </si>
  <si>
    <t>6-8</t>
  </si>
  <si>
    <t>9-11</t>
  </si>
  <si>
    <t>12-15</t>
  </si>
  <si>
    <t>Skill Score</t>
  </si>
  <si>
    <t>0-24</t>
  </si>
  <si>
    <t>25-49</t>
  </si>
  <si>
    <t>50-74</t>
  </si>
  <si>
    <t>75-100</t>
  </si>
  <si>
    <t>Candidates</t>
  </si>
  <si>
    <t>HR RECRUITMENT ANALYTICS</t>
  </si>
  <si>
    <t>(CANDIDATE HIRING DECISION ANALYTICS)</t>
  </si>
  <si>
    <t>KPI</t>
  </si>
  <si>
    <t>Values</t>
  </si>
  <si>
    <t>Total Candidates</t>
  </si>
  <si>
    <t>Total Hired</t>
  </si>
  <si>
    <t>Hiring Rate</t>
  </si>
  <si>
    <t>Average Interview Score</t>
  </si>
  <si>
    <t>KEY Performance Indicators</t>
  </si>
  <si>
    <t>Education based Hiring</t>
  </si>
  <si>
    <t>Strategy based Hiring</t>
  </si>
  <si>
    <t>Interview Scores vs Hiring</t>
  </si>
  <si>
    <t>Experience vs Hiring</t>
  </si>
  <si>
    <t>Skill Score vs Hiring</t>
  </si>
  <si>
    <t>Female</t>
  </si>
  <si>
    <t>Male</t>
  </si>
  <si>
    <t>Slicers</t>
  </si>
  <si>
    <t>Candidate ID</t>
  </si>
  <si>
    <t>Candidate Profile Analyzer</t>
  </si>
  <si>
    <t>Select Candidate</t>
  </si>
  <si>
    <t>Education</t>
  </si>
  <si>
    <t>Experience</t>
  </si>
  <si>
    <t>Previous Companies</t>
  </si>
  <si>
    <t>Interview Score</t>
  </si>
  <si>
    <t>Personality Score</t>
  </si>
  <si>
    <t>Hiring Decision</t>
  </si>
  <si>
    <t>C0001</t>
  </si>
  <si>
    <t>C0002</t>
  </si>
  <si>
    <t>Metrics</t>
  </si>
  <si>
    <t>Score</t>
  </si>
  <si>
    <t>Candidate Score</t>
  </si>
  <si>
    <t>Candidate Evaluation</t>
  </si>
  <si>
    <t>Candidate Rank</t>
  </si>
  <si>
    <t>Candidate Percentile</t>
  </si>
  <si>
    <t>Talent Category</t>
  </si>
  <si>
    <t>Candidate Indicator</t>
  </si>
  <si>
    <t>Candidate Comparison Analyzer</t>
  </si>
  <si>
    <t>Select Candidate A</t>
  </si>
  <si>
    <t>Select Candidate B</t>
  </si>
  <si>
    <t>Parameters</t>
  </si>
  <si>
    <t>Candidate A</t>
  </si>
  <si>
    <t>Candidate B</t>
  </si>
  <si>
    <t>Hiring Probability Calculator</t>
  </si>
  <si>
    <t>Calculated Hiring Score</t>
  </si>
  <si>
    <t>Hiring Probability</t>
  </si>
  <si>
    <t>Hiring Recommendation</t>
  </si>
  <si>
    <t>Candidate Details</t>
  </si>
  <si>
    <t>Stages</t>
  </si>
  <si>
    <t>Count</t>
  </si>
  <si>
    <t>Evaluated</t>
  </si>
  <si>
    <t>Shortlisted</t>
  </si>
  <si>
    <t>Interviewed</t>
  </si>
  <si>
    <t>Recruitment Funnel</t>
  </si>
  <si>
    <t>Candidate Ranking</t>
  </si>
  <si>
    <t>Best Candidate Finder</t>
  </si>
  <si>
    <t>Highest Interview Score</t>
  </si>
  <si>
    <t>Top Candidate ID</t>
  </si>
  <si>
    <t>This is an intellectual property of Thinkfinity Square &amp; Ilakkiya Raja, this is only for portfolio &amp; viewing purpose, reproduction or using for any other purpose without written consent from either party is strictly prohibited.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</si>
</sst>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Arial"/>
      <family val="2"/>
    </font>
    <font>
      <sz val="11"/>
      <name val="Calibri"/>
      <family val="2"/>
      <scheme val="minor"/>
    </font>
    <font>
      <b/>
      <sz val="11"/>
      <name val="Calibri"/>
      <family val="2"/>
      <scheme val="minor"/>
    </font>
    <font>
      <b/>
      <sz val="11"/>
      <color theme="1"/>
      <name val="Arial"/>
      <family val="2"/>
    </font>
    <font>
      <b/>
      <sz val="14"/>
      <color theme="1"/>
      <name val="Arial"/>
      <family val="2"/>
    </font>
    <font>
      <b/>
      <sz val="16"/>
      <color theme="1"/>
      <name val="Arial"/>
      <family val="2"/>
    </font>
    <font>
      <sz val="8"/>
      <name val="Calibri"/>
      <family val="2"/>
      <scheme val="minor"/>
    </font>
    <font>
      <sz val="11"/>
      <color theme="1"/>
      <name val="Arial"/>
      <family val="2"/>
    </font>
    <font>
      <sz val="10"/>
      <color theme="1"/>
      <name val="Arial"/>
      <family val="2"/>
    </font>
    <font>
      <sz val="11"/>
      <color indexed="8"/>
      <name val="Calibri"/>
      <family val="2"/>
      <scheme val="minor"/>
    </font>
    <font>
      <b/>
      <i/>
      <sz val="11"/>
      <color theme="1"/>
      <name val="Calibri"/>
      <family val="2"/>
      <scheme val="minor"/>
    </font>
    <font>
      <b/>
      <sz val="11"/>
      <color rgb="FF000000"/>
      <name val="Arial Black"/>
      <family val="2"/>
    </font>
    <font>
      <b/>
      <sz val="14"/>
      <color rgb="FF000000"/>
      <name val="Arial"/>
      <family val="2"/>
    </font>
  </fonts>
  <fills count="4">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100">
    <xf numFmtId="0" fontId="0" fillId="0" borderId="0" xfId="0"/>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0" xfId="0" pivotButton="1"/>
    <xf numFmtId="0" fontId="0" fillId="0" borderId="0" xfId="0" applyAlignment="1">
      <alignment horizontal="left"/>
    </xf>
    <xf numFmtId="9" fontId="0" fillId="0" borderId="6" xfId="1" applyFont="1" applyBorder="1"/>
    <xf numFmtId="49" fontId="0" fillId="0" borderId="2" xfId="0" applyNumberFormat="1" applyBorder="1"/>
    <xf numFmtId="49" fontId="0" fillId="0" borderId="4" xfId="0" applyNumberFormat="1" applyBorder="1"/>
    <xf numFmtId="3" fontId="0" fillId="0" borderId="6" xfId="0" applyNumberFormat="1" applyBorder="1"/>
    <xf numFmtId="4" fontId="0" fillId="0" borderId="9" xfId="0" applyNumberFormat="1" applyBorder="1"/>
    <xf numFmtId="0" fontId="0" fillId="0" borderId="0" xfId="0" applyAlignment="1">
      <alignment vertical="top"/>
    </xf>
    <xf numFmtId="0" fontId="4" fillId="0" borderId="1" xfId="0" pivotButton="1" applyFont="1" applyBorder="1" applyAlignment="1">
      <alignment horizontal="center"/>
    </xf>
    <xf numFmtId="0" fontId="4" fillId="0" borderId="1" xfId="0" applyFont="1" applyBorder="1" applyAlignment="1">
      <alignment horizontal="center"/>
    </xf>
    <xf numFmtId="49" fontId="0" fillId="0" borderId="0" xfId="0" applyNumberFormat="1"/>
    <xf numFmtId="4" fontId="0" fillId="0" borderId="0" xfId="0" applyNumberFormat="1"/>
    <xf numFmtId="0" fontId="4" fillId="0" borderId="1" xfId="0" pivotButton="1" applyFont="1" applyBorder="1"/>
    <xf numFmtId="0" fontId="4" fillId="0" borderId="1" xfId="0" applyFont="1" applyBorder="1"/>
    <xf numFmtId="0" fontId="4" fillId="0" borderId="1" xfId="0" applyFont="1" applyBorder="1"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49" fontId="2" fillId="0" borderId="5" xfId="0" applyNumberFormat="1" applyFont="1" applyBorder="1"/>
    <xf numFmtId="49" fontId="2" fillId="0" borderId="7" xfId="0" applyNumberFormat="1" applyFont="1" applyBorder="1"/>
    <xf numFmtId="0" fontId="0" fillId="0" borderId="1" xfId="0" applyBorder="1" applyAlignment="1">
      <alignment horizontal="left" vertical="top"/>
    </xf>
    <xf numFmtId="0" fontId="7" fillId="0" borderId="0" xfId="0" applyFont="1" applyAlignment="1">
      <alignment horizontal="center"/>
    </xf>
    <xf numFmtId="0" fontId="10" fillId="0" borderId="0" xfId="0" applyFont="1"/>
    <xf numFmtId="0" fontId="6" fillId="3" borderId="0" xfId="0" applyFont="1" applyFill="1"/>
    <xf numFmtId="0" fontId="10" fillId="0" borderId="0" xfId="0" applyFont="1" applyAlignment="1">
      <alignment horizontal="left"/>
    </xf>
    <xf numFmtId="0" fontId="10" fillId="0" borderId="1" xfId="0" applyFont="1" applyBorder="1"/>
    <xf numFmtId="0" fontId="10" fillId="0" borderId="1" xfId="0" applyFont="1" applyBorder="1" applyAlignment="1">
      <alignment horizontal="left"/>
    </xf>
    <xf numFmtId="0" fontId="10" fillId="2" borderId="2" xfId="0" applyFont="1" applyFill="1" applyBorder="1" applyAlignment="1">
      <alignment horizontal="center" vertical="center"/>
    </xf>
    <xf numFmtId="0" fontId="10" fillId="2" borderId="4" xfId="0" applyFont="1" applyFill="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center" vertical="center"/>
    </xf>
    <xf numFmtId="0" fontId="10" fillId="0" borderId="16" xfId="0" applyFont="1" applyBorder="1" applyAlignment="1">
      <alignment horizontal="left"/>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11" fillId="0" borderId="1" xfId="0" applyFont="1" applyBorder="1" applyAlignment="1">
      <alignment horizontal="left" vertical="center"/>
    </xf>
    <xf numFmtId="0" fontId="11" fillId="0" borderId="0" xfId="0" applyFont="1" applyAlignment="1">
      <alignment horizontal="left" vertical="center"/>
    </xf>
    <xf numFmtId="0" fontId="6" fillId="0" borderId="0" xfId="0" applyFont="1"/>
    <xf numFmtId="0" fontId="10" fillId="0" borderId="1" xfId="0" applyFont="1" applyBorder="1" applyAlignment="1">
      <alignment horizontal="left" vertical="top"/>
    </xf>
    <xf numFmtId="0" fontId="10" fillId="0" borderId="0" xfId="0" applyFont="1" applyAlignment="1">
      <alignment horizontal="left" vertical="top"/>
    </xf>
    <xf numFmtId="9" fontId="10" fillId="0" borderId="1" xfId="1" applyFont="1" applyBorder="1" applyAlignment="1">
      <alignment horizontal="left" vertical="top"/>
    </xf>
    <xf numFmtId="9" fontId="10" fillId="0" borderId="0" xfId="1" applyFont="1" applyBorder="1" applyAlignment="1">
      <alignment horizontal="left" vertical="top"/>
    </xf>
    <xf numFmtId="0" fontId="8" fillId="0" borderId="0" xfId="0" applyFont="1" applyAlignment="1">
      <alignment horizontal="center" vertical="center"/>
    </xf>
    <xf numFmtId="0" fontId="6" fillId="3" borderId="1" xfId="0" applyFont="1" applyFill="1" applyBorder="1"/>
    <xf numFmtId="0" fontId="6" fillId="2" borderId="2" xfId="0" applyFont="1" applyFill="1" applyBorder="1" applyAlignment="1">
      <alignment horizontal="left"/>
    </xf>
    <xf numFmtId="0" fontId="6" fillId="2" borderId="3" xfId="0" applyFont="1" applyFill="1" applyBorder="1" applyAlignment="1">
      <alignment horizontal="left"/>
    </xf>
    <xf numFmtId="0" fontId="6" fillId="2" borderId="4" xfId="0" applyFont="1" applyFill="1" applyBorder="1" applyAlignment="1">
      <alignment horizontal="left"/>
    </xf>
    <xf numFmtId="0" fontId="10" fillId="2" borderId="3" xfId="0" applyFont="1" applyFill="1" applyBorder="1" applyAlignment="1">
      <alignment horizontal="center" vertical="center"/>
    </xf>
    <xf numFmtId="0" fontId="10" fillId="0" borderId="5" xfId="0" applyFont="1" applyBorder="1" applyAlignment="1">
      <alignment horizontal="left"/>
    </xf>
    <xf numFmtId="0" fontId="10" fillId="0" borderId="6" xfId="0" applyFont="1" applyBorder="1" applyAlignment="1">
      <alignment horizontal="left"/>
    </xf>
    <xf numFmtId="0" fontId="10" fillId="0" borderId="4" xfId="0" applyFont="1" applyBorder="1" applyAlignment="1">
      <alignment horizontal="center" vertical="center"/>
    </xf>
    <xf numFmtId="9" fontId="10" fillId="0" borderId="1" xfId="1" applyFont="1" applyBorder="1" applyAlignment="1">
      <alignment horizontal="left"/>
    </xf>
    <xf numFmtId="9" fontId="10" fillId="0" borderId="6" xfId="1" applyFont="1" applyBorder="1" applyAlignment="1">
      <alignment horizontal="left"/>
    </xf>
    <xf numFmtId="0" fontId="10" fillId="0" borderId="7" xfId="0" applyFont="1" applyBorder="1" applyAlignment="1">
      <alignment horizontal="left"/>
    </xf>
    <xf numFmtId="0" fontId="10" fillId="0" borderId="8" xfId="0" applyFont="1" applyBorder="1" applyAlignment="1">
      <alignment horizontal="left"/>
    </xf>
    <xf numFmtId="0" fontId="10" fillId="0" borderId="9" xfId="0" applyFont="1" applyBorder="1" applyAlignment="1">
      <alignment horizontal="left"/>
    </xf>
    <xf numFmtId="0" fontId="0" fillId="0" borderId="1" xfId="0" applyBorder="1" applyAlignment="1">
      <alignment horizontal="left" vertical="top" wrapText="1"/>
    </xf>
    <xf numFmtId="9" fontId="0" fillId="0" borderId="1" xfId="1" applyFont="1" applyBorder="1" applyAlignment="1">
      <alignment horizontal="left" vertical="top" wrapText="1"/>
    </xf>
    <xf numFmtId="0" fontId="0" fillId="0" borderId="5" xfId="0" applyBorder="1" applyAlignment="1">
      <alignment horizontal="left" vertical="top"/>
    </xf>
    <xf numFmtId="0" fontId="0" fillId="0" borderId="6" xfId="0"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0" fillId="0" borderId="7" xfId="0" applyBorder="1" applyAlignment="1">
      <alignment horizontal="left" vertical="top"/>
    </xf>
    <xf numFmtId="0" fontId="0" fillId="0" borderId="9" xfId="0" applyBorder="1" applyAlignment="1">
      <alignment horizontal="left" vertical="top"/>
    </xf>
    <xf numFmtId="0" fontId="10" fillId="0" borderId="5" xfId="0" applyFont="1" applyBorder="1" applyAlignment="1">
      <alignment horizontal="left" vertical="top"/>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9" xfId="0" applyFont="1" applyBorder="1" applyAlignment="1">
      <alignment horizontal="left" vertical="top"/>
    </xf>
    <xf numFmtId="0" fontId="6" fillId="2" borderId="2" xfId="0" applyFont="1" applyFill="1" applyBorder="1" applyAlignment="1">
      <alignment horizontal="left" vertical="top"/>
    </xf>
    <xf numFmtId="0" fontId="6" fillId="2" borderId="4" xfId="0" applyFont="1" applyFill="1" applyBorder="1" applyAlignment="1">
      <alignment horizontal="left" vertical="top"/>
    </xf>
    <xf numFmtId="0" fontId="10" fillId="0" borderId="0" xfId="0" applyFont="1" applyAlignment="1">
      <alignment horizontal="center" vertical="center"/>
    </xf>
    <xf numFmtId="0" fontId="10" fillId="2" borderId="1" xfId="0" applyFont="1" applyFill="1" applyBorder="1" applyAlignment="1">
      <alignment horizontal="left" vertical="top"/>
    </xf>
    <xf numFmtId="0" fontId="12" fillId="0" borderId="0" xfId="0" applyFont="1"/>
    <xf numFmtId="0" fontId="13" fillId="0" borderId="0" xfId="0" applyFont="1" applyAlignment="1">
      <alignment horizontal="left" vertical="top"/>
    </xf>
    <xf numFmtId="0" fontId="0" fillId="0" borderId="0" xfId="0" applyAlignment="1">
      <alignment horizontal="left" vertical="top"/>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3" fillId="2" borderId="10"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5"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7" xfId="0" applyFont="1" applyFill="1" applyBorder="1" applyAlignment="1">
      <alignment horizontal="center"/>
    </xf>
    <xf numFmtId="0" fontId="7" fillId="2" borderId="18" xfId="0" applyFont="1" applyFill="1" applyBorder="1" applyAlignment="1">
      <alignment horizontal="center"/>
    </xf>
    <xf numFmtId="0" fontId="8" fillId="2" borderId="0" xfId="0" applyFont="1" applyFill="1" applyAlignment="1">
      <alignment horizontal="center" vertical="center"/>
    </xf>
    <xf numFmtId="0" fontId="7" fillId="2" borderId="0" xfId="0" applyFont="1" applyFill="1" applyAlignment="1">
      <alignment horizontal="center" vertical="center"/>
    </xf>
    <xf numFmtId="0" fontId="7" fillId="2" borderId="1" xfId="0" applyFont="1" applyFill="1" applyBorder="1" applyAlignment="1">
      <alignment horizontal="center" vertical="top"/>
    </xf>
    <xf numFmtId="0" fontId="6" fillId="2" borderId="1" xfId="0" applyFont="1" applyFill="1" applyBorder="1" applyAlignment="1">
      <alignment horizontal="center" vertical="top"/>
    </xf>
  </cellXfs>
  <cellStyles count="2">
    <cellStyle name="Normal" xfId="0" builtinId="0"/>
    <cellStyle name="Percent" xfId="1" builtinId="5"/>
  </cellStyles>
  <dxfs count="142">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rial"/>
        <family val="2"/>
        <scheme val="none"/>
      </font>
      <fill>
        <patternFill patternType="solid">
          <fgColor indexed="64"/>
          <bgColor theme="9" tint="0.79998168889431442"/>
        </patternFill>
      </fill>
      <alignment horizontal="left" vertical="top"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Arial"/>
        <family val="2"/>
        <scheme val="none"/>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u val="none"/>
        <vertAlign val="baseline"/>
        <color theme="1"/>
        <name val="Arial"/>
        <family val="2"/>
        <scheme val="none"/>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u val="none"/>
        <vertAlign val="baseline"/>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Arial"/>
        <family val="2"/>
        <scheme val="none"/>
      </font>
    </dxf>
    <dxf>
      <border outline="0">
        <bottom style="thin">
          <color indexed="64"/>
        </bottom>
      </border>
    </dxf>
    <dxf>
      <font>
        <strike val="0"/>
        <outline val="0"/>
        <shadow val="0"/>
        <u val="none"/>
        <vertAlign val="baseline"/>
        <color theme="1"/>
        <name val="Arial"/>
        <family val="2"/>
        <scheme val="none"/>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Arial"/>
        <family val="2"/>
        <scheme val="none"/>
      </font>
      <numFmt numFmtId="0" formatCode="General"/>
      <alignment horizontal="left"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theme="1"/>
        <name val="Arial"/>
        <family val="2"/>
        <scheme val="none"/>
      </font>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theme="1"/>
        <name val="Arial"/>
        <family val="2"/>
        <scheme val="none"/>
      </font>
      <fill>
        <patternFill patternType="none">
          <fgColor indexed="64"/>
          <bgColor indexed="65"/>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Arial"/>
        <family val="2"/>
        <scheme val="none"/>
      </font>
    </dxf>
    <dxf>
      <border outline="0">
        <bottom style="thin">
          <color indexed="64"/>
        </bottom>
      </border>
    </dxf>
    <dxf>
      <font>
        <b/>
        <strike val="0"/>
        <outline val="0"/>
        <shadow val="0"/>
        <u val="none"/>
        <vertAlign val="baseline"/>
        <color theme="1"/>
        <name val="Arial"/>
        <family val="2"/>
        <scheme val="none"/>
      </font>
      <fill>
        <patternFill patternType="solid">
          <fgColor indexed="64"/>
          <bgColor theme="9" tint="0.79998168889431442"/>
        </patternFill>
      </fill>
    </dxf>
    <dxf>
      <font>
        <strike val="0"/>
        <outline val="0"/>
        <shadow val="0"/>
        <u val="none"/>
        <vertAlign val="baseline"/>
        <color theme="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Arial"/>
        <family val="2"/>
        <scheme val="none"/>
      </font>
    </dxf>
    <dxf>
      <border outline="0">
        <bottom style="thin">
          <color indexed="64"/>
        </bottom>
      </border>
    </dxf>
    <dxf>
      <font>
        <strike val="0"/>
        <outline val="0"/>
        <shadow val="0"/>
        <u val="none"/>
        <vertAlign val="baseline"/>
        <color theme="1"/>
        <name val="Arial"/>
        <family val="2"/>
        <scheme val="none"/>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lor auto="1"/>
      </font>
      <fill>
        <patternFill>
          <bgColor theme="9" tint="0.59996337778862885"/>
        </patternFill>
      </fill>
    </dxf>
    <dxf>
      <font>
        <b/>
        <i val="0"/>
        <strike val="0"/>
        <color auto="1"/>
      </font>
      <fill>
        <patternFill>
          <bgColor theme="0" tint="-0.24994659260841701"/>
        </patternFill>
      </fill>
    </dxf>
    <dxf>
      <font>
        <b/>
        <i val="0"/>
      </font>
      <fill>
        <patternFill>
          <bgColor theme="0" tint="-0.24994659260841701"/>
        </patternFill>
      </fill>
    </dxf>
    <dxf>
      <font>
        <color rgb="FF006100"/>
      </font>
      <fill>
        <patternFill>
          <bgColor rgb="FFC6EFCE"/>
        </patternFill>
      </fill>
    </dxf>
    <dxf>
      <font>
        <b/>
        <i val="0"/>
        <strike val="0"/>
        <color auto="1"/>
      </font>
      <fill>
        <patternFill>
          <bgColor theme="9" tint="0.59996337778862885"/>
        </patternFill>
      </fill>
    </dxf>
    <dxf>
      <font>
        <b/>
        <i val="0"/>
        <strike val="0"/>
        <color auto="1"/>
      </font>
      <fill>
        <patternFill>
          <bgColor theme="0" tint="-0.24994659260841701"/>
        </patternFill>
      </fill>
    </dxf>
    <dxf>
      <font>
        <b/>
        <i val="0"/>
      </font>
      <fill>
        <patternFill>
          <bgColor theme="0" tint="-0.24994659260841701"/>
        </patternFill>
      </fill>
    </dxf>
    <dxf>
      <font>
        <color rgb="FF006100"/>
      </font>
      <fill>
        <patternFill>
          <bgColor rgb="FFC6EFCE"/>
        </patternFill>
      </fill>
    </dxf>
    <dxf>
      <alignment horizontal="left" vertical="top"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bottom/>
      </border>
    </dxf>
    <dxf>
      <numFmt numFmtId="0" formatCode="General"/>
      <border diagonalUp="0" diagonalDown="0" outline="0">
        <left/>
        <right/>
        <top style="thin">
          <color indexed="64"/>
        </top>
        <bottom style="thin">
          <color indexed="64"/>
        </bottom>
      </border>
    </dxf>
    <dxf>
      <font>
        <b/>
      </font>
      <numFmt numFmtId="30" formatCode="@"/>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ont>
        <color auto="1"/>
      </font>
    </dxf>
    <dxf>
      <font>
        <color auto="1"/>
      </font>
    </dxf>
    <dxf>
      <font>
        <color auto="1"/>
      </font>
    </dxf>
    <dxf>
      <font>
        <color auto="1"/>
      </font>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ont>
        <color auto="1"/>
      </font>
    </dxf>
    <dxf>
      <font>
        <color auto="1"/>
      </font>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ont>
        <color auto="1"/>
      </font>
    </dxf>
    <dxf>
      <font>
        <color auto="1"/>
      </font>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val="0"/>
      </font>
    </dxf>
    <dxf>
      <font>
        <b val="0"/>
      </font>
    </dxf>
    <dxf>
      <font>
        <b val="0"/>
      </font>
    </dxf>
    <dxf>
      <font>
        <b val="0"/>
      </font>
    </dxf>
    <dxf>
      <font>
        <b val="0"/>
      </font>
    </dxf>
    <dxf>
      <font>
        <color auto="1"/>
      </font>
    </dxf>
    <dxf>
      <font>
        <color auto="1"/>
      </font>
    </dxf>
    <dxf>
      <font>
        <color auto="1"/>
      </font>
    </dxf>
    <dxf>
      <font>
        <color auto="1"/>
      </font>
    </dxf>
    <dxf>
      <font>
        <color auto="1"/>
      </font>
    </dxf>
    <dxf>
      <font>
        <color auto="1"/>
      </font>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ont>
        <color auto="1"/>
      </font>
    </dxf>
    <dxf>
      <font>
        <color auto="1"/>
      </font>
    </dxf>
    <dxf>
      <font>
        <color auto="1"/>
      </font>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effectLst/>
              </a:rPr>
              <a:t>Strategy based Hiring</a:t>
            </a:r>
            <a:r>
              <a:rPr lang="en-IN" sz="1400" b="0"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tint val="65000"/>
            </a:schemeClr>
          </a:solidFill>
          <a:ln w="19050">
            <a:solidFill>
              <a:schemeClr val="lt1"/>
            </a:solidFill>
          </a:ln>
          <a:effectLst/>
        </c:spPr>
        <c:dLbl>
          <c:idx val="0"/>
          <c:layout>
            <c:manualLayout>
              <c:x val="9.4444444444444442E-2"/>
              <c:y val="-2.777777777777781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33333333333333"/>
                  <c:h val="9.2523330417031202E-2"/>
                </c:manualLayout>
              </c15:layout>
            </c:ext>
          </c:extLst>
        </c:dLbl>
      </c:pivotFmt>
      <c:pivotFmt>
        <c:idx val="2"/>
        <c:spPr>
          <a:solidFill>
            <a:schemeClr val="accent6"/>
          </a:solidFill>
          <a:ln w="19050">
            <a:solidFill>
              <a:schemeClr val="lt1"/>
            </a:solidFill>
          </a:ln>
          <a:effectLst/>
        </c:spPr>
        <c:dLbl>
          <c:idx val="0"/>
          <c:layout>
            <c:manualLayout>
              <c:x val="9.8611111111111108E-2"/>
              <c:y val="7.175925925925924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855555555555555"/>
                  <c:h val="0.10641221930592007"/>
                </c:manualLayout>
              </c15:layout>
            </c:ext>
          </c:extLst>
        </c:dLbl>
      </c:pivotFmt>
      <c:pivotFmt>
        <c:idx val="3"/>
        <c:spPr>
          <a:solidFill>
            <a:schemeClr val="accent6">
              <a:shade val="65000"/>
            </a:schemeClr>
          </a:solidFill>
          <a:ln w="19050">
            <a:solidFill>
              <a:schemeClr val="lt1"/>
            </a:solidFill>
          </a:ln>
          <a:effectLst/>
        </c:spPr>
        <c:dLbl>
          <c:idx val="0"/>
          <c:layout>
            <c:manualLayout>
              <c:x val="-6.9444444444444461E-2"/>
              <c:y val="-6.944444444444454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999999999999995E-2"/>
                  <c:h val="0.10641221930592007"/>
                </c:manualLayout>
              </c15:layout>
            </c:ext>
          </c:extLst>
        </c:dLbl>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tint val="65000"/>
            </a:schemeClr>
          </a:solidFill>
          <a:ln w="19050">
            <a:solidFill>
              <a:schemeClr val="lt1"/>
            </a:solidFill>
          </a:ln>
          <a:effectLst/>
        </c:spPr>
        <c:dLbl>
          <c:idx val="0"/>
          <c:layout>
            <c:manualLayout>
              <c:x val="9.4444444444444442E-2"/>
              <c:y val="-2.777777777777781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33333333333333"/>
                  <c:h val="9.2523330417031202E-2"/>
                </c:manualLayout>
              </c15:layout>
            </c:ext>
          </c:extLst>
        </c:dLbl>
      </c:pivotFmt>
      <c:pivotFmt>
        <c:idx val="6"/>
        <c:spPr>
          <a:solidFill>
            <a:schemeClr val="accent6"/>
          </a:solidFill>
          <a:ln w="19050">
            <a:solidFill>
              <a:schemeClr val="lt1"/>
            </a:solidFill>
          </a:ln>
          <a:effectLst/>
        </c:spPr>
        <c:dLbl>
          <c:idx val="0"/>
          <c:layout>
            <c:manualLayout>
              <c:x val="9.8611111111111108E-2"/>
              <c:y val="7.175925925925924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855555555555555"/>
                  <c:h val="0.10641221930592007"/>
                </c:manualLayout>
              </c15:layout>
            </c:ext>
          </c:extLst>
        </c:dLbl>
      </c:pivotFmt>
      <c:pivotFmt>
        <c:idx val="7"/>
        <c:spPr>
          <a:solidFill>
            <a:schemeClr val="accent6">
              <a:shade val="65000"/>
            </a:schemeClr>
          </a:solidFill>
          <a:ln w="19050">
            <a:solidFill>
              <a:schemeClr val="lt1"/>
            </a:solidFill>
          </a:ln>
          <a:effectLst/>
        </c:spPr>
        <c:dLbl>
          <c:idx val="0"/>
          <c:layout>
            <c:manualLayout>
              <c:x val="-6.9444444444444461E-2"/>
              <c:y val="-6.944444444444454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999999999999995E-2"/>
                  <c:h val="0.10641221930592007"/>
                </c:manualLayout>
              </c15:layout>
            </c:ext>
          </c:extLst>
        </c:dLbl>
      </c:pivotFmt>
      <c:pivotFmt>
        <c:idx val="8"/>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tint val="65000"/>
            </a:schemeClr>
          </a:solidFill>
          <a:ln w="19050">
            <a:solidFill>
              <a:schemeClr val="lt1"/>
            </a:solidFill>
          </a:ln>
          <a:effectLst/>
        </c:spPr>
        <c:dLbl>
          <c:idx val="0"/>
          <c:layout>
            <c:manualLayout>
              <c:x val="9.4444444444444442E-2"/>
              <c:y val="-2.777777777777781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33333333333333"/>
                  <c:h val="9.2523330417031202E-2"/>
                </c:manualLayout>
              </c15:layout>
            </c:ext>
          </c:extLst>
        </c:dLbl>
      </c:pivotFmt>
      <c:pivotFmt>
        <c:idx val="10"/>
        <c:spPr>
          <a:solidFill>
            <a:schemeClr val="accent6"/>
          </a:solidFill>
          <a:ln w="19050">
            <a:solidFill>
              <a:schemeClr val="lt1"/>
            </a:solidFill>
          </a:ln>
          <a:effectLst/>
        </c:spPr>
        <c:dLbl>
          <c:idx val="0"/>
          <c:layout>
            <c:manualLayout>
              <c:x val="9.8611111111111108E-2"/>
              <c:y val="7.175925925925924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855555555555555"/>
                  <c:h val="0.10641221930592007"/>
                </c:manualLayout>
              </c15:layout>
            </c:ext>
          </c:extLst>
        </c:dLbl>
      </c:pivotFmt>
      <c:pivotFmt>
        <c:idx val="11"/>
        <c:spPr>
          <a:solidFill>
            <a:schemeClr val="accent6">
              <a:shade val="65000"/>
            </a:schemeClr>
          </a:solidFill>
          <a:ln w="19050">
            <a:solidFill>
              <a:schemeClr val="lt1"/>
            </a:solidFill>
          </a:ln>
          <a:effectLst/>
        </c:spPr>
        <c:dLbl>
          <c:idx val="0"/>
          <c:layout>
            <c:manualLayout>
              <c:x val="-6.9444444444444461E-2"/>
              <c:y val="-6.944444444444454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999999999999995E-2"/>
                  <c:h val="0.10641221930592007"/>
                </c:manualLayout>
              </c15:layout>
            </c:ext>
          </c:extLst>
        </c:dLbl>
      </c:pivotFmt>
    </c:pivotFmts>
    <c:plotArea>
      <c:layout/>
      <c:doughnutChart>
        <c:varyColors val="1"/>
        <c:ser>
          <c:idx val="0"/>
          <c:order val="0"/>
          <c:tx>
            <c:v>Total</c:v>
          </c:tx>
          <c:dPt>
            <c:idx val="0"/>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1-2AFD-4E0B-8984-163CEBE982B0}"/>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2AFD-4E0B-8984-163CEBE982B0}"/>
              </c:ext>
            </c:extLst>
          </c:dPt>
          <c:dPt>
            <c:idx val="2"/>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5-2AFD-4E0B-8984-163CEBE982B0}"/>
              </c:ext>
            </c:extLst>
          </c:dPt>
          <c:dLbls>
            <c:dLbl>
              <c:idx val="0"/>
              <c:layout>
                <c:manualLayout>
                  <c:x val="9.4444444444444442E-2"/>
                  <c:y val="-2.777777777777781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33333333333333"/>
                      <c:h val="9.2523330417031202E-2"/>
                    </c:manualLayout>
                  </c15:layout>
                </c:ext>
                <c:ext xmlns:c16="http://schemas.microsoft.com/office/drawing/2014/chart" uri="{C3380CC4-5D6E-409C-BE32-E72D297353CC}">
                  <c16:uniqueId val="{00000001-2AFD-4E0B-8984-163CEBE982B0}"/>
                </c:ext>
              </c:extLst>
            </c:dLbl>
            <c:dLbl>
              <c:idx val="1"/>
              <c:layout>
                <c:manualLayout>
                  <c:x val="9.8611111111111108E-2"/>
                  <c:y val="7.175925925925924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855555555555555"/>
                      <c:h val="0.10641221930592007"/>
                    </c:manualLayout>
                  </c15:layout>
                </c:ext>
                <c:ext xmlns:c16="http://schemas.microsoft.com/office/drawing/2014/chart" uri="{C3380CC4-5D6E-409C-BE32-E72D297353CC}">
                  <c16:uniqueId val="{00000003-2AFD-4E0B-8984-163CEBE982B0}"/>
                </c:ext>
              </c:extLst>
            </c:dLbl>
            <c:dLbl>
              <c:idx val="2"/>
              <c:layout>
                <c:manualLayout>
                  <c:x val="-6.9444444444444461E-2"/>
                  <c:y val="-6.944444444444454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999999999999995E-2"/>
                      <c:h val="0.10641221930592007"/>
                    </c:manualLayout>
                  </c15:layout>
                </c:ext>
                <c:ext xmlns:c16="http://schemas.microsoft.com/office/drawing/2014/chart" uri="{C3380CC4-5D6E-409C-BE32-E72D297353CC}">
                  <c16:uniqueId val="{00000005-2AFD-4E0B-8984-163CEBE982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Aggressive</c:v>
              </c:pt>
              <c:pt idx="1">
                <c:v>Conservative</c:v>
              </c:pt>
              <c:pt idx="2">
                <c:v>Moderate</c:v>
              </c:pt>
            </c:strLit>
          </c:cat>
          <c:val>
            <c:numLit>
              <c:formatCode>General</c:formatCode>
              <c:ptCount val="3"/>
              <c:pt idx="0">
                <c:v>445</c:v>
              </c:pt>
              <c:pt idx="1">
                <c:v>285</c:v>
              </c:pt>
              <c:pt idx="2">
                <c:v>770</c:v>
              </c:pt>
            </c:numLit>
          </c:val>
          <c:extLst>
            <c:ext xmlns:c16="http://schemas.microsoft.com/office/drawing/2014/chart" uri="{C3380CC4-5D6E-409C-BE32-E72D297353CC}">
              <c16:uniqueId val="{00000006-2AFD-4E0B-8984-163CEBE982B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Experience</a:t>
            </a:r>
            <a:r>
              <a:rPr lang="en-US" b="1" baseline="0"/>
              <a:t> vs Hiring</a:t>
            </a:r>
            <a:endParaRPr lang="en-US" b="1"/>
          </a:p>
        </c:rich>
      </c:tx>
      <c:layout>
        <c:manualLayout>
          <c:xMode val="edge"/>
          <c:yMode val="edge"/>
          <c:x val="0.33531933508311468"/>
          <c:y val="8.238553514144066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Lit>
              <c:ptCount val="5"/>
              <c:pt idx="0">
                <c:v>0-2</c:v>
              </c:pt>
              <c:pt idx="1">
                <c:v>3-5</c:v>
              </c:pt>
              <c:pt idx="2">
                <c:v>6-8</c:v>
              </c:pt>
              <c:pt idx="3">
                <c:v>9-11</c:v>
              </c:pt>
              <c:pt idx="4">
                <c:v>12-15</c:v>
              </c:pt>
            </c:strLit>
          </c:cat>
          <c:val>
            <c:numLit>
              <c:formatCode>General</c:formatCode>
              <c:ptCount val="5"/>
              <c:pt idx="0">
                <c:v>270</c:v>
              </c:pt>
              <c:pt idx="1">
                <c:v>270</c:v>
              </c:pt>
              <c:pt idx="2">
                <c:v>272</c:v>
              </c:pt>
              <c:pt idx="3">
                <c:v>286</c:v>
              </c:pt>
              <c:pt idx="4">
                <c:v>402</c:v>
              </c:pt>
            </c:numLit>
          </c:val>
          <c:smooth val="0"/>
          <c:extLst>
            <c:ext xmlns:c16="http://schemas.microsoft.com/office/drawing/2014/chart" uri="{C3380CC4-5D6E-409C-BE32-E72D297353CC}">
              <c16:uniqueId val="{00000001-6E00-4AEC-9446-6A02C8CA7A1D}"/>
            </c:ext>
          </c:extLst>
        </c:ser>
        <c:dLbls>
          <c:dLblPos val="t"/>
          <c:showLegendKey val="0"/>
          <c:showVal val="1"/>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smooth val="0"/>
        <c:axId val="1649045759"/>
        <c:axId val="1649054399"/>
      </c:lineChart>
      <c:catAx>
        <c:axId val="164904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54399"/>
        <c:crosses val="autoZero"/>
        <c:auto val="1"/>
        <c:lblAlgn val="ctr"/>
        <c:lblOffset val="100"/>
        <c:noMultiLvlLbl val="0"/>
      </c:catAx>
      <c:valAx>
        <c:axId val="16490543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45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effectLst/>
              </a:rPr>
              <a:t>Education based Hiring</a:t>
            </a:r>
            <a:r>
              <a:rPr lang="en-IN" sz="1400" b="0" i="0" u="none" strike="noStrike" baseline="0">
                <a:effectLst/>
              </a:rPr>
              <a:t> </a:t>
            </a:r>
            <a:endParaRPr lang="en-US"/>
          </a:p>
        </c:rich>
      </c:tx>
      <c:layout>
        <c:manualLayout>
          <c:xMode val="edge"/>
          <c:yMode val="edge"/>
          <c:x val="0.37154155730533678"/>
          <c:y val="2.58821813939924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Lit>
              <c:ptCount val="4"/>
              <c:pt idx="0">
                <c:v>Bachelor Type 1</c:v>
              </c:pt>
              <c:pt idx="1">
                <c:v>Bachelor Type 2</c:v>
              </c:pt>
              <c:pt idx="2">
                <c:v>Masters</c:v>
              </c:pt>
              <c:pt idx="3">
                <c:v>PhD</c:v>
              </c:pt>
            </c:strLit>
          </c:cat>
          <c:val>
            <c:numLit>
              <c:formatCode>General</c:formatCode>
              <c:ptCount val="4"/>
              <c:pt idx="0">
                <c:v>307</c:v>
              </c:pt>
              <c:pt idx="1">
                <c:v>740</c:v>
              </c:pt>
              <c:pt idx="2">
                <c:v>317</c:v>
              </c:pt>
              <c:pt idx="3">
                <c:v>136</c:v>
              </c:pt>
            </c:numLit>
          </c:val>
          <c:extLst>
            <c:ext xmlns:c16="http://schemas.microsoft.com/office/drawing/2014/chart" uri="{C3380CC4-5D6E-409C-BE32-E72D297353CC}">
              <c16:uniqueId val="{00000001-68CA-41C4-926A-BE184F73E8E3}"/>
            </c:ext>
          </c:extLst>
        </c:ser>
        <c:dLbls>
          <c:dLblPos val="outEnd"/>
          <c:showLegendKey val="0"/>
          <c:showVal val="1"/>
          <c:showCatName val="0"/>
          <c:showSerName val="0"/>
          <c:showPercent val="0"/>
          <c:showBubbleSize val="0"/>
        </c:dLbls>
        <c:gapWidth val="219"/>
        <c:overlap val="-27"/>
        <c:axId val="1552293759"/>
        <c:axId val="1552295199"/>
      </c:barChart>
      <c:catAx>
        <c:axId val="155229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295199"/>
        <c:crosses val="autoZero"/>
        <c:auto val="1"/>
        <c:lblAlgn val="ctr"/>
        <c:lblOffset val="100"/>
        <c:noMultiLvlLbl val="0"/>
      </c:catAx>
      <c:valAx>
        <c:axId val="15522951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293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effectLst/>
              </a:rPr>
              <a:t>Interview Scores vs Hiring</a:t>
            </a:r>
            <a:r>
              <a:rPr lang="en-IN" sz="1400" b="0" i="0" u="none" strike="noStrike" baseline="0">
                <a:effectLst/>
              </a:rPr>
              <a:t> </a:t>
            </a:r>
            <a:endParaRPr lang="en-US"/>
          </a:p>
        </c:rich>
      </c:tx>
      <c:layout>
        <c:manualLayout>
          <c:xMode val="edge"/>
          <c:yMode val="edge"/>
          <c:x val="0.30735411198600177"/>
          <c:y val="8.238553514144066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Lit>
              <c:ptCount val="5"/>
              <c:pt idx="0">
                <c:v>0-19</c:v>
              </c:pt>
              <c:pt idx="1">
                <c:v>20-39</c:v>
              </c:pt>
              <c:pt idx="2">
                <c:v>40-59</c:v>
              </c:pt>
              <c:pt idx="3">
                <c:v>60-79</c:v>
              </c:pt>
              <c:pt idx="4">
                <c:v>80-100</c:v>
              </c:pt>
            </c:strLit>
          </c:cat>
          <c:val>
            <c:numLit>
              <c:formatCode>General</c:formatCode>
              <c:ptCount val="5"/>
              <c:pt idx="0">
                <c:v>283</c:v>
              </c:pt>
              <c:pt idx="1">
                <c:v>295</c:v>
              </c:pt>
              <c:pt idx="2">
                <c:v>283</c:v>
              </c:pt>
              <c:pt idx="3">
                <c:v>341</c:v>
              </c:pt>
              <c:pt idx="4">
                <c:v>298</c:v>
              </c:pt>
            </c:numLit>
          </c:val>
          <c:extLst>
            <c:ext xmlns:c16="http://schemas.microsoft.com/office/drawing/2014/chart" uri="{C3380CC4-5D6E-409C-BE32-E72D297353CC}">
              <c16:uniqueId val="{00000001-A0AF-48D3-96B8-70FCD43D15E0}"/>
            </c:ext>
          </c:extLst>
        </c:ser>
        <c:dLbls>
          <c:dLblPos val="outEnd"/>
          <c:showLegendKey val="0"/>
          <c:showVal val="1"/>
          <c:showCatName val="0"/>
          <c:showSerName val="0"/>
          <c:showPercent val="0"/>
          <c:showBubbleSize val="0"/>
        </c:dLbls>
        <c:gapWidth val="219"/>
        <c:overlap val="-27"/>
        <c:axId val="1649038079"/>
        <c:axId val="1649041919"/>
      </c:barChart>
      <c:catAx>
        <c:axId val="16490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41919"/>
        <c:crosses val="autoZero"/>
        <c:auto val="1"/>
        <c:lblAlgn val="ctr"/>
        <c:lblOffset val="100"/>
        <c:noMultiLvlLbl val="0"/>
      </c:catAx>
      <c:valAx>
        <c:axId val="16490419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380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Skill</a:t>
            </a:r>
            <a:r>
              <a:rPr lang="en-US" b="1" baseline="0"/>
              <a:t> Score vs Hiring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Lit>
              <c:ptCount val="4"/>
              <c:pt idx="0">
                <c:v>0-24</c:v>
              </c:pt>
              <c:pt idx="1">
                <c:v>25-49</c:v>
              </c:pt>
              <c:pt idx="2">
                <c:v>50-74</c:v>
              </c:pt>
              <c:pt idx="3">
                <c:v>75-100</c:v>
              </c:pt>
            </c:strLit>
          </c:cat>
          <c:val>
            <c:numLit>
              <c:formatCode>General</c:formatCode>
              <c:ptCount val="4"/>
              <c:pt idx="0">
                <c:v>0.19887955182072828</c:v>
              </c:pt>
              <c:pt idx="1">
                <c:v>0.21470588235294116</c:v>
              </c:pt>
              <c:pt idx="2">
                <c:v>0.38481012658227848</c:v>
              </c:pt>
              <c:pt idx="3">
                <c:v>0.41421568627450983</c:v>
              </c:pt>
            </c:numLit>
          </c:val>
          <c:extLst>
            <c:ext xmlns:c16="http://schemas.microsoft.com/office/drawing/2014/chart" uri="{C3380CC4-5D6E-409C-BE32-E72D297353CC}">
              <c16:uniqueId val="{00000001-210B-4301-A620-17F4CE88E028}"/>
            </c:ext>
          </c:extLst>
        </c:ser>
        <c:dLbls>
          <c:dLblPos val="outEnd"/>
          <c:showLegendKey val="0"/>
          <c:showVal val="1"/>
          <c:showCatName val="0"/>
          <c:showSerName val="0"/>
          <c:showPercent val="0"/>
          <c:showBubbleSize val="0"/>
        </c:dLbls>
        <c:gapWidth val="219"/>
        <c:overlap val="-27"/>
        <c:axId val="1649053439"/>
        <c:axId val="1649040959"/>
      </c:barChart>
      <c:catAx>
        <c:axId val="1649053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40959"/>
        <c:crosses val="autoZero"/>
        <c:auto val="1"/>
        <c:lblAlgn val="ctr"/>
        <c:lblOffset val="100"/>
        <c:noMultiLvlLbl val="0"/>
      </c:catAx>
      <c:valAx>
        <c:axId val="1649040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053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latin typeface="Arial" panose="020B0604020202020204" pitchFamily="34" charset="0"/>
                <a:cs typeface="Arial" panose="020B0604020202020204" pitchFamily="34" charset="0"/>
              </a:rPr>
              <a:t>Candidate Competency Profile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406482134246196"/>
          <c:y val="0.18786031767121383"/>
          <c:w val="0.56231860796073663"/>
          <c:h val="0.75002098254045035"/>
        </c:manualLayout>
      </c:layout>
      <c:radarChart>
        <c:radarStyle val="marker"/>
        <c:varyColors val="0"/>
        <c:ser>
          <c:idx val="0"/>
          <c:order val="0"/>
          <c:tx>
            <c:strRef>
              <c:f>'Candidate Analyzer'!$B$22</c:f>
              <c:strCache>
                <c:ptCount val="1"/>
                <c:pt idx="0">
                  <c:v>Score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'Candidate Analyzer'!$A$23:$A$25</c:f>
              <c:strCache>
                <c:ptCount val="3"/>
                <c:pt idx="0">
                  <c:v>Interview Score</c:v>
                </c:pt>
                <c:pt idx="1">
                  <c:v>Skill Score</c:v>
                </c:pt>
                <c:pt idx="2">
                  <c:v>Personality Score</c:v>
                </c:pt>
              </c:strCache>
            </c:strRef>
          </c:cat>
          <c:val>
            <c:numRef>
              <c:f>'Candidate Analyzer'!$B$23:$B$25</c:f>
              <c:numCache>
                <c:formatCode>General</c:formatCode>
                <c:ptCount val="3"/>
                <c:pt idx="0">
                  <c:v>48</c:v>
                </c:pt>
                <c:pt idx="1">
                  <c:v>78</c:v>
                </c:pt>
                <c:pt idx="2">
                  <c:v>26</c:v>
                </c:pt>
              </c:numCache>
            </c:numRef>
          </c:val>
          <c:extLst>
            <c:ext xmlns:c16="http://schemas.microsoft.com/office/drawing/2014/chart" uri="{C3380CC4-5D6E-409C-BE32-E72D297353CC}">
              <c16:uniqueId val="{00000000-846E-40AC-BDFB-08FE38933EF5}"/>
            </c:ext>
          </c:extLst>
        </c:ser>
        <c:dLbls>
          <c:showLegendKey val="0"/>
          <c:showVal val="1"/>
          <c:showCatName val="0"/>
          <c:showSerName val="0"/>
          <c:showPercent val="0"/>
          <c:showBubbleSize val="0"/>
        </c:dLbls>
        <c:axId val="441524655"/>
        <c:axId val="441526575"/>
      </c:radarChart>
      <c:catAx>
        <c:axId val="441524655"/>
        <c:scaling>
          <c:orientation val="minMax"/>
        </c:scaling>
        <c:delete val="1"/>
        <c:axPos val="b"/>
        <c:numFmt formatCode="General" sourceLinked="1"/>
        <c:majorTickMark val="none"/>
        <c:minorTickMark val="none"/>
        <c:tickLblPos val="nextTo"/>
        <c:crossAx val="441526575"/>
        <c:crosses val="autoZero"/>
        <c:auto val="1"/>
        <c:lblAlgn val="ctr"/>
        <c:lblOffset val="100"/>
        <c:noMultiLvlLbl val="0"/>
      </c:catAx>
      <c:valAx>
        <c:axId val="441526575"/>
        <c:scaling>
          <c:orientation val="minMax"/>
          <c:max val="10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524655"/>
        <c:crosses val="autoZero"/>
        <c:crossBetween val="between"/>
      </c:valAx>
      <c:spPr>
        <a:solidFill>
          <a:sysClr val="window" lastClr="FFFFFF"/>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i="0" u="none" strike="noStrike" baseline="0">
                <a:effectLst/>
                <a:latin typeface="Arial" panose="020B0604020202020204" pitchFamily="34" charset="0"/>
                <a:cs typeface="Arial" panose="020B0604020202020204" pitchFamily="34" charset="0"/>
              </a:rPr>
              <a:t>Candidate Comparison Analyzer </a:t>
            </a:r>
            <a:endParaRPr lang="en-IN" sz="2400"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'Candidate Analyzer'!$B$56</c:f>
              <c:strCache>
                <c:ptCount val="1"/>
                <c:pt idx="0">
                  <c:v>Candidate A</c:v>
                </c:pt>
              </c:strCache>
            </c:strRef>
          </c:tx>
          <c:spPr>
            <a:solidFill>
              <a:schemeClr val="accent6">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'Candidate Analyzer'!$A$57:$A$59</c:f>
              <c:strCache>
                <c:ptCount val="3"/>
                <c:pt idx="0">
                  <c:v>Interview Score</c:v>
                </c:pt>
                <c:pt idx="1">
                  <c:v>Skill Score</c:v>
                </c:pt>
                <c:pt idx="2">
                  <c:v>Personality Score</c:v>
                </c:pt>
              </c:strCache>
            </c:strRef>
          </c:cat>
          <c:val>
            <c:numRef>
              <c:f>'Candidate Analyzer'!$B$57:$B$59</c:f>
              <c:numCache>
                <c:formatCode>General</c:formatCode>
                <c:ptCount val="3"/>
                <c:pt idx="0">
                  <c:v>48</c:v>
                </c:pt>
                <c:pt idx="1">
                  <c:v>78</c:v>
                </c:pt>
                <c:pt idx="2">
                  <c:v>91</c:v>
                </c:pt>
              </c:numCache>
            </c:numRef>
          </c:val>
          <c:extLst>
            <c:ext xmlns:c16="http://schemas.microsoft.com/office/drawing/2014/chart" uri="{C3380CC4-5D6E-409C-BE32-E72D297353CC}">
              <c16:uniqueId val="{00000000-D3D2-4F38-8E91-F8BBECD4706F}"/>
            </c:ext>
          </c:extLst>
        </c:ser>
        <c:ser>
          <c:idx val="1"/>
          <c:order val="1"/>
          <c:tx>
            <c:strRef>
              <c:f>'Candidate Analyzer'!$C$56</c:f>
              <c:strCache>
                <c:ptCount val="1"/>
                <c:pt idx="0">
                  <c:v>Candidate B</c:v>
                </c:pt>
              </c:strCache>
            </c:strRef>
          </c:tx>
          <c:spPr>
            <a:solidFill>
              <a:schemeClr val="accent6">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'Candidate Analyzer'!$A$57:$A$59</c:f>
              <c:strCache>
                <c:ptCount val="3"/>
                <c:pt idx="0">
                  <c:v>Interview Score</c:v>
                </c:pt>
                <c:pt idx="1">
                  <c:v>Skill Score</c:v>
                </c:pt>
                <c:pt idx="2">
                  <c:v>Personality Score</c:v>
                </c:pt>
              </c:strCache>
            </c:strRef>
          </c:cat>
          <c:val>
            <c:numRef>
              <c:f>'Candidate Analyzer'!$C$57:$C$59</c:f>
              <c:numCache>
                <c:formatCode>General</c:formatCode>
                <c:ptCount val="3"/>
                <c:pt idx="0">
                  <c:v>35</c:v>
                </c:pt>
                <c:pt idx="1">
                  <c:v>68</c:v>
                </c:pt>
                <c:pt idx="2">
                  <c:v>80</c:v>
                </c:pt>
              </c:numCache>
            </c:numRef>
          </c:val>
          <c:extLst>
            <c:ext xmlns:c16="http://schemas.microsoft.com/office/drawing/2014/chart" uri="{C3380CC4-5D6E-409C-BE32-E72D297353CC}">
              <c16:uniqueId val="{00000001-D3D2-4F38-8E91-F8BBECD4706F}"/>
            </c:ext>
          </c:extLst>
        </c:ser>
        <c:dLbls>
          <c:dLblPos val="outEnd"/>
          <c:showLegendKey val="0"/>
          <c:showVal val="1"/>
          <c:showCatName val="0"/>
          <c:showSerName val="0"/>
          <c:showPercent val="0"/>
          <c:showBubbleSize val="0"/>
        </c:dLbls>
        <c:gapWidth val="219"/>
        <c:overlap val="-27"/>
        <c:axId val="1300696415"/>
        <c:axId val="1300701695"/>
      </c:barChart>
      <c:catAx>
        <c:axId val="130069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01695"/>
        <c:crosses val="autoZero"/>
        <c:auto val="1"/>
        <c:lblAlgn val="ctr"/>
        <c:lblOffset val="100"/>
        <c:noMultiLvlLbl val="0"/>
      </c:catAx>
      <c:valAx>
        <c:axId val="13007016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69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i="0" u="none" strike="noStrike" baseline="0">
                <a:effectLst/>
                <a:latin typeface="Arial" panose="020B0604020202020204" pitchFamily="34" charset="0"/>
                <a:cs typeface="Arial" panose="020B0604020202020204" pitchFamily="34" charset="0"/>
              </a:rPr>
              <a:t>Candidate Ranking </a:t>
            </a:r>
            <a:endParaRPr lang="en-IN" sz="2400"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6.901959079336957E-2"/>
          <c:y val="0.53099759965901683"/>
          <c:w val="0.93098040920663039"/>
          <c:h val="0.33225026358884624"/>
        </c:manualLayout>
      </c:layout>
      <c:barChart>
        <c:barDir val="bar"/>
        <c:grouping val="stacked"/>
        <c:varyColors val="0"/>
        <c:ser>
          <c:idx val="0"/>
          <c:order val="0"/>
          <c:tx>
            <c:strRef>
              <c:f>'Candidate Analyzer'!$A$30</c:f>
              <c:strCache>
                <c:ptCount val="1"/>
                <c:pt idx="0">
                  <c:v>Candidate Rank</c:v>
                </c:pt>
              </c:strCache>
            </c:strRef>
          </c:tx>
          <c:spPr>
            <a:solidFill>
              <a:schemeClr val="tx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2856933508311461"/>
                      <c:h val="0.1300462962962963"/>
                    </c:manualLayout>
                  </c15:layout>
                </c:ext>
                <c:ext xmlns:c16="http://schemas.microsoft.com/office/drawing/2014/chart" uri="{C3380CC4-5D6E-409C-BE32-E72D297353CC}">
                  <c16:uniqueId val="{00000000-BE7D-449C-84C3-42861B8C6EF0}"/>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'Candidate Analyzer'!$B$29</c:f>
              <c:strCache>
                <c:ptCount val="1"/>
                <c:pt idx="0">
                  <c:v>Values</c:v>
                </c:pt>
              </c:strCache>
            </c:strRef>
          </c:cat>
          <c:val>
            <c:numRef>
              <c:f>'Candidate Analyzer'!$B$30</c:f>
              <c:numCache>
                <c:formatCode>General</c:formatCode>
                <c:ptCount val="1"/>
                <c:pt idx="0">
                  <c:v>798</c:v>
                </c:pt>
              </c:numCache>
            </c:numRef>
          </c:val>
          <c:extLst>
            <c:ext xmlns:c16="http://schemas.microsoft.com/office/drawing/2014/chart" uri="{C3380CC4-5D6E-409C-BE32-E72D297353CC}">
              <c16:uniqueId val="{00000001-BE7D-449C-84C3-42861B8C6EF0}"/>
            </c:ext>
          </c:extLst>
        </c:ser>
        <c:ser>
          <c:idx val="1"/>
          <c:order val="1"/>
          <c:tx>
            <c:strRef>
              <c:f>'Candidate Analyzer'!$A$31</c:f>
              <c:strCache>
                <c:ptCount val="1"/>
                <c:pt idx="0">
                  <c:v>Total Candidates</c:v>
                </c:pt>
              </c:strCache>
            </c:strRef>
          </c:tx>
          <c:spPr>
            <a:solidFill>
              <a:schemeClr val="dk1">
                <a:tint val="55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3-BE7D-449C-84C3-42861B8C6EF0}"/>
              </c:ext>
            </c:extLst>
          </c:dPt>
          <c:dLbls>
            <c:delete val="1"/>
          </c:dLbls>
          <c:cat>
            <c:strRef>
              <c:f>'Candidate Analyzer'!$B$29</c:f>
              <c:strCache>
                <c:ptCount val="1"/>
                <c:pt idx="0">
                  <c:v>Values</c:v>
                </c:pt>
              </c:strCache>
            </c:strRef>
          </c:cat>
          <c:val>
            <c:numRef>
              <c:f>'Candidate Analyzer'!$B$31</c:f>
              <c:numCache>
                <c:formatCode>General</c:formatCode>
                <c:ptCount val="1"/>
                <c:pt idx="0">
                  <c:v>1500</c:v>
                </c:pt>
              </c:numCache>
            </c:numRef>
          </c:val>
          <c:extLst>
            <c:ext xmlns:c16="http://schemas.microsoft.com/office/drawing/2014/chart" uri="{C3380CC4-5D6E-409C-BE32-E72D297353CC}">
              <c16:uniqueId val="{00000004-BE7D-449C-84C3-42861B8C6EF0}"/>
            </c:ext>
          </c:extLst>
        </c:ser>
        <c:dLbls>
          <c:dLblPos val="ctr"/>
          <c:showLegendKey val="0"/>
          <c:showVal val="1"/>
          <c:showCatName val="0"/>
          <c:showSerName val="0"/>
          <c:showPercent val="0"/>
          <c:showBubbleSize val="0"/>
        </c:dLbls>
        <c:gapWidth val="150"/>
        <c:overlap val="100"/>
        <c:axId val="2078750495"/>
        <c:axId val="2078757695"/>
      </c:barChart>
      <c:catAx>
        <c:axId val="2078750495"/>
        <c:scaling>
          <c:orientation val="minMax"/>
        </c:scaling>
        <c:delete val="1"/>
        <c:axPos val="l"/>
        <c:numFmt formatCode="General" sourceLinked="1"/>
        <c:majorTickMark val="none"/>
        <c:minorTickMark val="none"/>
        <c:tickLblPos val="nextTo"/>
        <c:crossAx val="2078757695"/>
        <c:crosses val="autoZero"/>
        <c:auto val="1"/>
        <c:lblAlgn val="ctr"/>
        <c:lblOffset val="100"/>
        <c:noMultiLvlLbl val="0"/>
      </c:catAx>
      <c:valAx>
        <c:axId val="2078757695"/>
        <c:scaling>
          <c:orientation val="minMax"/>
        </c:scaling>
        <c:delete val="1"/>
        <c:axPos val="b"/>
        <c:numFmt formatCode="General" sourceLinked="1"/>
        <c:majorTickMark val="none"/>
        <c:minorTickMark val="none"/>
        <c:tickLblPos val="nextTo"/>
        <c:crossAx val="20787504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Recruitment Funnel</cx:v>
        </cx:txData>
      </cx:tx>
      <cx:txPr>
        <a:bodyPr spcFirstLastPara="1" vertOverflow="ellipsis" horzOverflow="overflow" wrap="square" lIns="0" tIns="0" rIns="0" bIns="0" anchor="ctr" anchorCtr="1"/>
        <a:lstStyle/>
        <a:p>
          <a:pPr algn="ctr" rtl="0">
            <a:defRPr/>
          </a:pPr>
          <a:r>
            <a:rPr lang="en-US" sz="1600" b="1" i="0" u="none" strike="noStrike" baseline="0">
              <a:solidFill>
                <a:sysClr val="windowText" lastClr="000000">
                  <a:lumMod val="65000"/>
                  <a:lumOff val="35000"/>
                </a:sysClr>
              </a:solidFill>
              <a:latin typeface="Arial" panose="020B0604020202020204" pitchFamily="34" charset="0"/>
              <a:cs typeface="Arial" panose="020B0604020202020204" pitchFamily="34" charset="0"/>
            </a:rPr>
            <a:t>Recruitment Funnel</a:t>
          </a:r>
        </a:p>
      </cx:txPr>
    </cx:title>
    <cx:plotArea>
      <cx:plotAreaRegion>
        <cx:series layoutId="funnel" uniqueId="{7332C054-4BC1-4FDF-9EA2-791647CF9FBD}">
          <cx:tx>
            <cx:txData>
              <cx:f>_xlchart.v2.1</cx:f>
              <cx:v>Count</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4.xml"/><Relationship Id="rId18" Type="http://schemas.openxmlformats.org/officeDocument/2006/relationships/image" Target="../media/image8.png"/><Relationship Id="rId3" Type="http://schemas.openxmlformats.org/officeDocument/2006/relationships/hyperlink" Target="https://pixabay.com/pt/pessoas-%C3%ADcone-tr%C3%AAs-c%C3%ADrculos-1085695/" TargetMode="External"/><Relationship Id="rId7" Type="http://schemas.openxmlformats.org/officeDocument/2006/relationships/hyperlink" Target="https://pixabay.com/en/information-feedback-3011747/" TargetMode="External"/><Relationship Id="rId12" Type="http://schemas.openxmlformats.org/officeDocument/2006/relationships/chart" Target="../charts/chart3.xml"/><Relationship Id="rId17" Type="http://schemas.openxmlformats.org/officeDocument/2006/relationships/image" Target="../media/image7.svg"/><Relationship Id="rId2" Type="http://schemas.openxmlformats.org/officeDocument/2006/relationships/image" Target="../media/image2.png"/><Relationship Id="rId16" Type="http://schemas.openxmlformats.org/officeDocument/2006/relationships/image" Target="../media/image6.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chart" Target="../charts/chart2.xml"/><Relationship Id="rId5" Type="http://schemas.openxmlformats.org/officeDocument/2006/relationships/hyperlink" Target="https://www.pngall.com/percentage-png/download/17643" TargetMode="External"/><Relationship Id="rId15" Type="http://schemas.microsoft.com/office/2014/relationships/chartEx" Target="../charts/chartEx1.xml"/><Relationship Id="rId10" Type="http://schemas.openxmlformats.org/officeDocument/2006/relationships/chart" Target="../charts/chart1.xml"/><Relationship Id="rId19" Type="http://schemas.openxmlformats.org/officeDocument/2006/relationships/image" Target="../media/image9.svg"/><Relationship Id="rId4" Type="http://schemas.openxmlformats.org/officeDocument/2006/relationships/image" Target="../media/image3.png"/><Relationship Id="rId9" Type="http://schemas.openxmlformats.org/officeDocument/2006/relationships/hyperlink" Target="https://openclipart.org/detail/236701/medical-career" TargetMode="External"/><Relationship Id="rId14" Type="http://schemas.openxmlformats.org/officeDocument/2006/relationships/chart" Target="../charts/chart5.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561975</xdr:colOff>
      <xdr:row>52</xdr:row>
      <xdr:rowOff>133350</xdr:rowOff>
    </xdr:to>
    <xdr:grpSp>
      <xdr:nvGrpSpPr>
        <xdr:cNvPr id="39" name="Group 38">
          <a:extLst>
            <a:ext uri="{FF2B5EF4-FFF2-40B4-BE49-F238E27FC236}">
              <a16:creationId xmlns:a16="http://schemas.microsoft.com/office/drawing/2014/main" id="{1752BBB7-8605-F3FA-74A2-947DBD55F48B}"/>
            </a:ext>
          </a:extLst>
        </xdr:cNvPr>
        <xdr:cNvGrpSpPr/>
      </xdr:nvGrpSpPr>
      <xdr:grpSpPr>
        <a:xfrm>
          <a:off x="0" y="0"/>
          <a:ext cx="18240375" cy="14497050"/>
          <a:chOff x="0" y="1000125"/>
          <a:chExt cx="16459200" cy="13845610"/>
        </a:xfrm>
      </xdr:grpSpPr>
      <xdr:grpSp>
        <xdr:nvGrpSpPr>
          <xdr:cNvPr id="5" name="Group 4">
            <a:extLst>
              <a:ext uri="{FF2B5EF4-FFF2-40B4-BE49-F238E27FC236}">
                <a16:creationId xmlns:a16="http://schemas.microsoft.com/office/drawing/2014/main" id="{6CF66EE0-1140-0793-8725-78402AA0A056}"/>
              </a:ext>
            </a:extLst>
          </xdr:cNvPr>
          <xdr:cNvGrpSpPr/>
        </xdr:nvGrpSpPr>
        <xdr:grpSpPr>
          <a:xfrm>
            <a:off x="0" y="1000125"/>
            <a:ext cx="16459200" cy="13845610"/>
            <a:chOff x="0" y="0"/>
            <a:chExt cx="16459200" cy="13845610"/>
          </a:xfrm>
        </xdr:grpSpPr>
        <xdr:sp macro="" textlink="">
          <xdr:nvSpPr>
            <xdr:cNvPr id="4" name="Rectangle 3">
              <a:extLst>
                <a:ext uri="{FF2B5EF4-FFF2-40B4-BE49-F238E27FC236}">
                  <a16:creationId xmlns:a16="http://schemas.microsoft.com/office/drawing/2014/main" id="{B45EE84E-0C92-ED9F-C650-31F294D599C2}"/>
                </a:ext>
              </a:extLst>
            </xdr:cNvPr>
            <xdr:cNvSpPr/>
          </xdr:nvSpPr>
          <xdr:spPr>
            <a:xfrm>
              <a:off x="0" y="0"/>
              <a:ext cx="16459200" cy="828682"/>
            </a:xfrm>
            <a:prstGeom prst="rect">
              <a:avLst/>
            </a:prstGeom>
            <a:solidFill>
              <a:schemeClr val="accent6">
                <a:lumMod val="20000"/>
                <a:lumOff val="80000"/>
              </a:schemeClr>
            </a:solidFill>
            <a:ln>
              <a:solidFill>
                <a:schemeClr val="accent6">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u="none">
                  <a:solidFill>
                    <a:sysClr val="windowText" lastClr="000000"/>
                  </a:solidFill>
                  <a:latin typeface="Arial Black" panose="020B0A04020102020204" pitchFamily="34" charset="0"/>
                </a:rPr>
                <a:t>HR RECRUITMENT ANALYTICS DASHBOARD</a:t>
              </a:r>
            </a:p>
            <a:p>
              <a:pPr algn="ctr"/>
              <a:endParaRPr lang="en-IN" sz="1000" b="1" u="none">
                <a:solidFill>
                  <a:sysClr val="windowText" lastClr="000000"/>
                </a:solidFill>
                <a:latin typeface="Arial Black" panose="020B0A04020102020204" pitchFamily="34" charset="0"/>
              </a:endParaRPr>
            </a:p>
            <a:p>
              <a:pPr algn="ctr"/>
              <a:endParaRPr lang="en-IN" sz="100" b="1" u="none">
                <a:solidFill>
                  <a:sysClr val="windowText" lastClr="000000"/>
                </a:solidFill>
                <a:latin typeface="Arial Black" panose="020B0A04020102020204" pitchFamily="34" charset="0"/>
              </a:endParaRPr>
            </a:p>
            <a:p>
              <a:pPr algn="ctr"/>
              <a:r>
                <a:rPr lang="en-IN" sz="1200" b="1" u="none">
                  <a:solidFill>
                    <a:sysClr val="windowText" lastClr="000000"/>
                  </a:solidFill>
                  <a:latin typeface="Arial Black" panose="020B0A04020102020204" pitchFamily="34" charset="0"/>
                </a:rPr>
                <a:t>(CANDIDATE HIRING DECISION</a:t>
              </a:r>
              <a:r>
                <a:rPr lang="en-IN" sz="1200" b="1" u="none" baseline="0">
                  <a:solidFill>
                    <a:sysClr val="windowText" lastClr="000000"/>
                  </a:solidFill>
                  <a:latin typeface="Arial Black" panose="020B0A04020102020204" pitchFamily="34" charset="0"/>
                </a:rPr>
                <a:t> Dashboard)</a:t>
              </a:r>
              <a:endParaRPr lang="en-IN" sz="1200" b="1" u="none">
                <a:solidFill>
                  <a:sysClr val="windowText" lastClr="000000"/>
                </a:solidFill>
                <a:latin typeface="Arial Black" panose="020B0A04020102020204" pitchFamily="34" charset="0"/>
              </a:endParaRPr>
            </a:p>
          </xdr:txBody>
        </xdr:sp>
        <xdr:pic>
          <xdr:nvPicPr>
            <xdr:cNvPr id="9" name="Picture 8">
              <a:extLst>
                <a:ext uri="{FF2B5EF4-FFF2-40B4-BE49-F238E27FC236}">
                  <a16:creationId xmlns:a16="http://schemas.microsoft.com/office/drawing/2014/main" id="{E24018CE-A991-F7DA-DA3A-835863A372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5462" y="207170"/>
              <a:ext cx="713000" cy="533660"/>
            </a:xfrm>
            <a:prstGeom prst="rect">
              <a:avLst/>
            </a:prstGeom>
          </xdr:spPr>
        </xdr:pic>
        <mc:AlternateContent xmlns:mc="http://schemas.openxmlformats.org/markup-compatibility/2006" xmlns:a14="http://schemas.microsoft.com/office/drawing/2010/main">
          <mc:Choice Requires="a14">
            <xdr:graphicFrame macro="">
              <xdr:nvGraphicFramePr>
                <xdr:cNvPr id="10" name="Gender Label">
                  <a:extLst>
                    <a:ext uri="{FF2B5EF4-FFF2-40B4-BE49-F238E27FC236}">
                      <a16:creationId xmlns:a16="http://schemas.microsoft.com/office/drawing/2014/main" id="{B4E14F71-EAD9-474A-A35F-348F98646BEF}"/>
                    </a:ext>
                  </a:extLst>
                </xdr:cNvPr>
                <xdr:cNvGraphicFramePr/>
              </xdr:nvGraphicFramePr>
              <xdr:xfrm>
                <a:off x="0" y="1027220"/>
                <a:ext cx="1839250" cy="906369"/>
              </xdr:xfrm>
              <a:graphic>
                <a:graphicData uri="http://schemas.microsoft.com/office/drawing/2010/slicer">
                  <sle:slicer xmlns:sle="http://schemas.microsoft.com/office/drawing/2010/slicer" name="Gender Label"/>
                </a:graphicData>
              </a:graphic>
            </xdr:graphicFrame>
          </mc:Choice>
          <mc:Fallback xmlns="">
            <xdr:sp macro="" textlink="">
              <xdr:nvSpPr>
                <xdr:cNvPr id="0" name=""/>
                <xdr:cNvSpPr>
                  <a:spLocks noTextEdit="1"/>
                </xdr:cNvSpPr>
              </xdr:nvSpPr>
              <xdr:spPr>
                <a:xfrm>
                  <a:off x="0" y="1075551"/>
                  <a:ext cx="2038289" cy="9490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Education Label">
                  <a:extLst>
                    <a:ext uri="{FF2B5EF4-FFF2-40B4-BE49-F238E27FC236}">
                      <a16:creationId xmlns:a16="http://schemas.microsoft.com/office/drawing/2014/main" id="{07C51DBA-A83C-4A40-AED7-5B73B9751E8E}"/>
                    </a:ext>
                  </a:extLst>
                </xdr:cNvPr>
                <xdr:cNvGraphicFramePr/>
              </xdr:nvGraphicFramePr>
              <xdr:xfrm>
                <a:off x="0" y="2101915"/>
                <a:ext cx="1839250" cy="1489038"/>
              </xdr:xfrm>
              <a:graphic>
                <a:graphicData uri="http://schemas.microsoft.com/office/drawing/2010/slicer">
                  <sle:slicer xmlns:sle="http://schemas.microsoft.com/office/drawing/2010/slicer" name="Education Label"/>
                </a:graphicData>
              </a:graphic>
            </xdr:graphicFrame>
          </mc:Choice>
          <mc:Fallback xmlns="">
            <xdr:sp macro="" textlink="">
              <xdr:nvSpPr>
                <xdr:cNvPr id="0" name=""/>
                <xdr:cNvSpPr>
                  <a:spLocks noTextEdit="1"/>
                </xdr:cNvSpPr>
              </xdr:nvSpPr>
              <xdr:spPr>
                <a:xfrm>
                  <a:off x="0" y="2200811"/>
                  <a:ext cx="2038289" cy="15590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Recruitment Strategy">
                  <a:extLst>
                    <a:ext uri="{FF2B5EF4-FFF2-40B4-BE49-F238E27FC236}">
                      <a16:creationId xmlns:a16="http://schemas.microsoft.com/office/drawing/2014/main" id="{8ECC9519-BDF1-4959-8ACE-DBEB9F686FC4}"/>
                    </a:ext>
                  </a:extLst>
                </xdr:cNvPr>
                <xdr:cNvGraphicFramePr/>
              </xdr:nvGraphicFramePr>
              <xdr:xfrm>
                <a:off x="0" y="3737697"/>
                <a:ext cx="1839250" cy="1234391"/>
              </xdr:xfrm>
              <a:graphic>
                <a:graphicData uri="http://schemas.microsoft.com/office/drawing/2010/slicer">
                  <sle:slicer xmlns:sle="http://schemas.microsoft.com/office/drawing/2010/slicer" name="Recruitment Strategy"/>
                </a:graphicData>
              </a:graphic>
            </xdr:graphicFrame>
          </mc:Choice>
          <mc:Fallback xmlns="">
            <xdr:sp macro="" textlink="">
              <xdr:nvSpPr>
                <xdr:cNvPr id="0" name=""/>
                <xdr:cNvSpPr>
                  <a:spLocks noTextEdit="1"/>
                </xdr:cNvSpPr>
              </xdr:nvSpPr>
              <xdr:spPr>
                <a:xfrm>
                  <a:off x="0" y="3913557"/>
                  <a:ext cx="2038289" cy="12924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Hiring Status">
                  <a:extLst>
                    <a:ext uri="{FF2B5EF4-FFF2-40B4-BE49-F238E27FC236}">
                      <a16:creationId xmlns:a16="http://schemas.microsoft.com/office/drawing/2014/main" id="{F267C6EE-3109-4869-A5D3-0D2605A8FA15}"/>
                    </a:ext>
                  </a:extLst>
                </xdr:cNvPr>
                <xdr:cNvGraphicFramePr/>
              </xdr:nvGraphicFramePr>
              <xdr:xfrm>
                <a:off x="0" y="5144731"/>
                <a:ext cx="1839250" cy="932267"/>
              </xdr:xfrm>
              <a:graphic>
                <a:graphicData uri="http://schemas.microsoft.com/office/drawing/2010/slicer">
                  <sle:slicer xmlns:sle="http://schemas.microsoft.com/office/drawing/2010/slicer" name="Hiring Status"/>
                </a:graphicData>
              </a:graphic>
            </xdr:graphicFrame>
          </mc:Choice>
          <mc:Fallback xmlns="">
            <xdr:sp macro="" textlink="">
              <xdr:nvSpPr>
                <xdr:cNvPr id="0" name=""/>
                <xdr:cNvSpPr>
                  <a:spLocks noTextEdit="1"/>
                </xdr:cNvSpPr>
              </xdr:nvSpPr>
              <xdr:spPr>
                <a:xfrm>
                  <a:off x="0" y="5386792"/>
                  <a:ext cx="2038289" cy="9761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2" name="Group 1">
              <a:extLst>
                <a:ext uri="{FF2B5EF4-FFF2-40B4-BE49-F238E27FC236}">
                  <a16:creationId xmlns:a16="http://schemas.microsoft.com/office/drawing/2014/main" id="{C7CA6361-1F08-369C-30F8-0B2CB4EDCC72}"/>
                </a:ext>
              </a:extLst>
            </xdr:cNvPr>
            <xdr:cNvGrpSpPr/>
          </xdr:nvGrpSpPr>
          <xdr:grpSpPr>
            <a:xfrm>
              <a:off x="2694430" y="2670771"/>
              <a:ext cx="13111626" cy="1256834"/>
              <a:chOff x="2722417" y="973281"/>
              <a:chExt cx="13037128" cy="1260764"/>
            </a:xfrm>
          </xdr:grpSpPr>
          <xdr:sp macro="" textlink="">
            <xdr:nvSpPr>
              <xdr:cNvPr id="14" name="Rectangle: Diagonal Corners Rounded 13">
                <a:extLst>
                  <a:ext uri="{FF2B5EF4-FFF2-40B4-BE49-F238E27FC236}">
                    <a16:creationId xmlns:a16="http://schemas.microsoft.com/office/drawing/2014/main" id="{23452F6D-415C-AB30-BCDA-EC1E2FA3AB73}"/>
                  </a:ext>
                </a:extLst>
              </xdr:cNvPr>
              <xdr:cNvSpPr/>
            </xdr:nvSpPr>
            <xdr:spPr>
              <a:xfrm>
                <a:off x="2722417" y="1038225"/>
                <a:ext cx="2793424" cy="1195820"/>
              </a:xfrm>
              <a:prstGeom prst="round2DiagRect">
                <a:avLst/>
              </a:prstGeom>
              <a:solidFill>
                <a:schemeClr val="bg1"/>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ysClr val="windowText" lastClr="000000"/>
                  </a:solidFill>
                </a:endParaRPr>
              </a:p>
            </xdr:txBody>
          </xdr:sp>
          <xdr:sp macro="" textlink="">
            <xdr:nvSpPr>
              <xdr:cNvPr id="15" name="Rectangle: Diagonal Corners Rounded 14">
                <a:extLst>
                  <a:ext uri="{FF2B5EF4-FFF2-40B4-BE49-F238E27FC236}">
                    <a16:creationId xmlns:a16="http://schemas.microsoft.com/office/drawing/2014/main" id="{DD4476A1-648A-414B-925C-0A5B8AEE43B8}"/>
                  </a:ext>
                </a:extLst>
              </xdr:cNvPr>
              <xdr:cNvSpPr/>
            </xdr:nvSpPr>
            <xdr:spPr>
              <a:xfrm>
                <a:off x="5723660" y="1013114"/>
                <a:ext cx="3030681" cy="1203613"/>
              </a:xfrm>
              <a:prstGeom prst="round2DiagRect">
                <a:avLst/>
              </a:prstGeom>
              <a:solidFill>
                <a:schemeClr val="bg1"/>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Diagonal Corners Rounded 15">
                <a:extLst>
                  <a:ext uri="{FF2B5EF4-FFF2-40B4-BE49-F238E27FC236}">
                    <a16:creationId xmlns:a16="http://schemas.microsoft.com/office/drawing/2014/main" id="{303180B2-41C5-4A0A-9D93-9617CCDFE5F5}"/>
                  </a:ext>
                </a:extLst>
              </xdr:cNvPr>
              <xdr:cNvSpPr/>
            </xdr:nvSpPr>
            <xdr:spPr>
              <a:xfrm>
                <a:off x="9034893" y="1025236"/>
                <a:ext cx="3087834" cy="1191491"/>
              </a:xfrm>
              <a:prstGeom prst="round2DiagRect">
                <a:avLst/>
              </a:prstGeom>
              <a:solidFill>
                <a:schemeClr val="bg1"/>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Diagonal Corners Rounded 16">
                <a:extLst>
                  <a:ext uri="{FF2B5EF4-FFF2-40B4-BE49-F238E27FC236}">
                    <a16:creationId xmlns:a16="http://schemas.microsoft.com/office/drawing/2014/main" id="{572EE3A6-626F-4CB2-A8A2-9F8AEA401332}"/>
                  </a:ext>
                </a:extLst>
              </xdr:cNvPr>
              <xdr:cNvSpPr/>
            </xdr:nvSpPr>
            <xdr:spPr>
              <a:xfrm>
                <a:off x="12567803" y="973281"/>
                <a:ext cx="3191742" cy="1243446"/>
              </a:xfrm>
              <a:prstGeom prst="round2DiagRect">
                <a:avLst/>
              </a:prstGeom>
              <a:solidFill>
                <a:schemeClr val="bg1"/>
              </a:solidFill>
              <a:ln>
                <a:solidFill>
                  <a:schemeClr val="tx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8" name="TextBox 17">
              <a:extLst>
                <a:ext uri="{FF2B5EF4-FFF2-40B4-BE49-F238E27FC236}">
                  <a16:creationId xmlns:a16="http://schemas.microsoft.com/office/drawing/2014/main" id="{C201C7CD-9623-945B-A011-8E85740BB148}"/>
                </a:ext>
              </a:extLst>
            </xdr:cNvPr>
            <xdr:cNvSpPr txBox="1"/>
          </xdr:nvSpPr>
          <xdr:spPr>
            <a:xfrm>
              <a:off x="3544389" y="2788168"/>
              <a:ext cx="1828800"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i="0" u="none" strike="noStrike">
                  <a:solidFill>
                    <a:schemeClr val="dk1"/>
                  </a:solidFill>
                  <a:effectLst/>
                  <a:latin typeface="+mn-lt"/>
                  <a:ea typeface="+mn-ea"/>
                  <a:cs typeface="+mn-cs"/>
                </a:rPr>
                <a:t>Total Candidates</a:t>
              </a:r>
              <a:r>
                <a:rPr lang="en-IN" sz="1800" b="1">
                  <a:effectLst/>
                </a:rPr>
                <a:t> </a:t>
              </a:r>
              <a:endParaRPr lang="en-IN" sz="1800" b="1"/>
            </a:p>
          </xdr:txBody>
        </xdr:sp>
        <xdr:sp macro="" textlink="Metrics!B6">
          <xdr:nvSpPr>
            <xdr:cNvPr id="19" name="TextBox 18">
              <a:extLst>
                <a:ext uri="{FF2B5EF4-FFF2-40B4-BE49-F238E27FC236}">
                  <a16:creationId xmlns:a16="http://schemas.microsoft.com/office/drawing/2014/main" id="{E2AF4573-ED9D-4283-9740-E9D8E16CD3A2}"/>
                </a:ext>
              </a:extLst>
            </xdr:cNvPr>
            <xdr:cNvSpPr txBox="1"/>
          </xdr:nvSpPr>
          <xdr:spPr>
            <a:xfrm>
              <a:off x="3744686" y="3237037"/>
              <a:ext cx="1219200" cy="5524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CF3C23-C646-45BA-BC71-51F83FC74E71}" type="TxLink">
                <a:rPr lang="en-US" sz="2800" b="1" i="0" u="none" strike="noStrike">
                  <a:solidFill>
                    <a:srgbClr val="000000"/>
                  </a:solidFill>
                  <a:effectLst/>
                  <a:latin typeface="Calibri"/>
                  <a:ea typeface="Calibri"/>
                  <a:cs typeface="Calibri"/>
                </a:rPr>
                <a:pPr algn="ctr"/>
                <a:t>1,500</a:t>
              </a:fld>
              <a:endParaRPr lang="en-IN" sz="4400" b="1"/>
            </a:p>
          </xdr:txBody>
        </xdr:sp>
        <xdr:sp macro="" textlink="">
          <xdr:nvSpPr>
            <xdr:cNvPr id="20" name="TextBox 19">
              <a:extLst>
                <a:ext uri="{FF2B5EF4-FFF2-40B4-BE49-F238E27FC236}">
                  <a16:creationId xmlns:a16="http://schemas.microsoft.com/office/drawing/2014/main" id="{6C0DFEDD-8383-432E-BCB6-02FF1521F513}"/>
                </a:ext>
              </a:extLst>
            </xdr:cNvPr>
            <xdr:cNvSpPr txBox="1"/>
          </xdr:nvSpPr>
          <xdr:spPr>
            <a:xfrm>
              <a:off x="7315200" y="2779536"/>
              <a:ext cx="1419497"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i="0" u="none" strike="noStrike">
                  <a:solidFill>
                    <a:schemeClr val="dk1"/>
                  </a:solidFill>
                  <a:effectLst/>
                  <a:latin typeface="+mn-lt"/>
                  <a:ea typeface="+mn-ea"/>
                  <a:cs typeface="+mn-cs"/>
                </a:rPr>
                <a:t>Total Hired</a:t>
              </a:r>
              <a:endParaRPr lang="en-IN" sz="1800" b="1"/>
            </a:p>
          </xdr:txBody>
        </xdr:sp>
        <xdr:sp macro="" textlink="Metrics!B7">
          <xdr:nvSpPr>
            <xdr:cNvPr id="21" name="TextBox 20">
              <a:extLst>
                <a:ext uri="{FF2B5EF4-FFF2-40B4-BE49-F238E27FC236}">
                  <a16:creationId xmlns:a16="http://schemas.microsoft.com/office/drawing/2014/main" id="{FA284431-D53D-4C11-8755-EFDE5F508B96}"/>
                </a:ext>
              </a:extLst>
            </xdr:cNvPr>
            <xdr:cNvSpPr txBox="1"/>
          </xdr:nvSpPr>
          <xdr:spPr>
            <a:xfrm>
              <a:off x="7254240" y="3211141"/>
              <a:ext cx="1219200" cy="5524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D98284A-D71B-4DB0-BDB2-80CDA6651EDA}" type="TxLink">
                <a:rPr lang="en-US" sz="2800" b="1" i="0" u="none" strike="noStrike">
                  <a:solidFill>
                    <a:srgbClr val="000000"/>
                  </a:solidFill>
                  <a:latin typeface="Calibri"/>
                  <a:ea typeface="Calibri"/>
                  <a:cs typeface="Calibri"/>
                </a:rPr>
                <a:pPr algn="ctr"/>
                <a:t>465</a:t>
              </a:fld>
              <a:endParaRPr lang="en-IN" sz="2800" b="1"/>
            </a:p>
          </xdr:txBody>
        </xdr:sp>
        <xdr:sp macro="" textlink="">
          <xdr:nvSpPr>
            <xdr:cNvPr id="22" name="TextBox 21">
              <a:extLst>
                <a:ext uri="{FF2B5EF4-FFF2-40B4-BE49-F238E27FC236}">
                  <a16:creationId xmlns:a16="http://schemas.microsoft.com/office/drawing/2014/main" id="{92648CD3-49F3-44FD-A873-D39C73DD941A}"/>
                </a:ext>
              </a:extLst>
            </xdr:cNvPr>
            <xdr:cNvSpPr txBox="1"/>
          </xdr:nvSpPr>
          <xdr:spPr>
            <a:xfrm>
              <a:off x="10615750" y="2736376"/>
              <a:ext cx="1506582" cy="3539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Hiring Rate </a:t>
              </a:r>
            </a:p>
          </xdr:txBody>
        </xdr:sp>
        <xdr:sp macro="" textlink="Metrics!B8">
          <xdr:nvSpPr>
            <xdr:cNvPr id="23" name="TextBox 22">
              <a:extLst>
                <a:ext uri="{FF2B5EF4-FFF2-40B4-BE49-F238E27FC236}">
                  <a16:creationId xmlns:a16="http://schemas.microsoft.com/office/drawing/2014/main" id="{2AA26450-EE1A-4709-A3B7-1D5269A53B59}"/>
                </a:ext>
              </a:extLst>
            </xdr:cNvPr>
            <xdr:cNvSpPr txBox="1"/>
          </xdr:nvSpPr>
          <xdr:spPr>
            <a:xfrm>
              <a:off x="10607039" y="3202509"/>
              <a:ext cx="1219200" cy="5524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98A636-2FD1-4E82-A764-A3C6767BF081}" type="TxLink">
                <a:rPr lang="en-US" sz="2800" b="1" i="0" u="none" strike="noStrike">
                  <a:solidFill>
                    <a:srgbClr val="000000"/>
                  </a:solidFill>
                  <a:latin typeface="Calibri"/>
                  <a:ea typeface="Calibri"/>
                  <a:cs typeface="Calibri"/>
                </a:rPr>
                <a:pPr algn="ctr"/>
                <a:t>31%</a:t>
              </a:fld>
              <a:endParaRPr lang="en-IN" sz="2800" b="1"/>
            </a:p>
          </xdr:txBody>
        </xdr:sp>
        <xdr:sp macro="" textlink="">
          <xdr:nvSpPr>
            <xdr:cNvPr id="24" name="TextBox 23">
              <a:extLst>
                <a:ext uri="{FF2B5EF4-FFF2-40B4-BE49-F238E27FC236}">
                  <a16:creationId xmlns:a16="http://schemas.microsoft.com/office/drawing/2014/main" id="{D7F69E9E-1A62-4BFF-A2D7-B14A74082406}"/>
                </a:ext>
              </a:extLst>
            </xdr:cNvPr>
            <xdr:cNvSpPr txBox="1"/>
          </xdr:nvSpPr>
          <xdr:spPr>
            <a:xfrm>
              <a:off x="13968548" y="2693214"/>
              <a:ext cx="1828800" cy="586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Average Interview Score </a:t>
              </a:r>
            </a:p>
          </xdr:txBody>
        </xdr:sp>
        <xdr:sp macro="" textlink="Metrics!B9">
          <xdr:nvSpPr>
            <xdr:cNvPr id="25" name="TextBox 24">
              <a:extLst>
                <a:ext uri="{FF2B5EF4-FFF2-40B4-BE49-F238E27FC236}">
                  <a16:creationId xmlns:a16="http://schemas.microsoft.com/office/drawing/2014/main" id="{74D37C2F-AE64-4AC0-9EA5-4F33EA0AC4B5}"/>
                </a:ext>
              </a:extLst>
            </xdr:cNvPr>
            <xdr:cNvSpPr txBox="1"/>
          </xdr:nvSpPr>
          <xdr:spPr>
            <a:xfrm>
              <a:off x="13837919" y="3323357"/>
              <a:ext cx="1828800" cy="2762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4F29D6-76B5-4013-9297-E5F2DC62EE12}" type="TxLink">
                <a:rPr lang="en-US" sz="2800" b="1" i="0" u="none" strike="noStrike">
                  <a:solidFill>
                    <a:srgbClr val="000000"/>
                  </a:solidFill>
                  <a:latin typeface="Calibri"/>
                  <a:ea typeface="Calibri"/>
                  <a:cs typeface="Calibri"/>
                </a:rPr>
                <a:pPr algn="ctr"/>
                <a:t>50.56</a:t>
              </a:fld>
              <a:endParaRPr lang="en-IN" sz="2800" b="1"/>
            </a:p>
          </xdr:txBody>
        </xdr:sp>
        <xdr:pic>
          <xdr:nvPicPr>
            <xdr:cNvPr id="27" name="Picture 26">
              <a:extLst>
                <a:ext uri="{FF2B5EF4-FFF2-40B4-BE49-F238E27FC236}">
                  <a16:creationId xmlns:a16="http://schemas.microsoft.com/office/drawing/2014/main" id="{988F70F3-2040-F8BE-D693-798DE569AFA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2842788" y="3202509"/>
              <a:ext cx="666765" cy="448868"/>
            </a:xfrm>
            <a:prstGeom prst="rect">
              <a:avLst/>
            </a:prstGeom>
          </xdr:spPr>
        </xdr:pic>
        <xdr:pic>
          <xdr:nvPicPr>
            <xdr:cNvPr id="35" name="Picture 34">
              <a:extLst>
                <a:ext uri="{FF2B5EF4-FFF2-40B4-BE49-F238E27FC236}">
                  <a16:creationId xmlns:a16="http://schemas.microsoft.com/office/drawing/2014/main" id="{79362760-902A-F6AE-00F3-10794F0A265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9152708" y="3021233"/>
              <a:ext cx="644437" cy="638778"/>
            </a:xfrm>
            <a:prstGeom prst="rect">
              <a:avLst/>
            </a:prstGeom>
          </xdr:spPr>
        </xdr:pic>
        <xdr:pic>
          <xdr:nvPicPr>
            <xdr:cNvPr id="38" name="Picture 37">
              <a:extLst>
                <a:ext uri="{FF2B5EF4-FFF2-40B4-BE49-F238E27FC236}">
                  <a16:creationId xmlns:a16="http://schemas.microsoft.com/office/drawing/2014/main" id="{B2E0AF55-3086-E288-EB7A-AA5A7E80FCA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12636137" y="3047131"/>
              <a:ext cx="988887" cy="603438"/>
            </a:xfrm>
            <a:prstGeom prst="rect">
              <a:avLst/>
            </a:prstGeom>
          </xdr:spPr>
        </xdr:pic>
        <xdr:pic>
          <xdr:nvPicPr>
            <xdr:cNvPr id="40" name="Picture 39">
              <a:extLst>
                <a:ext uri="{FF2B5EF4-FFF2-40B4-BE49-F238E27FC236}">
                  <a16:creationId xmlns:a16="http://schemas.microsoft.com/office/drawing/2014/main" id="{5070C717-19AB-8A28-855C-AE2E2046B0E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5817326" y="2882858"/>
              <a:ext cx="609600" cy="837576"/>
            </a:xfrm>
            <a:prstGeom prst="rect">
              <a:avLst/>
            </a:prstGeom>
          </xdr:spPr>
        </xdr:pic>
        <xdr:grpSp>
          <xdr:nvGrpSpPr>
            <xdr:cNvPr id="7" name="Group 6">
              <a:extLst>
                <a:ext uri="{FF2B5EF4-FFF2-40B4-BE49-F238E27FC236}">
                  <a16:creationId xmlns:a16="http://schemas.microsoft.com/office/drawing/2014/main" id="{49CB5E5C-7B10-3337-A387-7E86B24108ED}"/>
                </a:ext>
              </a:extLst>
            </xdr:cNvPr>
            <xdr:cNvGrpSpPr/>
          </xdr:nvGrpSpPr>
          <xdr:grpSpPr>
            <a:xfrm>
              <a:off x="4014651" y="7320882"/>
              <a:ext cx="9988730" cy="2734649"/>
              <a:chOff x="3316432" y="7586229"/>
              <a:chExt cx="9931976" cy="2743200"/>
            </a:xfrm>
          </xdr:grpSpPr>
          <xdr:graphicFrame macro="">
            <xdr:nvGraphicFramePr>
              <xdr:cNvPr id="42" name="Chart 41">
                <a:extLst>
                  <a:ext uri="{FF2B5EF4-FFF2-40B4-BE49-F238E27FC236}">
                    <a16:creationId xmlns:a16="http://schemas.microsoft.com/office/drawing/2014/main" id="{EEB5A8BD-9E57-4221-872D-A7774FDE9E87}"/>
                  </a:ext>
                </a:extLst>
              </xdr:cNvPr>
              <xdr:cNvGraphicFramePr>
                <a:graphicFrameLocks/>
              </xdr:cNvGraphicFramePr>
            </xdr:nvGraphicFramePr>
            <xdr:xfrm>
              <a:off x="8676408" y="7586229"/>
              <a:ext cx="4572000" cy="27432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4" name="Chart 43">
                <a:extLst>
                  <a:ext uri="{FF2B5EF4-FFF2-40B4-BE49-F238E27FC236}">
                    <a16:creationId xmlns:a16="http://schemas.microsoft.com/office/drawing/2014/main" id="{20676010-E330-4355-944A-31A1BFFF9475}"/>
                  </a:ext>
                </a:extLst>
              </xdr:cNvPr>
              <xdr:cNvGraphicFramePr>
                <a:graphicFrameLocks/>
              </xdr:cNvGraphicFramePr>
            </xdr:nvGraphicFramePr>
            <xdr:xfrm>
              <a:off x="3316432" y="7586229"/>
              <a:ext cx="4572000" cy="2743200"/>
            </xdr:xfrm>
            <a:graphic>
              <a:graphicData uri="http://schemas.openxmlformats.org/drawingml/2006/chart">
                <c:chart xmlns:c="http://schemas.openxmlformats.org/drawingml/2006/chart" xmlns:r="http://schemas.openxmlformats.org/officeDocument/2006/relationships" r:id="rId11"/>
              </a:graphicData>
            </a:graphic>
          </xdr:graphicFrame>
        </xdr:grpSp>
        <xdr:grpSp>
          <xdr:nvGrpSpPr>
            <xdr:cNvPr id="6" name="Group 5">
              <a:extLst>
                <a:ext uri="{FF2B5EF4-FFF2-40B4-BE49-F238E27FC236}">
                  <a16:creationId xmlns:a16="http://schemas.microsoft.com/office/drawing/2014/main" id="{96FE8C42-34B7-9AB8-CFBC-B15D8BBDFE1E}"/>
                </a:ext>
              </a:extLst>
            </xdr:cNvPr>
            <xdr:cNvGrpSpPr/>
          </xdr:nvGrpSpPr>
          <xdr:grpSpPr>
            <a:xfrm>
              <a:off x="2682238" y="4316049"/>
              <a:ext cx="12862561" cy="2486044"/>
              <a:chOff x="2684317" y="4537363"/>
              <a:chExt cx="12789478" cy="2493818"/>
            </a:xfrm>
          </xdr:grpSpPr>
          <xdr:graphicFrame macro="">
            <xdr:nvGraphicFramePr>
              <xdr:cNvPr id="41" name="Chart 40">
                <a:extLst>
                  <a:ext uri="{FF2B5EF4-FFF2-40B4-BE49-F238E27FC236}">
                    <a16:creationId xmlns:a16="http://schemas.microsoft.com/office/drawing/2014/main" id="{9CB08239-59D8-4CB3-B7BE-E8818CE298E3}"/>
                  </a:ext>
                </a:extLst>
              </xdr:cNvPr>
              <xdr:cNvGraphicFramePr>
                <a:graphicFrameLocks/>
              </xdr:cNvGraphicFramePr>
            </xdr:nvGraphicFramePr>
            <xdr:xfrm>
              <a:off x="2684317" y="4537363"/>
              <a:ext cx="4242955" cy="2493818"/>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43" name="Chart 42">
                <a:extLst>
                  <a:ext uri="{FF2B5EF4-FFF2-40B4-BE49-F238E27FC236}">
                    <a16:creationId xmlns:a16="http://schemas.microsoft.com/office/drawing/2014/main" id="{546DD215-F531-4337-B2B8-E81437091164}"/>
                  </a:ext>
                </a:extLst>
              </xdr:cNvPr>
              <xdr:cNvGraphicFramePr>
                <a:graphicFrameLocks/>
              </xdr:cNvGraphicFramePr>
            </xdr:nvGraphicFramePr>
            <xdr:xfrm>
              <a:off x="7048499" y="4537363"/>
              <a:ext cx="4061114" cy="2493818"/>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46" name="Chart 45">
                <a:extLst>
                  <a:ext uri="{FF2B5EF4-FFF2-40B4-BE49-F238E27FC236}">
                    <a16:creationId xmlns:a16="http://schemas.microsoft.com/office/drawing/2014/main" id="{7B520379-49F7-49D2-A390-E14DE7B7160A}"/>
                  </a:ext>
                </a:extLst>
              </xdr:cNvPr>
              <xdr:cNvGraphicFramePr>
                <a:graphicFrameLocks/>
              </xdr:cNvGraphicFramePr>
            </xdr:nvGraphicFramePr>
            <xdr:xfrm>
              <a:off x="11230841" y="4537363"/>
              <a:ext cx="4242954" cy="2493818"/>
            </xdr:xfrm>
            <a:graphic>
              <a:graphicData uri="http://schemas.openxmlformats.org/drawingml/2006/chart">
                <c:chart xmlns:c="http://schemas.openxmlformats.org/drawingml/2006/chart" xmlns:r="http://schemas.openxmlformats.org/officeDocument/2006/relationships" r:id="rId14"/>
              </a:graphicData>
            </a:graphic>
          </xdr:graphicFrame>
        </xdr:grpSp>
        <xdr:sp macro="" textlink="">
          <xdr:nvSpPr>
            <xdr:cNvPr id="8" name="Flowchart: Punched Tape 7">
              <a:extLst>
                <a:ext uri="{FF2B5EF4-FFF2-40B4-BE49-F238E27FC236}">
                  <a16:creationId xmlns:a16="http://schemas.microsoft.com/office/drawing/2014/main" id="{FBC06DCC-56EC-D806-025B-7E97FB5293B6}"/>
                </a:ext>
              </a:extLst>
            </xdr:cNvPr>
            <xdr:cNvSpPr/>
          </xdr:nvSpPr>
          <xdr:spPr>
            <a:xfrm>
              <a:off x="2438400" y="1009957"/>
              <a:ext cx="13620205" cy="1381134"/>
            </a:xfrm>
            <a:prstGeom prst="flowChartPunchedTape">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0">
                  <a:solidFill>
                    <a:sysClr val="windowText" lastClr="000000"/>
                  </a:solidFill>
                  <a:latin typeface="Arial" panose="020B0604020202020204" pitchFamily="34" charset="0"/>
                  <a:cs typeface="Arial" panose="020B0604020202020204" pitchFamily="34" charset="0"/>
                </a:rPr>
                <a:t>The HR Recruitment Analytics Dashboard analyses 1,500 candidates to understand the factors influencing hiring decisions, with an overall hiring rate of approximately 31%. The analysis indicates that interview performance, education level, and recruitment strategy are the most significant drivers of hiring outcomes. Candidates with higher interview scores, advanced degrees, and evaluated through aggressive recruitment strategies demonstrate significantly higher hiring success.</a:t>
              </a:r>
            </a:p>
          </xdr:txBody>
        </xdr:sp>
        <xdr:sp macro="" textlink="">
          <xdr:nvSpPr>
            <xdr:cNvPr id="26" name="Oval 25">
              <a:extLst>
                <a:ext uri="{FF2B5EF4-FFF2-40B4-BE49-F238E27FC236}">
                  <a16:creationId xmlns:a16="http://schemas.microsoft.com/office/drawing/2014/main" id="{AF00B931-8ED4-3B84-F3D1-F3338445DB73}"/>
                </a:ext>
              </a:extLst>
            </xdr:cNvPr>
            <xdr:cNvSpPr/>
          </xdr:nvSpPr>
          <xdr:spPr>
            <a:xfrm>
              <a:off x="7663543" y="932267"/>
              <a:ext cx="3631474" cy="379811"/>
            </a:xfrm>
            <a:prstGeom prst="ellipse">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Black" panose="020B0A04020102020204" pitchFamily="34" charset="0"/>
                </a:rPr>
                <a:t>EXECUTIVE SUMMARY</a:t>
              </a:r>
            </a:p>
          </xdr:txBody>
        </xdr:sp>
        <xdr:sp macro="" textlink="">
          <xdr:nvSpPr>
            <xdr:cNvPr id="28" name="Isosceles Triangle 27">
              <a:extLst>
                <a:ext uri="{FF2B5EF4-FFF2-40B4-BE49-F238E27FC236}">
                  <a16:creationId xmlns:a16="http://schemas.microsoft.com/office/drawing/2014/main" id="{D2992465-B30B-B04D-930F-3708F9A3B371}"/>
                </a:ext>
              </a:extLst>
            </xdr:cNvPr>
            <xdr:cNvSpPr/>
          </xdr:nvSpPr>
          <xdr:spPr>
            <a:xfrm>
              <a:off x="1158239" y="10962766"/>
              <a:ext cx="3213463" cy="2874489"/>
            </a:xfrm>
            <a:prstGeom prst="triangl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ysClr val="windowText" lastClr="000000"/>
                  </a:solidFill>
                  <a:latin typeface="Arial Black" panose="020B0A04020102020204" pitchFamily="34" charset="0"/>
                </a:rPr>
                <a:t>KEY BUSINESS INSIGHTS</a:t>
              </a:r>
            </a:p>
          </xdr:txBody>
        </xdr:sp>
        <xdr:sp macro="" textlink="">
          <xdr:nvSpPr>
            <xdr:cNvPr id="29" name="Arrow: Pentagon 28">
              <a:extLst>
                <a:ext uri="{FF2B5EF4-FFF2-40B4-BE49-F238E27FC236}">
                  <a16:creationId xmlns:a16="http://schemas.microsoft.com/office/drawing/2014/main" id="{5D54C513-2A4E-6945-E9EB-E282CB31AC72}"/>
                </a:ext>
              </a:extLst>
            </xdr:cNvPr>
            <xdr:cNvSpPr/>
          </xdr:nvSpPr>
          <xdr:spPr>
            <a:xfrm>
              <a:off x="4450080" y="10936869"/>
              <a:ext cx="11643359" cy="483121"/>
            </a:xfrm>
            <a:prstGeom prst="homePlat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ysClr val="windowText" lastClr="000000"/>
                  </a:solidFill>
                  <a:latin typeface="Arial" panose="020B0604020202020204" pitchFamily="34" charset="0"/>
                  <a:cs typeface="Arial" panose="020B0604020202020204" pitchFamily="34" charset="0"/>
                </a:rPr>
                <a:t>Advanced Degrees Strongly Influence Hiring </a:t>
              </a:r>
              <a:r>
                <a:rPr lang="en-IN" sz="1100">
                  <a:solidFill>
                    <a:sysClr val="windowText" lastClr="000000"/>
                  </a:solidFill>
                  <a:latin typeface="Arial" panose="020B0604020202020204" pitchFamily="34" charset="0"/>
                  <a:cs typeface="Arial" panose="020B0604020202020204" pitchFamily="34" charset="0"/>
                </a:rPr>
                <a:t>- Candidates with higher educational qualifications show significantly better hiring success.</a:t>
              </a:r>
              <a:r>
                <a:rPr lang="en-IN" sz="1100" baseline="0">
                  <a:solidFill>
                    <a:sysClr val="windowText" lastClr="000000"/>
                  </a:solidFill>
                  <a:latin typeface="Arial" panose="020B0604020202020204" pitchFamily="34" charset="0"/>
                  <a:cs typeface="Arial" panose="020B0604020202020204" pitchFamily="34" charset="0"/>
                </a:rPr>
                <a:t> </a:t>
              </a:r>
              <a:r>
                <a:rPr lang="en-IN" sz="1100" b="1">
                  <a:solidFill>
                    <a:sysClr val="windowText" lastClr="000000"/>
                  </a:solidFill>
                  <a:latin typeface="Arial" panose="020B0604020202020204" pitchFamily="34" charset="0"/>
                  <a:cs typeface="Arial" panose="020B0604020202020204" pitchFamily="34" charset="0"/>
                </a:rPr>
                <a:t>PhD candidates: 57%,</a:t>
              </a:r>
              <a:r>
                <a:rPr lang="en-IN" sz="1100" b="1" baseline="0">
                  <a:solidFill>
                    <a:sysClr val="windowText" lastClr="000000"/>
                  </a:solidFill>
                  <a:latin typeface="Arial" panose="020B0604020202020204" pitchFamily="34" charset="0"/>
                  <a:cs typeface="Arial" panose="020B0604020202020204" pitchFamily="34" charset="0"/>
                </a:rPr>
                <a:t> </a:t>
              </a:r>
              <a:r>
                <a:rPr lang="en-IN" sz="1100" b="1">
                  <a:solidFill>
                    <a:sysClr val="windowText" lastClr="000000"/>
                  </a:solidFill>
                  <a:latin typeface="Arial" panose="020B0604020202020204" pitchFamily="34" charset="0"/>
                  <a:cs typeface="Arial" panose="020B0604020202020204" pitchFamily="34" charset="0"/>
                </a:rPr>
                <a:t>Master’s candidates: 46%,</a:t>
              </a:r>
              <a:r>
                <a:rPr lang="en-IN" sz="1100" b="1" baseline="0">
                  <a:solidFill>
                    <a:sysClr val="windowText" lastClr="000000"/>
                  </a:solidFill>
                  <a:latin typeface="Arial" panose="020B0604020202020204" pitchFamily="34" charset="0"/>
                  <a:cs typeface="Arial" panose="020B0604020202020204" pitchFamily="34" charset="0"/>
                </a:rPr>
                <a:t> </a:t>
              </a:r>
              <a:r>
                <a:rPr lang="en-IN" sz="1100" b="1">
                  <a:solidFill>
                    <a:sysClr val="windowText" lastClr="000000"/>
                  </a:solidFill>
                  <a:latin typeface="Arial" panose="020B0604020202020204" pitchFamily="34" charset="0"/>
                  <a:cs typeface="Arial" panose="020B0604020202020204" pitchFamily="34" charset="0"/>
                </a:rPr>
                <a:t>Bachelor’s candidates: 23% hiring rate.</a:t>
              </a:r>
              <a:r>
                <a:rPr lang="en-IN" sz="1100" b="1" baseline="0">
                  <a:solidFill>
                    <a:sysClr val="windowText" lastClr="000000"/>
                  </a:solidFill>
                  <a:latin typeface="Arial" panose="020B0604020202020204" pitchFamily="34" charset="0"/>
                  <a:cs typeface="Arial" panose="020B0604020202020204" pitchFamily="34" charset="0"/>
                </a:rPr>
                <a:t> </a:t>
              </a:r>
              <a:r>
                <a:rPr lang="en-IN" sz="1100">
                  <a:solidFill>
                    <a:sysClr val="windowText" lastClr="000000"/>
                  </a:solidFill>
                  <a:latin typeface="Arial" panose="020B0604020202020204" pitchFamily="34" charset="0"/>
                  <a:cs typeface="Arial" panose="020B0604020202020204" pitchFamily="34" charset="0"/>
                </a:rPr>
                <a:t>This indicates organizations tend to prioritize advanced educational qualifications when making hiring decisions.</a:t>
              </a:r>
            </a:p>
            <a:p>
              <a:pPr algn="l"/>
              <a:endParaRPr lang="en-IN" sz="1100">
                <a:solidFill>
                  <a:sysClr val="windowText" lastClr="000000"/>
                </a:solidFill>
                <a:latin typeface="Arial" panose="020B0604020202020204" pitchFamily="34" charset="0"/>
                <a:cs typeface="Arial" panose="020B0604020202020204" pitchFamily="34" charset="0"/>
              </a:endParaRPr>
            </a:p>
          </xdr:txBody>
        </xdr:sp>
        <xdr:sp macro="" textlink="">
          <xdr:nvSpPr>
            <xdr:cNvPr id="30" name="Arrow: Pentagon 29">
              <a:extLst>
                <a:ext uri="{FF2B5EF4-FFF2-40B4-BE49-F238E27FC236}">
                  <a16:creationId xmlns:a16="http://schemas.microsoft.com/office/drawing/2014/main" id="{D764640A-04EA-4D9A-B705-4B721E59D029}"/>
                </a:ext>
              </a:extLst>
            </xdr:cNvPr>
            <xdr:cNvSpPr/>
          </xdr:nvSpPr>
          <xdr:spPr>
            <a:xfrm>
              <a:off x="4441370" y="11543273"/>
              <a:ext cx="11678194" cy="483121"/>
            </a:xfrm>
            <a:prstGeom prst="homePlat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b="1" u="sng">
                  <a:solidFill>
                    <a:sysClr val="windowText" lastClr="000000"/>
                  </a:solidFill>
                  <a:latin typeface="Arial" panose="020B0604020202020204" pitchFamily="34" charset="0"/>
                  <a:cs typeface="Arial" panose="020B0604020202020204" pitchFamily="34" charset="0"/>
                </a:rPr>
                <a:t>Interview Performance is the Strongest Hiring Predictor</a:t>
              </a:r>
              <a:r>
                <a:rPr lang="en-IN" sz="1050" b="1" u="sng" baseline="0">
                  <a:solidFill>
                    <a:sysClr val="windowText" lastClr="000000"/>
                  </a:solidFill>
                  <a:latin typeface="Arial" panose="020B0604020202020204" pitchFamily="34" charset="0"/>
                  <a:cs typeface="Arial" panose="020B0604020202020204" pitchFamily="34" charset="0"/>
                </a:rPr>
                <a:t> </a:t>
              </a:r>
              <a:r>
                <a:rPr lang="en-IN" sz="1050" baseline="0">
                  <a:solidFill>
                    <a:sysClr val="windowText" lastClr="000000"/>
                  </a:solidFill>
                  <a:latin typeface="Arial" panose="020B0604020202020204" pitchFamily="34" charset="0"/>
                  <a:cs typeface="Arial" panose="020B0604020202020204" pitchFamily="34" charset="0"/>
                </a:rPr>
                <a:t>- </a:t>
              </a:r>
              <a:r>
                <a:rPr lang="en-IN" sz="1050">
                  <a:solidFill>
                    <a:sysClr val="windowText" lastClr="000000"/>
                  </a:solidFill>
                  <a:latin typeface="Arial" panose="020B0604020202020204" pitchFamily="34" charset="0"/>
                  <a:cs typeface="Arial" panose="020B0604020202020204" pitchFamily="34" charset="0"/>
                </a:rPr>
                <a:t>Candidates scoring above 80 in interviews have nearly double the hiring probability compared to lower score ranges.</a:t>
              </a:r>
              <a:r>
                <a:rPr lang="en-IN" sz="1050" baseline="0">
                  <a:solidFill>
                    <a:sysClr val="windowText" lastClr="000000"/>
                  </a:solidFill>
                  <a:latin typeface="Arial" panose="020B0604020202020204" pitchFamily="34" charset="0"/>
                  <a:cs typeface="Arial" panose="020B0604020202020204" pitchFamily="34" charset="0"/>
                </a:rPr>
                <a:t> </a:t>
              </a:r>
              <a:r>
                <a:rPr lang="en-IN" sz="1050" b="1">
                  <a:solidFill>
                    <a:sysClr val="windowText" lastClr="000000"/>
                  </a:solidFill>
                  <a:latin typeface="Arial" panose="020B0604020202020204" pitchFamily="34" charset="0"/>
                  <a:cs typeface="Arial" panose="020B0604020202020204" pitchFamily="34" charset="0"/>
                </a:rPr>
                <a:t>Interview Score &gt;80 → ~50% hiring probability</a:t>
              </a:r>
              <a:r>
                <a:rPr lang="en-IN" sz="1050" b="1" baseline="0">
                  <a:solidFill>
                    <a:sysClr val="windowText" lastClr="000000"/>
                  </a:solidFill>
                  <a:latin typeface="Arial" panose="020B0604020202020204" pitchFamily="34" charset="0"/>
                  <a:cs typeface="Arial" panose="020B0604020202020204" pitchFamily="34" charset="0"/>
                </a:rPr>
                <a:t> &amp; </a:t>
              </a:r>
              <a:r>
                <a:rPr lang="en-IN" sz="1050" b="1">
                  <a:solidFill>
                    <a:sysClr val="windowText" lastClr="000000"/>
                  </a:solidFill>
                  <a:latin typeface="Arial" panose="020B0604020202020204" pitchFamily="34" charset="0"/>
                  <a:cs typeface="Arial" panose="020B0604020202020204" pitchFamily="34" charset="0"/>
                </a:rPr>
                <a:t>Interview Score &lt;60 → ~27% hiring probability.</a:t>
              </a:r>
              <a:r>
                <a:rPr lang="en-IN" sz="1050" b="1" baseline="0">
                  <a:solidFill>
                    <a:sysClr val="windowText" lastClr="000000"/>
                  </a:solidFill>
                  <a:latin typeface="Arial" panose="020B0604020202020204" pitchFamily="34" charset="0"/>
                  <a:cs typeface="Arial" panose="020B0604020202020204" pitchFamily="34" charset="0"/>
                </a:rPr>
                <a:t> </a:t>
              </a:r>
              <a:r>
                <a:rPr lang="en-IN" sz="1050">
                  <a:solidFill>
                    <a:sysClr val="windowText" lastClr="000000"/>
                  </a:solidFill>
                  <a:latin typeface="Arial" panose="020B0604020202020204" pitchFamily="34" charset="0"/>
                  <a:cs typeface="Arial" panose="020B0604020202020204" pitchFamily="34" charset="0"/>
                </a:rPr>
                <a:t>This confirms that interview performance plays a critical role in final hiring decisions.</a:t>
              </a:r>
            </a:p>
          </xdr:txBody>
        </xdr:sp>
        <xdr:sp macro="" textlink="">
          <xdr:nvSpPr>
            <xdr:cNvPr id="31" name="Arrow: Pentagon 30">
              <a:extLst>
                <a:ext uri="{FF2B5EF4-FFF2-40B4-BE49-F238E27FC236}">
                  <a16:creationId xmlns:a16="http://schemas.microsoft.com/office/drawing/2014/main" id="{97508465-4559-497E-BE45-C1DFF4E9E2F8}"/>
                </a:ext>
              </a:extLst>
            </xdr:cNvPr>
            <xdr:cNvSpPr/>
          </xdr:nvSpPr>
          <xdr:spPr>
            <a:xfrm>
              <a:off x="4432663" y="12149678"/>
              <a:ext cx="11704319" cy="483121"/>
            </a:xfrm>
            <a:prstGeom prst="homePlat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ysClr val="windowText" lastClr="000000"/>
                  </a:solidFill>
                  <a:latin typeface="Arial" panose="020B0604020202020204" pitchFamily="34" charset="0"/>
                  <a:cs typeface="Arial" panose="020B0604020202020204" pitchFamily="34" charset="0"/>
                </a:rPr>
                <a:t>Aggressive Recruitment Strategy Drives Hiring Success</a:t>
              </a:r>
              <a:r>
                <a:rPr lang="en-IN" sz="1100" baseline="0">
                  <a:solidFill>
                    <a:sysClr val="windowText" lastClr="000000"/>
                  </a:solidFill>
                  <a:latin typeface="Arial" panose="020B0604020202020204" pitchFamily="34" charset="0"/>
                  <a:cs typeface="Arial" panose="020B0604020202020204" pitchFamily="34" charset="0"/>
                </a:rPr>
                <a:t> - </a:t>
              </a:r>
              <a:r>
                <a:rPr lang="en-IN" sz="1100">
                  <a:solidFill>
                    <a:sysClr val="windowText" lastClr="000000"/>
                  </a:solidFill>
                  <a:latin typeface="Arial" panose="020B0604020202020204" pitchFamily="34" charset="0"/>
                  <a:cs typeface="Arial" panose="020B0604020202020204" pitchFamily="34" charset="0"/>
                </a:rPr>
                <a:t>Recruitment strategy significantly impacts hiring outcomes.</a:t>
              </a:r>
              <a:r>
                <a:rPr lang="en-IN" sz="1100" baseline="0">
                  <a:solidFill>
                    <a:sysClr val="windowText" lastClr="000000"/>
                  </a:solidFill>
                  <a:latin typeface="Arial" panose="020B0604020202020204" pitchFamily="34" charset="0"/>
                  <a:cs typeface="Arial" panose="020B0604020202020204" pitchFamily="34" charset="0"/>
                </a:rPr>
                <a:t> </a:t>
              </a:r>
              <a:r>
                <a:rPr lang="en-IN" sz="1100" b="1">
                  <a:solidFill>
                    <a:sysClr val="windowText" lastClr="000000"/>
                  </a:solidFill>
                  <a:latin typeface="Arial" panose="020B0604020202020204" pitchFamily="34" charset="0"/>
                  <a:cs typeface="Arial" panose="020B0604020202020204" pitchFamily="34" charset="0"/>
                </a:rPr>
                <a:t>Aggressive strategy: ~72%,</a:t>
              </a:r>
              <a:r>
                <a:rPr lang="en-IN" sz="1100" b="1" baseline="0">
                  <a:solidFill>
                    <a:sysClr val="windowText" lastClr="000000"/>
                  </a:solidFill>
                  <a:latin typeface="Arial" panose="020B0604020202020204" pitchFamily="34" charset="0"/>
                  <a:cs typeface="Arial" panose="020B0604020202020204" pitchFamily="34" charset="0"/>
                </a:rPr>
                <a:t> </a:t>
              </a:r>
              <a:r>
                <a:rPr lang="en-IN" sz="1100" b="1">
                  <a:solidFill>
                    <a:sysClr val="windowText" lastClr="000000"/>
                  </a:solidFill>
                  <a:latin typeface="Arial" panose="020B0604020202020204" pitchFamily="34" charset="0"/>
                  <a:cs typeface="Arial" panose="020B0604020202020204" pitchFamily="34" charset="0"/>
                </a:rPr>
                <a:t>Moderate strategy: ~14%</a:t>
              </a:r>
              <a:r>
                <a:rPr lang="en-IN" sz="1100" b="1" baseline="0">
                  <a:solidFill>
                    <a:sysClr val="windowText" lastClr="000000"/>
                  </a:solidFill>
                  <a:latin typeface="Arial" panose="020B0604020202020204" pitchFamily="34" charset="0"/>
                  <a:cs typeface="Arial" panose="020B0604020202020204" pitchFamily="34" charset="0"/>
                </a:rPr>
                <a:t> &amp; </a:t>
              </a:r>
              <a:r>
                <a:rPr lang="en-IN" sz="1100" b="1">
                  <a:solidFill>
                    <a:sysClr val="windowText" lastClr="000000"/>
                  </a:solidFill>
                  <a:latin typeface="Arial" panose="020B0604020202020204" pitchFamily="34" charset="0"/>
                  <a:cs typeface="Arial" panose="020B0604020202020204" pitchFamily="34" charset="0"/>
                </a:rPr>
                <a:t>Conservative strategy: ~14% hiring rate.</a:t>
              </a:r>
              <a:r>
                <a:rPr lang="en-IN" sz="1100" baseline="0">
                  <a:solidFill>
                    <a:sysClr val="windowText" lastClr="000000"/>
                  </a:solidFill>
                  <a:latin typeface="Arial" panose="020B0604020202020204" pitchFamily="34" charset="0"/>
                  <a:cs typeface="Arial" panose="020B0604020202020204" pitchFamily="34" charset="0"/>
                </a:rPr>
                <a:t> </a:t>
              </a:r>
              <a:r>
                <a:rPr lang="en-IN" sz="1100">
                  <a:solidFill>
                    <a:sysClr val="windowText" lastClr="000000"/>
                  </a:solidFill>
                  <a:latin typeface="Arial" panose="020B0604020202020204" pitchFamily="34" charset="0"/>
                  <a:cs typeface="Arial" panose="020B0604020202020204" pitchFamily="34" charset="0"/>
                </a:rPr>
                <a:t>This suggests that organizations adopting proactive recruitment approaches tend to convert more candidates into hires.</a:t>
              </a:r>
            </a:p>
          </xdr:txBody>
        </xdr:sp>
        <xdr:sp macro="" textlink="">
          <xdr:nvSpPr>
            <xdr:cNvPr id="32" name="Arrow: Pentagon 31">
              <a:extLst>
                <a:ext uri="{FF2B5EF4-FFF2-40B4-BE49-F238E27FC236}">
                  <a16:creationId xmlns:a16="http://schemas.microsoft.com/office/drawing/2014/main" id="{650229EA-2304-407F-A198-07B923D9B16C}"/>
                </a:ext>
              </a:extLst>
            </xdr:cNvPr>
            <xdr:cNvSpPr/>
          </xdr:nvSpPr>
          <xdr:spPr>
            <a:xfrm>
              <a:off x="4432663" y="12756083"/>
              <a:ext cx="11730446" cy="483121"/>
            </a:xfrm>
            <a:prstGeom prst="homePlat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u="sng">
                  <a:solidFill>
                    <a:sysClr val="windowText" lastClr="000000"/>
                  </a:solidFill>
                  <a:latin typeface="Arial" panose="020B0604020202020204" pitchFamily="34" charset="0"/>
                  <a:cs typeface="Arial" panose="020B0604020202020204" pitchFamily="34" charset="0"/>
                </a:rPr>
                <a:t>Ideal Experience Range for Hiring</a:t>
              </a:r>
              <a:r>
                <a:rPr lang="en-IN" b="1" u="sng" baseline="0">
                  <a:solidFill>
                    <a:sysClr val="windowText" lastClr="000000"/>
                  </a:solidFill>
                  <a:latin typeface="Arial" panose="020B0604020202020204" pitchFamily="34" charset="0"/>
                  <a:cs typeface="Arial" panose="020B0604020202020204" pitchFamily="34" charset="0"/>
                </a:rPr>
                <a:t> </a:t>
              </a:r>
              <a:r>
                <a:rPr lang="en-IN" b="0" baseline="0">
                  <a:solidFill>
                    <a:sysClr val="windowText" lastClr="000000"/>
                  </a:solidFill>
                  <a:latin typeface="Arial" panose="020B0604020202020204" pitchFamily="34" charset="0"/>
                  <a:cs typeface="Arial" panose="020B0604020202020204" pitchFamily="34" charset="0"/>
                </a:rPr>
                <a:t>- </a:t>
              </a:r>
              <a:r>
                <a:rPr lang="en-IN" b="0">
                  <a:solidFill>
                    <a:sysClr val="windowText" lastClr="000000"/>
                  </a:solidFill>
                  <a:latin typeface="Arial" panose="020B0604020202020204" pitchFamily="34" charset="0"/>
                  <a:cs typeface="Arial" panose="020B0604020202020204" pitchFamily="34" charset="0"/>
                </a:rPr>
                <a:t>The average candidate experience is ~7.7 years, suggesting that mid-level professionals dominate hiring outcomes. </a:t>
              </a:r>
              <a:r>
                <a:rPr lang="en-IN" b="1">
                  <a:solidFill>
                    <a:sysClr val="windowText" lastClr="000000"/>
                  </a:solidFill>
                  <a:latin typeface="Arial" panose="020B0604020202020204" pitchFamily="34" charset="0"/>
                  <a:cs typeface="Arial" panose="020B0604020202020204" pitchFamily="34" charset="0"/>
                </a:rPr>
                <a:t>Candidates with 5–10 years of experience appear to have the strongest hiring success</a:t>
              </a:r>
              <a:r>
                <a:rPr lang="en-IN" b="0">
                  <a:solidFill>
                    <a:sysClr val="windowText" lastClr="000000"/>
                  </a:solidFill>
                  <a:latin typeface="Arial" panose="020B0604020202020204" pitchFamily="34" charset="0"/>
                  <a:cs typeface="Arial" panose="020B0604020202020204" pitchFamily="34" charset="0"/>
                </a:rPr>
                <a:t>, indicating preference for professionals with practical industry exposure. Ideal Experience Range for Hiring.</a:t>
              </a:r>
              <a:r>
                <a:rPr lang="en-IN" b="0" baseline="0">
                  <a:solidFill>
                    <a:sysClr val="windowText" lastClr="000000"/>
                  </a:solidFill>
                  <a:latin typeface="Arial" panose="020B0604020202020204" pitchFamily="34" charset="0"/>
                  <a:cs typeface="Arial" panose="020B0604020202020204" pitchFamily="34" charset="0"/>
                </a:rPr>
                <a:t> </a:t>
              </a:r>
              <a:endParaRPr lang="en-IN" b="0">
                <a:solidFill>
                  <a:sysClr val="windowText" lastClr="000000"/>
                </a:solidFill>
                <a:latin typeface="Arial" panose="020B0604020202020204" pitchFamily="34" charset="0"/>
                <a:cs typeface="Arial" panose="020B0604020202020204" pitchFamily="34" charset="0"/>
              </a:endParaRPr>
            </a:p>
          </xdr:txBody>
        </xdr:sp>
        <xdr:sp macro="" textlink="">
          <xdr:nvSpPr>
            <xdr:cNvPr id="33" name="Arrow: Pentagon 32">
              <a:extLst>
                <a:ext uri="{FF2B5EF4-FFF2-40B4-BE49-F238E27FC236}">
                  <a16:creationId xmlns:a16="http://schemas.microsoft.com/office/drawing/2014/main" id="{604D972E-3297-465F-AC8A-780573B93EE0}"/>
                </a:ext>
              </a:extLst>
            </xdr:cNvPr>
            <xdr:cNvSpPr/>
          </xdr:nvSpPr>
          <xdr:spPr>
            <a:xfrm>
              <a:off x="4432664" y="13362489"/>
              <a:ext cx="11756571" cy="483121"/>
            </a:xfrm>
            <a:prstGeom prst="homePlate">
              <a:avLst/>
            </a:prstGeom>
            <a:solidFill>
              <a:schemeClr val="accent6">
                <a:lumMod val="20000"/>
                <a:lumOff val="80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latin typeface="Arial" panose="020B0604020202020204" pitchFamily="34" charset="0"/>
                  <a:cs typeface="Arial" panose="020B0604020202020204" pitchFamily="34" charset="0"/>
                </a:rPr>
                <a:t>Balanced Skill and Personality Scores Improve Hiring Probability - </a:t>
              </a:r>
              <a:r>
                <a:rPr lang="en-IN" sz="1100">
                  <a:solidFill>
                    <a:sysClr val="windowText" lastClr="000000"/>
                  </a:solidFill>
                  <a:latin typeface="Arial" panose="020B0604020202020204" pitchFamily="34" charset="0"/>
                  <a:cs typeface="Arial" panose="020B0604020202020204" pitchFamily="34" charset="0"/>
                </a:rPr>
                <a:t>Candidates who demonstrate high technical skill scores combined with strong personality scores are more likely to be hired. </a:t>
              </a:r>
              <a:r>
                <a:rPr lang="en-IN" sz="1100" b="1">
                  <a:solidFill>
                    <a:sysClr val="windowText" lastClr="000000"/>
                  </a:solidFill>
                  <a:latin typeface="Arial" panose="020B0604020202020204" pitchFamily="34" charset="0"/>
                  <a:cs typeface="Arial" panose="020B0604020202020204" pitchFamily="34" charset="0"/>
                </a:rPr>
                <a:t>This indicates organizations value both technical capability and behavioural competencies</a:t>
              </a:r>
              <a:r>
                <a:rPr lang="en-IN" sz="1100">
                  <a:solidFill>
                    <a:sysClr val="windowText" lastClr="000000"/>
                  </a:solidFill>
                  <a:latin typeface="Arial" panose="020B0604020202020204" pitchFamily="34" charset="0"/>
                  <a:cs typeface="Arial" panose="020B0604020202020204" pitchFamily="34" charset="0"/>
                </a:rPr>
                <a:t>, not just academic qualifications.</a:t>
              </a:r>
            </a:p>
          </xdr:txBody>
        </xdr:sp>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74C4EC03-743E-49FF-8351-0CB0220E3494}"/>
                    </a:ext>
                  </a:extLst>
                </xdr:cNvPr>
                <xdr:cNvGraphicFramePr/>
              </xdr:nvGraphicFramePr>
              <xdr:xfrm>
                <a:off x="0" y="6772275"/>
                <a:ext cx="2762250" cy="308610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0" y="6772275"/>
                  <a:ext cx="2762250" cy="3086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pic>
        <xdr:nvPicPr>
          <xdr:cNvPr id="37" name="Graphic 36" descr="Upward trend">
            <a:extLst>
              <a:ext uri="{FF2B5EF4-FFF2-40B4-BE49-F238E27FC236}">
                <a16:creationId xmlns:a16="http://schemas.microsoft.com/office/drawing/2014/main" id="{E39CB368-EB64-053F-1737-01617971C39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582400" y="4333875"/>
            <a:ext cx="361950" cy="3619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24</xdr:col>
          <xdr:colOff>523875</xdr:colOff>
          <xdr:row>66</xdr:row>
          <xdr:rowOff>9525</xdr:rowOff>
        </xdr:from>
        <xdr:to>
          <xdr:col>27</xdr:col>
          <xdr:colOff>447675</xdr:colOff>
          <xdr:row>66</xdr:row>
          <xdr:rowOff>247650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100" b="1" i="0" u="none" strike="noStrike" baseline="0">
                  <a:solidFill>
                    <a:srgbClr val="000000"/>
                  </a:solidFill>
                  <a:latin typeface="Arial Black"/>
                </a:rPr>
                <a:t>Candidate Analyzer</a:t>
              </a:r>
            </a:p>
          </xdr:txBody>
        </xdr:sp>
        <xdr:clientData fPrintsWithSheet="0"/>
      </xdr:twoCellAnchor>
    </mc:Choice>
    <mc:Fallback/>
  </mc:AlternateContent>
  <xdr:twoCellAnchor editAs="oneCell">
    <xdr:from>
      <xdr:col>27</xdr:col>
      <xdr:colOff>514350</xdr:colOff>
      <xdr:row>0</xdr:row>
      <xdr:rowOff>104775</xdr:rowOff>
    </xdr:from>
    <xdr:to>
      <xdr:col>28</xdr:col>
      <xdr:colOff>561975</xdr:colOff>
      <xdr:row>2</xdr:row>
      <xdr:rowOff>209550</xdr:rowOff>
    </xdr:to>
    <xdr:pic macro="[0]!RefreshDashboard">
      <xdr:nvPicPr>
        <xdr:cNvPr id="47" name="Graphic 46" descr="Repeat">
          <a:extLst>
            <a:ext uri="{FF2B5EF4-FFF2-40B4-BE49-F238E27FC236}">
              <a16:creationId xmlns:a16="http://schemas.microsoft.com/office/drawing/2014/main" id="{2DC7424F-DA98-1207-1A08-1DEC09293D2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6973550" y="104775"/>
          <a:ext cx="657225" cy="657225"/>
        </a:xfrm>
        <a:prstGeom prst="rect">
          <a:avLst/>
        </a:prstGeom>
        <a:effectLst>
          <a:outerShdw blurRad="50800" dist="38100" dir="5400000" algn="t"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85724</xdr:colOff>
      <xdr:row>4</xdr:row>
      <xdr:rowOff>57149</xdr:rowOff>
    </xdr:from>
    <xdr:to>
      <xdr:col>7</xdr:col>
      <xdr:colOff>247650</xdr:colOff>
      <xdr:row>22</xdr:row>
      <xdr:rowOff>161925</xdr:rowOff>
    </xdr:to>
    <xdr:graphicFrame macro="">
      <xdr:nvGraphicFramePr>
        <xdr:cNvPr id="2" name="Chart 1">
          <a:extLst>
            <a:ext uri="{FF2B5EF4-FFF2-40B4-BE49-F238E27FC236}">
              <a16:creationId xmlns:a16="http://schemas.microsoft.com/office/drawing/2014/main" id="{7FD79DEA-C08C-C42A-857A-858BB008AB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528636</xdr:colOff>
      <xdr:row>36</xdr:row>
      <xdr:rowOff>152400</xdr:rowOff>
    </xdr:from>
    <xdr:to>
      <xdr:col>10</xdr:col>
      <xdr:colOff>247649</xdr:colOff>
      <xdr:row>59</xdr:row>
      <xdr:rowOff>0</xdr:rowOff>
    </xdr:to>
    <xdr:graphicFrame macro="">
      <xdr:nvGraphicFramePr>
        <xdr:cNvPr id="4" name="Chart 3">
          <a:extLst>
            <a:ext uri="{FF2B5EF4-FFF2-40B4-BE49-F238E27FC236}">
              <a16:creationId xmlns:a16="http://schemas.microsoft.com/office/drawing/2014/main" id="{2F45C314-83DE-D564-6ED6-53D6B46299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390524</xdr:colOff>
      <xdr:row>25</xdr:row>
      <xdr:rowOff>171450</xdr:rowOff>
    </xdr:from>
    <xdr:to>
      <xdr:col>7</xdr:col>
      <xdr:colOff>0</xdr:colOff>
      <xdr:row>31</xdr:row>
      <xdr:rowOff>142875</xdr:rowOff>
    </xdr:to>
    <xdr:graphicFrame macro="">
      <xdr:nvGraphicFramePr>
        <xdr:cNvPr id="5" name="Chart 4">
          <a:extLst>
            <a:ext uri="{FF2B5EF4-FFF2-40B4-BE49-F238E27FC236}">
              <a16:creationId xmlns:a16="http://schemas.microsoft.com/office/drawing/2014/main" id="{140DD287-746C-46A6-AD2F-23FD60181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542925</xdr:colOff>
          <xdr:row>2</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400" b="1" i="0" u="none" strike="noStrike" baseline="0">
                  <a:solidFill>
                    <a:srgbClr val="000000"/>
                  </a:solidFill>
                  <a:latin typeface="Arial"/>
                  <a:cs typeface="Arial"/>
                </a:rPr>
                <a:t>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92.153440046299" createdVersion="8" refreshedVersion="8" minRefreshableVersion="3" recordCount="1500" xr:uid="{162C4931-4ACB-4240-8885-1EAD85AFFF20}">
  <cacheSource type="worksheet">
    <worksheetSource name="recruitment_data3"/>
  </cacheSource>
  <cacheFields count="16">
    <cacheField name="Candidate ID" numFmtId="0">
      <sharedItems/>
    </cacheField>
    <cacheField name="Age" numFmtId="0">
      <sharedItems containsSemiMixedTypes="0" containsString="0" containsNumber="1" containsInteger="1" minValue="20" maxValue="50"/>
    </cacheField>
    <cacheField name="Gender Label" numFmtId="0">
      <sharedItems count="2">
        <s v="Female"/>
        <s v="Male"/>
      </sharedItems>
    </cacheField>
    <cacheField name="Gender" numFmtId="0">
      <sharedItems containsSemiMixedTypes="0" containsString="0" containsNumber="1" containsInteger="1" minValue="0" maxValue="1"/>
    </cacheField>
    <cacheField name="Education Label" numFmtId="0">
      <sharedItems count="4">
        <s v="Bachelor Type 2"/>
        <s v="PhD"/>
        <s v="Bachelor Type 1"/>
        <s v="Masters"/>
      </sharedItems>
    </cacheField>
    <cacheField name="EducationLevel" numFmtId="0">
      <sharedItems containsSemiMixedTypes="0" containsString="0" containsNumber="1" containsInteger="1" minValue="1" maxValue="4"/>
    </cacheField>
    <cacheField name="ExperienceYears" numFmtId="0">
      <sharedItems containsSemiMixedTypes="0" containsString="0" containsNumber="1" containsInteger="1" minValue="0" maxValue="15" count="16">
        <n v="0"/>
        <n v="12"/>
        <n v="3"/>
        <n v="5"/>
        <n v="6"/>
        <n v="14"/>
        <n v="13"/>
        <n v="2"/>
        <n v="15"/>
        <n v="7"/>
        <n v="1"/>
        <n v="9"/>
        <n v="8"/>
        <n v="4"/>
        <n v="11"/>
        <n v="10"/>
      </sharedItems>
      <fieldGroup base="6">
        <rangePr startNum="0" endNum="15" groupInterval="3"/>
        <groupItems count="7">
          <s v="&lt;0"/>
          <s v="0-2"/>
          <s v="3-5"/>
          <s v="6-8"/>
          <s v="9-11"/>
          <s v="12-15"/>
          <s v="&gt;15"/>
        </groupItems>
      </fieldGroup>
    </cacheField>
    <cacheField name="PreviousCompanies" numFmtId="0">
      <sharedItems containsSemiMixedTypes="0" containsString="0" containsNumber="1" containsInteger="1" minValue="1" maxValue="5"/>
    </cacheField>
    <cacheField name="DistanceFromCompany" numFmtId="0">
      <sharedItems containsSemiMixedTypes="0" containsString="0" containsNumber="1" minValue="1.0313758314228085" maxValue="50.992462224320008" count="1500">
        <n v="26.783827553853655"/>
        <n v="25.862694329543899"/>
        <n v="9.9208048281747878"/>
        <n v="6.4077507286678372"/>
        <n v="43.105343124175583"/>
        <n v="31.706658809375902"/>
        <n v="17.291229200972435"/>
        <n v="10.586810869513323"/>
        <n v="28.774864008481572"/>
        <n v="30.195964463056768"/>
        <n v="11.349680062252908"/>
        <n v="43.570287394573697"/>
        <n v="5.2132183077925545"/>
        <n v="18.804654258321083"/>
        <n v="35.019220688126104"/>
        <n v="14.706018190960034"/>
        <n v="42.383759739063592"/>
        <n v="37.993391330020174"/>
        <n v="40.451142227406713"/>
        <n v="6.9553267938358134"/>
        <n v="8.0273563997771458"/>
        <n v="15.323686887229181"/>
        <n v="26.903858259878053"/>
        <n v="38.40080383497012"/>
        <n v="42.826544538045177"/>
        <n v="36.216765797859026"/>
        <n v="47.429844076531914"/>
        <n v="37.937175480796512"/>
        <n v="16.313394350230737"/>
        <n v="14.254064216928629"/>
        <n v="35.809622515054492"/>
        <n v="10.643528434480714"/>
        <n v="5.6357405405134946"/>
        <n v="27.611143742809695"/>
        <n v="42.082078488947765"/>
        <n v="6.0689921234931763"/>
        <n v="40.594566189786462"/>
        <n v="41.578600217577403"/>
        <n v="25.113700004077177"/>
        <n v="3.8655155005243405"/>
        <n v="9.7294925623593205"/>
        <n v="36.371313758096619"/>
        <n v="36.588897249547472"/>
        <n v="45.917763758383266"/>
        <n v="30.134307327729143"/>
        <n v="7.2053683856888693"/>
        <n v="7.0707452752486066"/>
        <n v="37.056617867841183"/>
        <n v="10.189233255395058"/>
        <n v="17.419274980830266"/>
        <n v="25.360600346095694"/>
        <n v="2.2382438788075598"/>
        <n v="13.440951350996594"/>
        <n v="21.394480425364002"/>
        <n v="14.981815924660312"/>
        <n v="7.8185163733782916"/>
        <n v="37.400612889809871"/>
        <n v="41.657382758399244"/>
        <n v="13.873948807186242"/>
        <n v="39.720974730315163"/>
        <n v="20.277678220065692"/>
        <n v="26.334289542700141"/>
        <n v="43.800053744657639"/>
        <n v="38.497684090120394"/>
        <n v="41.255842565808884"/>
        <n v="7.8422583293178407"/>
        <n v="4.4859712916864734"/>
        <n v="45.670236454399351"/>
        <n v="20.391713478554717"/>
        <n v="15.393983903484042"/>
        <n v="37.234812713091223"/>
        <n v="42.820779828992833"/>
        <n v="44.124481094915048"/>
        <n v="16.799857056261366"/>
        <n v="43.610619560083698"/>
        <n v="3.0466972187172692"/>
        <n v="3.4830745729859438"/>
        <n v="32.17595975870772"/>
        <n v="4.1553184557773122"/>
        <n v="17.230458425508075"/>
        <n v="34.637799312346203"/>
        <n v="17.863344802711318"/>
        <n v="9.9799890720047966"/>
        <n v="15.067531092692082"/>
        <n v="23.878766612521588"/>
        <n v="24.769292767774118"/>
        <n v="40.150011567360096"/>
        <n v="38.507661471575624"/>
        <n v="23.84089022780676"/>
        <n v="43.283367454938571"/>
        <n v="6.7118569295697919"/>
        <n v="13.767667511445074"/>
        <n v="42.398823175112575"/>
        <n v="19.899701931307654"/>
        <n v="50.059077939692109"/>
        <n v="24.312664076391769"/>
        <n v="40.596781148188207"/>
        <n v="21.115352069118597"/>
        <n v="22.247675953121519"/>
        <n v="20.144157364209175"/>
        <n v="36.953781025540586"/>
        <n v="28.375894202999724"/>
        <n v="48.188905568418456"/>
        <n v="13.544515826705238"/>
        <n v="6.028136604172218"/>
        <n v="20.663074254960762"/>
        <n v="31.835635382338801"/>
        <n v="44.03994684577475"/>
        <n v="18.309844334016383"/>
        <n v="33.68933755622308"/>
        <n v="18.509934051160954"/>
        <n v="31.860979149722905"/>
        <n v="45.240397351532543"/>
        <n v="12.567882112970452"/>
        <n v="21.212082105351957"/>
        <n v="50.66325982148733"/>
        <n v="44.427851412473039"/>
        <n v="29.231992894810098"/>
        <n v="26.831379592713766"/>
        <n v="15.23001911523405"/>
        <n v="26.860471384676469"/>
        <n v="43.409074913997358"/>
        <n v="35.258725663889031"/>
        <n v="15.502201408899328"/>
        <n v="11.073196052676646"/>
        <n v="14.260426849841455"/>
        <n v="9.4879600696413267"/>
        <n v="5.7820348011857972"/>
        <n v="21.95680872210275"/>
        <n v="6.6649802199133852"/>
        <n v="9.5956278863552171"/>
        <n v="28.366234216974306"/>
        <n v="9.2299636849787365"/>
        <n v="4.1939883715451423"/>
        <n v="16.869442501394261"/>
        <n v="12.015954931098376"/>
        <n v="26.765259399718836"/>
        <n v="6.1183542291604658"/>
        <n v="38.588539384148909"/>
        <n v="46.311675971756934"/>
        <n v="38.171758697809722"/>
        <n v="27.641351870069713"/>
        <n v="44.033391089444258"/>
        <n v="35.745918989075378"/>
        <n v="1.5275561225094927"/>
        <n v="20.704507638725154"/>
        <n v="43.54759497034"/>
        <n v="18.292942898763464"/>
        <n v="2.7607586762761751"/>
        <n v="38.308981927613615"/>
        <n v="41.101913514143426"/>
        <n v="9.0296847521654282"/>
        <n v="27.867024842159061"/>
        <n v="10.597771949786289"/>
        <n v="36.961720952207337"/>
        <n v="14.577522758874283"/>
        <n v="16.810756128166503"/>
        <n v="43.248542682005066"/>
        <n v="24.816117610345216"/>
        <n v="34.487722560912388"/>
        <n v="21.118652536123381"/>
        <n v="15.90034285968777"/>
        <n v="32.273903021233068"/>
        <n v="8.7428787039410629"/>
        <n v="19.64999177834315"/>
        <n v="11.451851869296114"/>
        <n v="35.789748347037275"/>
        <n v="48.210441917305381"/>
        <n v="50.775548400793319"/>
        <n v="23.513840522079537"/>
        <n v="13.626519481822223"/>
        <n v="23.141468519216208"/>
        <n v="43.363470498136188"/>
        <n v="11.300283927601994"/>
        <n v="48.604782582646187"/>
        <n v="18.09328843990755"/>
        <n v="50.290182972515247"/>
        <n v="42.930444376698112"/>
        <n v="41.428526707369514"/>
        <n v="16.895233688664177"/>
        <n v="1.4388605973964732"/>
        <n v="20.106645441299392"/>
        <n v="16.090468483134686"/>
        <n v="2.8698495204398649"/>
        <n v="26.268262825296482"/>
        <n v="21.151565564136831"/>
        <n v="32.727823387076242"/>
        <n v="32.059316109704156"/>
        <n v="7.0373317948340057"/>
        <n v="49.848277306331127"/>
        <n v="10.346571472072347"/>
        <n v="23.263701238235228"/>
        <n v="25.405877171686747"/>
        <n v="41.653139860706005"/>
        <n v="5.9614798047323383"/>
        <n v="22.432213960426587"/>
        <n v="32.425108511810194"/>
        <n v="11.757781081202777"/>
        <n v="32.37339493830364"/>
        <n v="47.183241877482637"/>
        <n v="50.875906558633751"/>
        <n v="2.6225538395337855"/>
        <n v="12.779411412233875"/>
        <n v="16.515355789584873"/>
        <n v="20.956305022248305"/>
        <n v="13.112857879238369"/>
        <n v="11.174399727765627"/>
        <n v="48.727692120874998"/>
        <n v="46.92608013852589"/>
        <n v="3.3496250501558738"/>
        <n v="17.940651080242407"/>
        <n v="21.25742768392033"/>
        <n v="12.950726733297168"/>
        <n v="32.44364484940877"/>
        <n v="33.019037332212051"/>
        <n v="43.525211416429855"/>
        <n v="38.043463419260888"/>
        <n v="28.128666348297781"/>
        <n v="33.679338502220993"/>
        <n v="14.699439077150904"/>
        <n v="30.652809498367883"/>
        <n v="25.461362737495961"/>
        <n v="7.6672233658185203"/>
        <n v="13.127213829148536"/>
        <n v="15.584672536079301"/>
        <n v="47.215478352627898"/>
        <n v="12.519331969294472"/>
        <n v="15.462195140983408"/>
        <n v="19.467706504471614"/>
        <n v="34.18713693126935"/>
        <n v="6.9119196236070257"/>
        <n v="48.697260624688802"/>
        <n v="44.278561004738222"/>
        <n v="29.860803650447508"/>
        <n v="34.701893371247834"/>
        <n v="1.8330235622107995"/>
        <n v="17.947238767422434"/>
        <n v="40.783011533072099"/>
        <n v="4.8741486896192949"/>
        <n v="15.11569171053601"/>
        <n v="30.264841416715566"/>
        <n v="13.820651384947091"/>
        <n v="47.698898707225958"/>
        <n v="7.5529315402145185"/>
        <n v="40.869717895388931"/>
        <n v="26.397434595320412"/>
        <n v="38.516538790997799"/>
        <n v="16.535766415572372"/>
        <n v="26.724480115601938"/>
        <n v="43.841767486158815"/>
        <n v="24.343904956155221"/>
        <n v="18.985993095513482"/>
        <n v="27.807769312636804"/>
        <n v="36.868137651818344"/>
        <n v="23.178167274925137"/>
        <n v="47.943848757113649"/>
        <n v="15.747291202117102"/>
        <n v="24.77318030845602"/>
        <n v="38.846382967072074"/>
        <n v="35.456054524787909"/>
        <n v="44.18205262085781"/>
        <n v="50.840459034055442"/>
        <n v="22.342916439754479"/>
        <n v="6.557543989165592"/>
        <n v="2.5207940403983988"/>
        <n v="37.343845306988584"/>
        <n v="44.700683565435781"/>
        <n v="12.035629297220934"/>
        <n v="8.9224018594952987"/>
        <n v="4.1102545762845493"/>
        <n v="42.13514608586032"/>
        <n v="16.569096994629216"/>
        <n v="21.084844637988823"/>
        <n v="26.137509580480614"/>
        <n v="42.972661710477539"/>
        <n v="33.541661078074249"/>
        <n v="31.753231492890563"/>
        <n v="9.7836049977955355"/>
        <n v="26.659494585491487"/>
        <n v="36.769050858932758"/>
        <n v="49.663044151524588"/>
        <n v="11.070315460667612"/>
        <n v="1.4771676533613323"/>
        <n v="4.7650716799234871"/>
        <n v="19.79262325909896"/>
        <n v="42.027232387299357"/>
        <n v="1.3571040884122523"/>
        <n v="23.836529644292014"/>
        <n v="17.461530767069725"/>
        <n v="3.6240855049863789"/>
        <n v="23.511814333630863"/>
        <n v="13.737435366835943"/>
        <n v="18.594241717350322"/>
        <n v="36.280765239214652"/>
        <n v="27.077549195548354"/>
        <n v="7.2323714496406666"/>
        <n v="49.070727021181952"/>
        <n v="32.79553828548692"/>
        <n v="39.293421283126577"/>
        <n v="4.9606575004185407"/>
        <n v="3.3529189730009445"/>
        <n v="1.9724025184040586"/>
        <n v="10.439701388672223"/>
        <n v="21.720419885924755"/>
        <n v="47.79130667014114"/>
        <n v="23.852982963288817"/>
        <n v="15.512755268626471"/>
        <n v="29.096762675983168"/>
        <n v="6.5967289067394619"/>
        <n v="31.47529455024916"/>
        <n v="29.421597716525167"/>
        <n v="40.599651670285482"/>
        <n v="50.334380580851203"/>
        <n v="13.543673585805525"/>
        <n v="26.482822540188032"/>
        <n v="46.44327031595018"/>
        <n v="40.259494221142063"/>
        <n v="25.37031515504038"/>
        <n v="48.268582480738893"/>
        <n v="3.8618346758404689"/>
        <n v="47.549930985629203"/>
        <n v="3.5253696191403274"/>
        <n v="28.365237205734218"/>
        <n v="45.522047400054291"/>
        <n v="14.136047178065141"/>
        <n v="24.612424947257928"/>
        <n v="17.21644395684833"/>
        <n v="48.607195853817572"/>
        <n v="42.18227973765454"/>
        <n v="36.450075566318979"/>
        <n v="30.381349330755434"/>
        <n v="42.029589466207405"/>
        <n v="20.613352076177353"/>
        <n v="23.377592755303095"/>
        <n v="37.500086054043074"/>
        <n v="18.887738164685711"/>
        <n v="4.1950471024186911"/>
        <n v="4.7167304443035736"/>
        <n v="6.7681400652851931"/>
        <n v="44.484066167183137"/>
        <n v="24.611321287810217"/>
        <n v="36.644118467236822"/>
        <n v="20.645466780244664"/>
        <n v="13.935547370781725"/>
        <n v="18.359608378110597"/>
        <n v="40.709117265859177"/>
        <n v="32.260806251571907"/>
        <n v="47.8819889978951"/>
        <n v="34.985238928841696"/>
        <n v="29.509081587734698"/>
        <n v="31.509800449291724"/>
        <n v="48.118571973420728"/>
        <n v="40.410046493335301"/>
        <n v="2.2020618683218909"/>
        <n v="27.70698480678486"/>
        <n v="35.416920577328241"/>
        <n v="38.434923921957754"/>
        <n v="11.657105965696834"/>
        <n v="44.358867722567609"/>
        <n v="48.792157358758189"/>
        <n v="12.835765292243488"/>
        <n v="45.130772875862291"/>
        <n v="5.8489381258047697"/>
        <n v="3.7853418057622594"/>
        <n v="7.4611900051374684"/>
        <n v="3.8870539733517999"/>
        <n v="43.250611857788797"/>
        <n v="3.9525072229135976"/>
        <n v="14.583209568182774"/>
        <n v="6.1878171767928194"/>
        <n v="15.771101815688247"/>
        <n v="5.5279733800460242"/>
        <n v="34.400162537150699"/>
        <n v="7.6663408171287575"/>
        <n v="43.592296291944393"/>
        <n v="41.859552536332053"/>
        <n v="1.683084273530471"/>
        <n v="45.786317775755727"/>
        <n v="2.4472158371683532"/>
        <n v="12.98228924787783"/>
        <n v="2.6194568887997529"/>
        <n v="17.792174351965798"/>
        <n v="26.693326285663581"/>
        <n v="40.832243450756906"/>
        <n v="17.899077523491808"/>
        <n v="36.274501233655833"/>
        <n v="10.375222855949017"/>
        <n v="38.529922837206321"/>
        <n v="12.799830295461877"/>
        <n v="8.1772377971883969"/>
        <n v="10.270442518702716"/>
        <n v="10.10315644409277"/>
        <n v="26.643143968849557"/>
        <n v="43.239879059407301"/>
        <n v="4.9802538496252815"/>
        <n v="36.347815924671131"/>
        <n v="33.717322982642884"/>
        <n v="44.625997591468121"/>
        <n v="13.207378025345362"/>
        <n v="23.505492934251482"/>
        <n v="47.291368722175868"/>
        <n v="33.999672506765862"/>
        <n v="20.438420643079844"/>
        <n v="7.5706191427634231"/>
        <n v="14.124250395029552"/>
        <n v="30.060773874469163"/>
        <n v="36.908397378025683"/>
        <n v="7.2210943425946743"/>
        <n v="30.979863002202698"/>
        <n v="28.517563941937549"/>
        <n v="26.697772334535401"/>
        <n v="35.506155884100394"/>
        <n v="42.872479754173092"/>
        <n v="17.149484158843418"/>
        <n v="45.450609505547973"/>
        <n v="9.0316806309275339"/>
        <n v="9.651193487558217"/>
        <n v="14.338603181196195"/>
        <n v="6.976543477353891"/>
        <n v="12.515961234143878"/>
        <n v="6.3205881451422297"/>
        <n v="42.08762084926952"/>
        <n v="7.9484495943312297"/>
        <n v="38.364877877992839"/>
        <n v="3.395693395666687"/>
        <n v="48.42601637569576"/>
        <n v="36.558004376388311"/>
        <n v="1.3398274293055892"/>
        <n v="39.192825010010701"/>
        <n v="26.704096038309267"/>
        <n v="39.968258516755988"/>
        <n v="27.124840444529422"/>
        <n v="33.051242881767735"/>
        <n v="40.316582769752024"/>
        <n v="21.255402729392834"/>
        <n v="1.1354074910226044"/>
        <n v="43.497324797259424"/>
        <n v="20.044518131233129"/>
        <n v="25.802136300829154"/>
        <n v="1.3883321076984358"/>
        <n v="25.604600517504899"/>
        <n v="50.324370078586476"/>
        <n v="14.913383040938482"/>
        <n v="20.770913512118902"/>
        <n v="35.359499823433829"/>
        <n v="41.739683376182931"/>
        <n v="21.869581200305014"/>
        <n v="16.483443520064625"/>
        <n v="47.891289999253353"/>
        <n v="34.857248333583463"/>
        <n v="6.9510652246570537"/>
        <n v="4.446393906732431"/>
        <n v="25.177492539518454"/>
        <n v="12.004503302363622"/>
        <n v="13.699237668812675"/>
        <n v="44.884608941392415"/>
        <n v="5.4783012158155335"/>
        <n v="36.768205761444484"/>
        <n v="14.557112669029403"/>
        <n v="39.016411070206885"/>
        <n v="37.120569223177228"/>
        <n v="1.3695950722146513"/>
        <n v="26.456770646079956"/>
        <n v="7.9659741189023183"/>
        <n v="44.311351528933841"/>
        <n v="44.579294143120329"/>
        <n v="21.917290374687902"/>
        <n v="23.219780922554026"/>
        <n v="16.164146970226355"/>
        <n v="36.830314948001551"/>
        <n v="18.933068151322956"/>
        <n v="14.389623726131688"/>
        <n v="22.611552975225411"/>
        <n v="5.5743759193729359"/>
        <n v="38.33016023221019"/>
        <n v="1.6298200635893481"/>
        <n v="33.224253076029697"/>
        <n v="10.14322633774362"/>
        <n v="12.620202310720657"/>
        <n v="32.781599932001996"/>
        <n v="50.647173289145357"/>
        <n v="39.885874453627537"/>
        <n v="12.2919816111696"/>
        <n v="9.8012377520566893"/>
        <n v="44.311643513383515"/>
        <n v="23.209197396075215"/>
        <n v="7.8526401414077736"/>
        <n v="44.110571166096904"/>
        <n v="41.804617645713073"/>
        <n v="50.195318194858181"/>
        <n v="46.487184335634197"/>
        <n v="43.589516933027085"/>
        <n v="3.6287198905501574"/>
        <n v="6.2207684749059009"/>
        <n v="29.44915971520614"/>
        <n v="27.573962314091045"/>
        <n v="23.898160724476774"/>
        <n v="20.839466270729211"/>
        <n v="22.560524243216445"/>
        <n v="29.464896706739761"/>
        <n v="1.1038258800040603"/>
        <n v="14.03543870664261"/>
        <n v="26.913986034435553"/>
        <n v="37.11080493368231"/>
        <n v="9.707834619769816"/>
        <n v="28.344058689371646"/>
        <n v="36.72298419428909"/>
        <n v="23.231382895695234"/>
        <n v="2.3540566835025523"/>
        <n v="23.463407923281835"/>
        <n v="15.822244387207656"/>
        <n v="47.482480385066417"/>
        <n v="7.2306692839163684"/>
        <n v="33.623797775361609"/>
        <n v="3.6359883167250575"/>
        <n v="23.308521890634825"/>
        <n v="28.69897436100403"/>
        <n v="15.897746565843272"/>
        <n v="23.75378177601922"/>
        <n v="9.1776897265093691"/>
        <n v="16.206192473401806"/>
        <n v="32.055316245510156"/>
        <n v="16.090002793057756"/>
        <n v="45.987153920443582"/>
        <n v="32.420347882049484"/>
        <n v="22.932450921799223"/>
        <n v="2.9378467777091233"/>
        <n v="25.977416760233563"/>
        <n v="39.238812106254457"/>
        <n v="14.277879900620682"/>
        <n v="41.338678482438368"/>
        <n v="13.590338302544074"/>
        <n v="42.187319397540023"/>
        <n v="5.2634170805838698"/>
        <n v="44.309185443451476"/>
        <n v="25.959322546666524"/>
        <n v="15.826879481013099"/>
        <n v="14.255662520757438"/>
        <n v="22.600527946518135"/>
        <n v="50.95247490518225"/>
        <n v="12.016369671879128"/>
        <n v="6.1608324439499809"/>
        <n v="30.251758435933095"/>
        <n v="25.427123322012857"/>
        <n v="27.209813553165368"/>
        <n v="34.346770877860855"/>
        <n v="14.357203493532467"/>
        <n v="46.53324976919442"/>
        <n v="22.783603306114518"/>
        <n v="7.454309757123089"/>
        <n v="38.114937836697216"/>
        <n v="33.155217630892516"/>
        <n v="16.787170124201854"/>
        <n v="32.075936201702426"/>
        <n v="11.993097818448843"/>
        <n v="23.241967967026476"/>
        <n v="45.970626108366261"/>
        <n v="7.6767116580374708"/>
        <n v="20.3348224993731"/>
        <n v="42.057121236017366"/>
        <n v="49.474544970308905"/>
        <n v="23.696306821089795"/>
        <n v="26.349981007167372"/>
        <n v="29.608598089188487"/>
        <n v="47.617407081685542"/>
        <n v="43.910339548851489"/>
        <n v="9.5300562310822166"/>
        <n v="22.837890892353752"/>
        <n v="24.200021409821314"/>
        <n v="40.454805582437835"/>
        <n v="31.144644130271764"/>
        <n v="33.71102310145065"/>
        <n v="50.909995383280879"/>
        <n v="4.7480021735006535"/>
        <n v="12.15049117668665"/>
        <n v="21.394796868577341"/>
        <n v="18.389120152444359"/>
        <n v="2.0822780673491792"/>
        <n v="5.5888803235587918"/>
        <n v="35.04766457017881"/>
        <n v="44.966223168128032"/>
        <n v="26.711350563298879"/>
        <n v="27.959553975681651"/>
        <n v="13.75467164161897"/>
        <n v="39.393818181685567"/>
        <n v="38.589729368362818"/>
        <n v="30.41828446088283"/>
        <n v="11.633214325567142"/>
        <n v="5.8509109118544727"/>
        <n v="4.2119287928562947"/>
        <n v="30.634803332143889"/>
        <n v="42.251765957140002"/>
        <n v="43.916521589046241"/>
        <n v="24.181103717172491"/>
        <n v="40.213564965335848"/>
        <n v="48.34400981705118"/>
        <n v="14.7585056244034"/>
        <n v="20.898017319037859"/>
        <n v="47.573949629834033"/>
        <n v="17.911548365864242"/>
        <n v="46.693814516089816"/>
        <n v="50.052243112723289"/>
        <n v="34.090536428721236"/>
        <n v="41.844514475208413"/>
        <n v="38.477278211054262"/>
        <n v="35.976712880776191"/>
        <n v="16.346553649061626"/>
        <n v="3.8547168953971855"/>
        <n v="18.152586625982529"/>
        <n v="34.346799260195333"/>
        <n v="6.1264599113900688"/>
        <n v="1.5958991489121046"/>
        <n v="7.9846186301469331"/>
        <n v="36.786796320539764"/>
        <n v="49.639685082822197"/>
        <n v="50.153234980741026"/>
        <n v="25.698957457009396"/>
        <n v="44.467615049617372"/>
        <n v="37.841322787575201"/>
        <n v="26.052011849230173"/>
        <n v="29.638026647754337"/>
        <n v="7.8613573308435534"/>
        <n v="47.8830730308296"/>
        <n v="18.59648853658884"/>
        <n v="23.307462822858476"/>
        <n v="34.583011549894934"/>
        <n v="17.695123576327696"/>
        <n v="13.712958049446527"/>
        <n v="32.552469663511033"/>
        <n v="2.2492041140924726"/>
        <n v="37.036255601333941"/>
        <n v="26.701168493825488"/>
        <n v="31.28768652604672"/>
        <n v="32.594007962344257"/>
        <n v="27.352507824628184"/>
        <n v="30.126688872036798"/>
        <n v="35.189410044493727"/>
        <n v="38.655942358983708"/>
        <n v="37.372619564306028"/>
        <n v="44.480822886613083"/>
        <n v="10.472171658370138"/>
        <n v="21.057398474589878"/>
        <n v="48.389803300722853"/>
        <n v="20.829528719316485"/>
        <n v="7.2435038452961331"/>
        <n v="27.272256318108976"/>
        <n v="6.4745486277231077"/>
        <n v="11.14266193639326"/>
        <n v="50.915937828547833"/>
        <n v="28.0681319198066"/>
        <n v="15.202919452021451"/>
        <n v="50.738747728695301"/>
        <n v="49.327945927757163"/>
        <n v="23.036952054213177"/>
        <n v="14.02015543939542"/>
        <n v="42.9199819046095"/>
        <n v="36.781035848589291"/>
        <n v="35.347071750175516"/>
        <n v="45.655687066123626"/>
        <n v="35.470856693566233"/>
        <n v="15.189897152077457"/>
        <n v="35.693158093786614"/>
        <n v="16.290675564183196"/>
        <n v="38.961948982849755"/>
        <n v="31.987392724578299"/>
        <n v="4.8705775992375289"/>
        <n v="26.641768121757103"/>
        <n v="18.165048459787048"/>
        <n v="17.428531636614714"/>
        <n v="31.112815118862862"/>
        <n v="17.116241223471246"/>
        <n v="39.844687410243637"/>
        <n v="4.539571800558722"/>
        <n v="34.019412619791275"/>
        <n v="41.459740182837059"/>
        <n v="34.641584496021501"/>
        <n v="25.861459750999789"/>
        <n v="48.515350686809057"/>
        <n v="15.996924489903179"/>
        <n v="1.9583943762488889"/>
        <n v="22.599468573172043"/>
        <n v="2.6505967950163623"/>
        <n v="48.696837626320438"/>
        <n v="11.495902287402576"/>
        <n v="40.446351197443974"/>
        <n v="39.728604158718241"/>
        <n v="11.886444984146676"/>
        <n v="32.061326524008365"/>
        <n v="3.4039484243225107"/>
        <n v="25.178729285193373"/>
        <n v="1.7323563636243369"/>
        <n v="47.057194009042092"/>
        <n v="49.804301209978583"/>
        <n v="12.114138331929263"/>
        <n v="11.405301729818639"/>
        <n v="38.68600882810648"/>
        <n v="13.668969941466724"/>
        <n v="45.753827958092252"/>
        <n v="29.696456806149111"/>
        <n v="18.538881150515607"/>
        <n v="42.634687317471005"/>
        <n v="25.670335020669761"/>
        <n v="46.58164568542378"/>
        <n v="47.40071183646905"/>
        <n v="9.2710076064204667"/>
        <n v="1.1161703065965136"/>
        <n v="50.19654700712011"/>
        <n v="46.306876806373971"/>
        <n v="3.7722617851920708"/>
        <n v="42.651713197053496"/>
        <n v="23.89024662796033"/>
        <n v="13.948080251248761"/>
        <n v="44.937326183846494"/>
        <n v="10.833361619515363"/>
        <n v="48.36499997100335"/>
        <n v="11.281074384967054"/>
        <n v="31.684159386437177"/>
        <n v="12.154316726448743"/>
        <n v="28.283433248431738"/>
        <n v="35.198756495757067"/>
        <n v="10.511396541006878"/>
        <n v="27.04428913503396"/>
        <n v="24.45298721950595"/>
        <n v="4.5518710701670617"/>
        <n v="41.915390883765149"/>
        <n v="17.784120032142084"/>
        <n v="29.729109877593977"/>
        <n v="26.739211746656721"/>
        <n v="26.663025228522113"/>
        <n v="6.3611197104243722"/>
        <n v="22.17410046246664"/>
        <n v="23.61833796032851"/>
        <n v="37.682142018222422"/>
        <n v="43.000941596034927"/>
        <n v="28.2491139050009"/>
        <n v="5.339147703249524"/>
        <n v="12.842473529827313"/>
        <n v="9.2467013426365536"/>
        <n v="7.2307531594562366"/>
        <n v="19.29496493089038"/>
        <n v="12.469675107719102"/>
        <n v="11.915155590575615"/>
        <n v="3.7346587288133826"/>
        <n v="1.8835022397716941"/>
        <n v="6.1384121324890897"/>
        <n v="9.6098739711816528"/>
        <n v="22.549186442410157"/>
        <n v="26.526013064942234"/>
        <n v="8.0295959086682789"/>
        <n v="22.239167076209313"/>
        <n v="18.087442116296366"/>
        <n v="10.171182174897801"/>
        <n v="1.3420374074181776"/>
        <n v="24.350893326087085"/>
        <n v="35.282587463259965"/>
        <n v="12.313866707190352"/>
        <n v="7.590341494833968"/>
        <n v="45.352137222348091"/>
        <n v="14.751238624389888"/>
        <n v="12.180630989633238"/>
        <n v="43.854846980495793"/>
        <n v="41.855354958338062"/>
        <n v="23.41732352623168"/>
        <n v="25.461943071388724"/>
        <n v="11.887435241701098"/>
        <n v="4.9150835239778745"/>
        <n v="29.671591267783054"/>
        <n v="5.9172460795106563"/>
        <n v="23.463727347832492"/>
        <n v="48.024859925650539"/>
        <n v="48.641719458529217"/>
        <n v="12.96661432736793"/>
        <n v="32.20567100228272"/>
        <n v="24.703813205392883"/>
        <n v="44.784256379305297"/>
        <n v="14.571543213802661"/>
        <n v="1.1851203416208425"/>
        <n v="9.1280602965707551"/>
        <n v="18.476140058469902"/>
        <n v="16.78605648852443"/>
        <n v="40.568145956144299"/>
        <n v="35.028033306941893"/>
        <n v="15.977815980744863"/>
        <n v="23.887190858310667"/>
        <n v="5.7779551979167607"/>
        <n v="45.907322241005041"/>
        <n v="47.77124122242671"/>
        <n v="49.990176769046904"/>
        <n v="44.427641539291884"/>
        <n v="9.6980443848112756"/>
        <n v="3.3098241600814418"/>
        <n v="29.979836370633699"/>
        <n v="46.630251344155518"/>
        <n v="9.8675680829871428"/>
        <n v="1.352145731207093"/>
        <n v="41.274802301612219"/>
        <n v="4.8397842143367003"/>
        <n v="21.685301595501521"/>
        <n v="34.944366859439249"/>
        <n v="12.839879272809007"/>
        <n v="5.1981281723363351"/>
        <n v="39.50106142279143"/>
        <n v="32.508754244352076"/>
        <n v="50.424524224340239"/>
        <n v="18.215401665997966"/>
        <n v="4.088119314509985"/>
        <n v="37.717501766764791"/>
        <n v="27.08667094266228"/>
        <n v="11.660196569456753"/>
        <n v="40.086449450237971"/>
        <n v="11.187774292497187"/>
        <n v="14.03308274164683"/>
        <n v="5.6264277183359575"/>
        <n v="20.971613951542722"/>
        <n v="21.946461196870946"/>
        <n v="26.728089517414922"/>
        <n v="36.448213356188873"/>
        <n v="46.305046434021293"/>
        <n v="7.8867049443904316"/>
        <n v="3.717404917432853"/>
        <n v="1.9265616797166643"/>
        <n v="8.1810689034408135"/>
        <n v="33.897474289081295"/>
        <n v="37.37385389982483"/>
        <n v="40.325285676406111"/>
        <n v="13.185410595217133"/>
        <n v="16.294740663075995"/>
        <n v="25.156732278274973"/>
        <n v="4.1591548430113248"/>
        <n v="31.557076160562307"/>
        <n v="50.18675168378789"/>
        <n v="19.040315568900127"/>
        <n v="38.642373754569199"/>
        <n v="26.0016957784804"/>
        <n v="7.3905922180191368"/>
        <n v="30.111872440129318"/>
        <n v="15.993713422203248"/>
        <n v="2.7201604226729117"/>
        <n v="32.746486505887191"/>
        <n v="43.946617466236383"/>
        <n v="18.238488344993709"/>
        <n v="20.514777360638526"/>
        <n v="45.551084148360573"/>
        <n v="41.680440668367794"/>
        <n v="36.747641177588854"/>
        <n v="13.439853187657397"/>
        <n v="46.510832748332227"/>
        <n v="8.7207878769606495"/>
        <n v="32.338525970861092"/>
        <n v="2.440059027325935"/>
        <n v="33.185990316247292"/>
        <n v="14.857217593667992"/>
        <n v="23.483848859186001"/>
        <n v="18.263227602852655"/>
        <n v="9.6378378123104955"/>
        <n v="32.099039504693707"/>
        <n v="45.098777757030369"/>
        <n v="48.954212114120168"/>
        <n v="10.617318157695752"/>
        <n v="36.868638703148669"/>
        <n v="34.216968330284111"/>
        <n v="18.168889478728627"/>
        <n v="1.9549599676862919"/>
        <n v="35.489562365643309"/>
        <n v="48.274743027975006"/>
        <n v="32.606006095782568"/>
        <n v="22.764636209381706"/>
        <n v="27.257694705581418"/>
        <n v="10.981440382995876"/>
        <n v="38.527208187686881"/>
        <n v="38.320991500492454"/>
        <n v="8.2758650193712473"/>
        <n v="44.898919124982953"/>
        <n v="14.459486973665264"/>
        <n v="50.112803046830741"/>
        <n v="20.145150701862292"/>
        <n v="9.894202936724982"/>
        <n v="18.586005567282616"/>
        <n v="23.009016434859657"/>
        <n v="4.4653886519147417"/>
        <n v="29.910919061164474"/>
        <n v="30.881621993445016"/>
        <n v="37.94652276747361"/>
        <n v="2.4584946145371647"/>
        <n v="28.061910721691508"/>
        <n v="3.6453716635332194"/>
        <n v="36.057210998332671"/>
        <n v="3.7863992850492236"/>
        <n v="46.586392417081633"/>
        <n v="36.104128344224826"/>
        <n v="26.369488254257856"/>
        <n v="23.075196164058745"/>
        <n v="7.5336315206631195"/>
        <n v="15.549969478233155"/>
        <n v="44.44795525104481"/>
        <n v="46.222640578124697"/>
        <n v="1.0373854185265532"/>
        <n v="30.706819573877564"/>
        <n v="36.965030451255679"/>
        <n v="31.937349122880313"/>
        <n v="5.0839882433176991"/>
        <n v="11.886244939945112"/>
        <n v="13.517013369069302"/>
        <n v="42.586231565254486"/>
        <n v="24.159971815446024"/>
        <n v="25.341410597061842"/>
        <n v="47.744652327725426"/>
        <n v="32.854294442735778"/>
        <n v="45.93338507763319"/>
        <n v="23.825442767076648"/>
        <n v="8.4718129259147119"/>
        <n v="47.496779703704284"/>
        <n v="23.935255783376913"/>
        <n v="10.081571093941093"/>
        <n v="16.11978701519611"/>
        <n v="3.5401294844471121"/>
        <n v="24.415029572819257"/>
        <n v="43.656408595511827"/>
        <n v="47.679022800334465"/>
        <n v="47.630110375182184"/>
        <n v="7.2615012814373374"/>
        <n v="20.102694125552848"/>
        <n v="2.4114379825353183"/>
        <n v="43.758267248573638"/>
        <n v="18.937788101063688"/>
        <n v="32.555851394611736"/>
        <n v="36.74492190386443"/>
        <n v="22.492233487157769"/>
        <n v="16.322116827512151"/>
        <n v="49.110645505797237"/>
        <n v="49.224411251192713"/>
        <n v="15.471818401501096"/>
        <n v="24.981254837222902"/>
        <n v="49.642207933001117"/>
        <n v="1.2434203827751613"/>
        <n v="21.633912418957461"/>
        <n v="6.0228774840484212"/>
        <n v="26.457898278130131"/>
        <n v="2.2334977270243574"/>
        <n v="21.344921569531394"/>
        <n v="12.034953739266756"/>
        <n v="27.665418122937041"/>
        <n v="50.799682455034983"/>
        <n v="41.026805256337383"/>
        <n v="43.28210458122107"/>
        <n v="32.763249367954046"/>
        <n v="3.077992413612928"/>
        <n v="11.339883802207206"/>
        <n v="47.253227822352748"/>
        <n v="19.30565589643756"/>
        <n v="6.1818363240397787"/>
        <n v="36.120268293310097"/>
        <n v="15.972886196712732"/>
        <n v="14.442845645208584"/>
        <n v="50.89887277791302"/>
        <n v="43.90694625133272"/>
        <n v="21.396890918392053"/>
        <n v="50.013060390824954"/>
        <n v="33.505661170960678"/>
        <n v="38.101122593988009"/>
        <n v="2.5756521541105792"/>
        <n v="7.080262967402855"/>
        <n v="32.654256324811918"/>
        <n v="45.951199132474194"/>
        <n v="32.187186304379779"/>
        <n v="7.7012447159495894"/>
        <n v="6.7880023123162321"/>
        <n v="43.20929479120408"/>
        <n v="7.9651169353957156"/>
        <n v="27.01159802520127"/>
        <n v="2.8556659981151133"/>
        <n v="5.033488369558869"/>
        <n v="34.617413382143241"/>
        <n v="35.459070521375835"/>
        <n v="18.073470330422118"/>
        <n v="11.780488262152238"/>
        <n v="41.685513537865397"/>
        <n v="11.855161473494517"/>
        <n v="28.101353483318984"/>
        <n v="49.410442043145274"/>
        <n v="8.3926218931191894"/>
        <n v="48.043813374735443"/>
        <n v="10.144652653433432"/>
        <n v="29.372160401161477"/>
        <n v="19.85038559793723"/>
        <n v="49.246430075091297"/>
        <n v="14.677101450096846"/>
        <n v="20.982900104287683"/>
        <n v="50.143005892771022"/>
        <n v="27.823519559423659"/>
        <n v="26.131505781062675"/>
        <n v="13.888924410199564"/>
        <n v="36.068178015522072"/>
        <n v="1.7186475888888821"/>
        <n v="3.4756314851146763"/>
        <n v="30.967929356790137"/>
        <n v="18.083728690922705"/>
        <n v="48.665818610048028"/>
        <n v="46.159534536139283"/>
        <n v="36.685312933835363"/>
        <n v="41.907279056390067"/>
        <n v="34.366592483384665"/>
        <n v="7.2791051355080345"/>
        <n v="39.277168484460134"/>
        <n v="11.509598435942319"/>
        <n v="17.172142755009837"/>
        <n v="41.961710605121013"/>
        <n v="27.826280419672411"/>
        <n v="43.997035709170461"/>
        <n v="11.65176599216321"/>
        <n v="31.38892193034436"/>
        <n v="5.1895486274130809"/>
        <n v="33.153049677001484"/>
        <n v="39.126701888776736"/>
        <n v="30.246544698936084"/>
        <n v="14.311575074940512"/>
        <n v="2.5671334429433359"/>
        <n v="6.9724441982142888"/>
        <n v="32.115148953701308"/>
        <n v="47.721010842125686"/>
        <n v="11.32672019860032"/>
        <n v="37.751307455254938"/>
        <n v="44.322553162452074"/>
        <n v="27.044108922375553"/>
        <n v="34.463289792182884"/>
        <n v="41.750765833807407"/>
        <n v="14.03375788702968"/>
        <n v="15.844783713402149"/>
        <n v="1.0313758314228085"/>
        <n v="49.154706544890125"/>
        <n v="46.877244729817242"/>
        <n v="39.228413187971519"/>
        <n v="4.953801048832406"/>
        <n v="23.375144484975408"/>
        <n v="6.0945876985776408"/>
        <n v="1.7960133631399302"/>
        <n v="31.809148260629865"/>
        <n v="49.041470854009418"/>
        <n v="46.143401171607508"/>
        <n v="35.837740746770216"/>
        <n v="5.8320292082435712"/>
        <n v="14.708201883615006"/>
        <n v="17.002836344264548"/>
        <n v="39.157502887278063"/>
        <n v="41.112458961755706"/>
        <n v="20.255306149496022"/>
        <n v="21.894199830880485"/>
        <n v="3.2254519638085668"/>
        <n v="15.456835920938049"/>
        <n v="23.564258858881995"/>
        <n v="6.8491523192628794"/>
        <n v="23.663373037751068"/>
        <n v="43.658790612890016"/>
        <n v="30.066050986252666"/>
        <n v="4.9464927519206157"/>
        <n v="10.583565941513717"/>
        <n v="24.727217507927811"/>
        <n v="19.074357491090602"/>
        <n v="18.936350977304937"/>
        <n v="27.463372407179509"/>
        <n v="30.219796079472871"/>
        <n v="40.843078513809552"/>
        <n v="18.048328173124233"/>
        <n v="41.273314152029336"/>
        <n v="17.930561455631626"/>
        <n v="3.7716494470616917"/>
        <n v="28.70938255023956"/>
        <n v="30.395116244740727"/>
        <n v="47.727012281093003"/>
        <n v="37.303066303123721"/>
        <n v="46.888632624721978"/>
        <n v="46.417360512150481"/>
        <n v="31.228705512912107"/>
        <n v="27.388103266822377"/>
        <n v="28.872048358179995"/>
        <n v="49.91654038386239"/>
        <n v="39.658384587347946"/>
        <n v="6.3132952396197917"/>
        <n v="39.921420339069996"/>
        <n v="9.5269024449112933"/>
        <n v="23.367527450281283"/>
        <n v="11.522983608826713"/>
        <n v="35.479153276661492"/>
        <n v="44.865486809651784"/>
        <n v="15.518094268334048"/>
        <n v="5.1005370604093816"/>
        <n v="15.924654903748163"/>
        <n v="34.618092896609717"/>
        <n v="17.438006377722498"/>
        <n v="14.905608377690172"/>
        <n v="10.221759529213248"/>
        <n v="25.875821343721675"/>
        <n v="14.797441407859379"/>
        <n v="37.550517456974156"/>
        <n v="4.8311200996101356"/>
        <n v="34.201651655565875"/>
        <n v="12.878000728388493"/>
        <n v="25.463963052580155"/>
        <n v="15.30449610156303"/>
        <n v="37.138433800539779"/>
        <n v="48.265352012581836"/>
        <n v="46.85383897349066"/>
        <n v="30.171310757204555"/>
        <n v="24.130515162848919"/>
        <n v="41.915025471969088"/>
        <n v="35.166318131386497"/>
        <n v="10.178205710846644"/>
        <n v="42.045960680650012"/>
        <n v="22.444219469735508"/>
        <n v="10.449282998558756"/>
        <n v="15.089867519824622"/>
        <n v="14.376351512417116"/>
        <n v="26.960348730173006"/>
        <n v="12.718504533893775"/>
        <n v="7.1783243700788084"/>
        <n v="7.1845425306880362"/>
        <n v="30.163809856954831"/>
        <n v="37.737964442468929"/>
        <n v="17.076650441917039"/>
        <n v="2.7325354907008537"/>
        <n v="7.3612443468505369"/>
        <n v="46.734728016852856"/>
        <n v="25.677182979472651"/>
        <n v="23.678640480758737"/>
        <n v="2.9024589155045457"/>
        <n v="37.431851115844957"/>
        <n v="27.403404046603946"/>
        <n v="11.104046804326039"/>
        <n v="6.5036880090528593"/>
        <n v="20.169393181599926"/>
        <n v="42.858098209751283"/>
        <n v="44.264727960051225"/>
        <n v="31.142319019781823"/>
        <n v="37.376821361507133"/>
        <n v="6.7577893701435183"/>
        <n v="30.406303273392741"/>
        <n v="34.348285174359091"/>
        <n v="11.035642145689611"/>
        <n v="45.007736645512949"/>
        <n v="10.749836876050988"/>
        <n v="16.673867992322521"/>
        <n v="32.027842351172929"/>
        <n v="32.917503256536534"/>
        <n v="35.96923704936836"/>
        <n v="6.6005856534102838"/>
        <n v="43.473221496427769"/>
        <n v="27.642356614162992"/>
        <n v="24.566089705253418"/>
        <n v="50.05488122567548"/>
        <n v="38.018914847050986"/>
        <n v="6.9003013309687438"/>
        <n v="38.826958361312037"/>
        <n v="5.7624466986434744"/>
        <n v="2.3735281256492424"/>
        <n v="21.181294763494854"/>
        <n v="50.678908640960934"/>
        <n v="9.7441968097431317"/>
        <n v="34.632217176339502"/>
        <n v="9.6698033103059675"/>
        <n v="37.239348747919301"/>
        <n v="26.267683411891305"/>
        <n v="34.998585504468814"/>
        <n v="11.14365879571173"/>
        <n v="38.281416626025099"/>
        <n v="50.780952981135336"/>
        <n v="34.282525031297986"/>
        <n v="25.673999903643885"/>
        <n v="47.158699430963239"/>
        <n v="1.792592111593815"/>
        <n v="37.496175964291055"/>
        <n v="45.437325840690647"/>
        <n v="4.0837291810478726"/>
        <n v="23.503208520787908"/>
        <n v="11.235972697499946"/>
        <n v="29.325908279391506"/>
        <n v="33.477147930183023"/>
        <n v="16.131159146437753"/>
        <n v="23.999083483905043"/>
        <n v="14.966974263827975"/>
        <n v="19.469558222755687"/>
        <n v="8.97699783442118"/>
        <n v="45.277972179281569"/>
        <n v="1.5005205279568214"/>
        <n v="45.120459322189426"/>
        <n v="29.583943917486927"/>
        <n v="17.582892208850875"/>
        <n v="37.152856273016489"/>
        <n v="26.387607593133215"/>
        <n v="25.955432905380327"/>
        <n v="6.5071141459483215"/>
        <n v="20.475801297270433"/>
        <n v="13.053217292836832"/>
        <n v="1.7847952798139823"/>
        <n v="19.004981539105664"/>
        <n v="5.4911064712802373"/>
        <n v="13.841501886259261"/>
        <n v="5.6258310591547227"/>
        <n v="6.0470812778199425"/>
        <n v="10.950564720759413"/>
        <n v="50.992462224320008"/>
        <n v="1.1092071428624386"/>
        <n v="32.933631806020259"/>
        <n v="8.0621849013278677"/>
        <n v="47.031406835538789"/>
        <n v="5.6816446666814615"/>
        <n v="48.753159356311826"/>
        <n v="31.546319374173898"/>
        <n v="1.0634038457745123"/>
        <n v="45.7003598958403"/>
        <n v="27.085590068345915"/>
        <n v="14.133486766524227"/>
        <n v="39.363958875781506"/>
        <n v="47.333277694343501"/>
        <n v="25.184541157339694"/>
        <n v="16.777673722155544"/>
        <n v="40.447256196746338"/>
        <n v="35.089274889422732"/>
        <n v="45.43762418751362"/>
        <n v="35.625700638059648"/>
        <n v="13.176416944976815"/>
        <n v="47.582962487950951"/>
        <n v="6.2417873602995657"/>
        <n v="14.397137505342393"/>
        <n v="27.009730386194281"/>
        <n v="29.287101303545072"/>
        <n v="1.7655293313452716"/>
        <n v="40.028636291047"/>
        <n v="19.080365921269475"/>
        <n v="21.320927050106892"/>
        <n v="41.468477221847287"/>
        <n v="19.964169586377228"/>
        <n v="3.3612438247377412"/>
        <n v="9.8219885235175148"/>
        <n v="48.795158619409115"/>
        <n v="4.5202681201257082"/>
        <n v="18.746560048400813"/>
        <n v="26.158958352567229"/>
        <n v="25.664041366928004"/>
        <n v="1.1979971506071376"/>
        <n v="26.058136572874517"/>
        <n v="20.188622898870459"/>
        <n v="49.603966773727855"/>
        <n v="8.9579541996914926"/>
        <n v="18.70770983797475"/>
        <n v="21.974074254490986"/>
        <n v="20.53467685504744"/>
        <n v="34.291541382593124"/>
        <n v="11.775642877388442"/>
        <n v="12.053577640699592"/>
        <n v="37.460547425042655"/>
        <n v="26.014525933908981"/>
        <n v="21.757783802865521"/>
        <n v="9.4601525838625911"/>
        <n v="10.37636114560833"/>
        <n v="1.5275818407950272"/>
        <n v="5.5713134430854616"/>
        <n v="28.841934734512051"/>
        <n v="45.593656500420494"/>
        <n v="15.358238256527873"/>
        <n v="17.387361294806407"/>
        <n v="6.7802805305756095"/>
        <n v="20.431547280355137"/>
        <n v="2.8610852284664583"/>
        <n v="46.880034813095008"/>
        <n v="34.655567406226432"/>
        <n v="50.537440469660943"/>
        <n v="45.141158133924684"/>
        <n v="24.649529684907634"/>
        <n v="26.984251557518846"/>
        <n v="10.528802325859692"/>
        <n v="24.101967141977781"/>
        <n v="46.15139367464058"/>
        <n v="3.5426711817910563"/>
        <n v="44.17784014991549"/>
        <n v="18.047390082130487"/>
        <n v="45.975638254815493"/>
        <n v="48.043995317074234"/>
        <n v="34.5432443500953"/>
        <n v="34.221189329633894"/>
        <n v="23.637716885437005"/>
        <n v="42.777011227185376"/>
        <n v="49.080637921664163"/>
        <n v="39.754090016955963"/>
        <n v="32.096836687835463"/>
        <n v="31.339644791066839"/>
        <n v="43.473495079183117"/>
        <n v="28.06018828856492"/>
        <n v="41.19299431244113"/>
        <n v="26.444262758712288"/>
        <n v="4.1222137486962067"/>
        <n v="20.197350445207761"/>
        <n v="23.222047883574938"/>
        <n v="8.0808622493308597"/>
        <n v="6.1248164594606402"/>
        <n v="27.773247482847708"/>
        <n v="5.2571818278041071"/>
        <n v="16.147258394504199"/>
        <n v="38.229848798153796"/>
        <n v="49.22160897839904"/>
        <n v="36.893529027596429"/>
        <n v="50.631277422643514"/>
        <n v="35.916898563970136"/>
        <n v="15.689723532716375"/>
        <n v="34.602627025268092"/>
        <n v="36.107838259845195"/>
        <n v="19.586349230823028"/>
        <n v="1.8856925304694507"/>
        <n v="36.159989238774344"/>
        <n v="2.0850047637770812"/>
        <n v="32.559403903003556"/>
        <n v="9.1808244371277539"/>
        <n v="29.280176387402168"/>
        <n v="26.195651269030002"/>
        <n v="1.6756821153091286"/>
        <n v="19.143290849755171"/>
        <n v="31.054558369815137"/>
        <n v="43.430327594938987"/>
        <n v="45.432105691825861"/>
        <n v="25.192498501661163"/>
        <n v="37.421124364971909"/>
        <n v="16.822728826672883"/>
        <n v="18.109320287932871"/>
        <n v="10.723175959115688"/>
        <n v="29.097405499661964"/>
        <n v="16.72820754636826"/>
        <n v="5.2185448219252519"/>
        <n v="35.250304333158937"/>
        <n v="36.387660380269907"/>
        <n v="18.999620938952894"/>
        <n v="4.83616997280114"/>
        <n v="22.314885870171295"/>
        <n v="23.116772902510775"/>
        <n v="34.433544244894648"/>
        <n v="16.770819562934172"/>
        <n v="35.129963989065274"/>
        <n v="44.574427087869417"/>
        <n v="12.874302118109991"/>
        <n v="49.945977805994985"/>
        <n v="20.318406856840348"/>
        <n v="14.362934257353087"/>
        <n v="22.075559125514527"/>
        <n v="5.7198737951929584"/>
        <n v="7.2852953256057829"/>
        <n v="21.721702348416571"/>
        <n v="39.122226096955004"/>
        <n v="46.015611978724543"/>
        <n v="34.240899535813547"/>
        <n v="6.2609777619084861"/>
        <n v="34.600988109026751"/>
        <n v="32.771396035148598"/>
        <n v="41.288195914666566"/>
        <n v="42.262433332609042"/>
        <n v="44.410153788948946"/>
        <n v="21.706575728954917"/>
        <n v="35.893219767607214"/>
        <n v="14.412517946115537"/>
        <n v="50.966813999175216"/>
        <n v="9.7667120688429971"/>
        <n v="1.5057215830417905"/>
        <n v="8.4404357259088005"/>
        <n v="39.793614477206333"/>
        <n v="23.339183825410576"/>
        <n v="23.375012390521416"/>
        <n v="48.751145980583424"/>
        <n v="46.981745401403714"/>
        <n v="16.559736890200462"/>
        <n v="11.452906439043307"/>
        <n v="43.424110496686986"/>
        <n v="46.300953552218161"/>
        <n v="28.079846139924346"/>
        <n v="32.47118555585503"/>
        <n v="13.845714234614668"/>
        <n v="41.040134398926227"/>
        <n v="32.606121422451153"/>
        <n v="26.17567556489983"/>
        <n v="4.0054278039197913"/>
        <n v="46.796748125557684"/>
        <n v="31.772571019220301"/>
        <n v="10.634554734648399"/>
        <n v="31.319305849152638"/>
        <n v="34.873167711998668"/>
        <n v="27.288516834161275"/>
        <n v="36.905086897801127"/>
        <n v="30.072697396431213"/>
        <n v="48.388479101607409"/>
        <n v="3.6848539299653416"/>
        <n v="6.3122854234780252"/>
        <n v="9.6835818477169919"/>
        <n v="35.508553530216609"/>
        <n v="33.279793637490435"/>
        <n v="45.602943010484701"/>
        <n v="37.643872644194921"/>
        <n v="26.417774378229613"/>
        <n v="50.591589623181513"/>
        <n v="14.305397808464958"/>
        <n v="42.6595829892727"/>
        <n v="22.339518609695968"/>
        <n v="33.436756943786712"/>
        <n v="37.363423522621702"/>
        <n v="32.687704359516815"/>
        <n v="8.0253651554296646"/>
        <n v="23.147550537396636"/>
        <n v="29.071918896656218"/>
        <n v="43.452187958929841"/>
        <n v="23.182287439928615"/>
        <n v="46.937365240212571"/>
        <n v="23.018711151260533"/>
        <n v="28.438992963150582"/>
        <n v="40.81428414714005"/>
        <n v="30.153384221107181"/>
        <n v="49.010903619141232"/>
        <n v="34.016791525706381"/>
        <n v="27.135472703380053"/>
        <n v="2.1795983890397932"/>
        <n v="21.686644879016491"/>
        <n v="15.962420963008022"/>
        <n v="38.405283394374464"/>
        <n v="11.41388375767729"/>
        <n v="11.261004364703592"/>
        <n v="10.47595216186884"/>
        <n v="7.2807806578117962"/>
        <n v="16.550350183544371"/>
        <n v="45.296105722171255"/>
        <n v="39.746423615297751"/>
        <n v="37.762560815339675"/>
        <n v="40.866840282498131"/>
        <n v="14.470894466478583"/>
        <n v="45.372084537624389"/>
        <n v="7.8651687570802196"/>
        <n v="17.817286335779098"/>
        <n v="30.337405948367145"/>
        <n v="6.1452544171000314"/>
        <n v="37.506509388821243"/>
        <n v="20.362302410173747"/>
        <n v="40.220283280420006"/>
        <n v="25.644814279230136"/>
        <n v="10.043726221266818"/>
        <n v="37.738090567767216"/>
        <n v="13.607197791947177"/>
        <n v="25.54051506340214"/>
        <n v="4.7766634578453804"/>
        <n v="31.893332720601833"/>
        <n v="34.292888310813865"/>
        <n v="19.933710498639179"/>
        <n v="48.721139016053691"/>
        <n v="44.708446074103421"/>
        <n v="36.39704578699974"/>
        <n v="36.682603724687134"/>
        <n v="13.620085747107563"/>
        <n v="33.84076155442245"/>
        <n v="10.910313261775983"/>
        <n v="8.2001611959911056"/>
        <n v="50.973394710129007"/>
        <n v="32.118796573658713"/>
        <n v="22.549393632859527"/>
        <n v="15.408226144197567"/>
        <n v="31.196022183111371"/>
        <n v="3.4796754110043064"/>
        <n v="5.7340495252397528"/>
        <n v="2.6428348870198173"/>
        <n v="25.958491663133088"/>
        <n v="31.030331459359129"/>
        <n v="4.1239880678910428"/>
        <n v="37.061223374945826"/>
        <n v="12.51975357572822"/>
        <n v="35.260072688493302"/>
        <n v="50.094857001762279"/>
        <n v="35.555293502692557"/>
        <n v="45.159652646180426"/>
        <n v="48.409925337153368"/>
        <n v="25.337552417615775"/>
        <n v="36.116248970985339"/>
        <n v="43.598462677792085"/>
        <n v="18.830445643719305"/>
        <n v="14.069865828019744"/>
        <n v="48.329928638916932"/>
        <n v="37.315175018440897"/>
        <n v="11.984106668791316"/>
        <n v="23.45416963380567"/>
        <n v="40.822588476890466"/>
        <n v="28.353149545922108"/>
        <n v="33.497604908294456"/>
        <n v="38.688410102252618"/>
        <n v="32.100459440449029"/>
        <n v="28.003966096109789"/>
        <n v="38.480714219388673"/>
        <n v="37.378151771610035"/>
        <n v="32.493620009158946"/>
        <n v="18.98947066909648"/>
        <n v="21.290604610013581"/>
        <n v="49.52192744420487"/>
        <n v="6.6192966145762915"/>
        <n v="14.425245862641766"/>
        <n v="25.620087960216786"/>
        <n v="42.836484307189295"/>
        <n v="9.1837831864863926"/>
        <n v="14.847730906230494"/>
        <n v="4.2899108897619485"/>
        <n v="36.299263302540922"/>
        <n v="12.910471773780806"/>
      </sharedItems>
      <fieldGroup base="8">
        <rangePr startNum="1.0313758314228085" endNum="50.992462224320008" groupInterval="10"/>
        <groupItems count="7">
          <s v="&lt;1.03137583142281"/>
          <s v="1.03137583142281-11.0313758314228"/>
          <s v="11.0313758314228-21.0313758314228"/>
          <s v="21.0313758314228-31.0313758314228"/>
          <s v="31.0313758314228-41.0313758314228"/>
          <s v="41.0313758314228-51.0313758314228"/>
          <s v="&gt;51.0313758314228"/>
        </groupItems>
      </fieldGroup>
    </cacheField>
    <cacheField name="InterviewScore" numFmtId="0">
      <sharedItems containsSemiMixedTypes="0" containsString="0" containsNumber="1" containsInteger="1" minValue="0" maxValue="100" count="101">
        <n v="48"/>
        <n v="35"/>
        <n v="20"/>
        <n v="36"/>
        <n v="23"/>
        <n v="54"/>
        <n v="24"/>
        <n v="6"/>
        <n v="80"/>
        <n v="92"/>
        <n v="93"/>
        <n v="70"/>
        <n v="96"/>
        <n v="10"/>
        <n v="72"/>
        <n v="11"/>
        <n v="34"/>
        <n v="62"/>
        <n v="67"/>
        <n v="99"/>
        <n v="91"/>
        <n v="56"/>
        <n v="12"/>
        <n v="22"/>
        <n v="82"/>
        <n v="100"/>
        <n v="38"/>
        <n v="87"/>
        <n v="79"/>
        <n v="33"/>
        <n v="74"/>
        <n v="30"/>
        <n v="61"/>
        <n v="1"/>
        <n v="14"/>
        <n v="28"/>
        <n v="65"/>
        <n v="15"/>
        <n v="76"/>
        <n v="43"/>
        <n v="18"/>
        <n v="7"/>
        <n v="40"/>
        <n v="69"/>
        <n v="60"/>
        <n v="25"/>
        <n v="57"/>
        <n v="29"/>
        <n v="64"/>
        <n v="5"/>
        <n v="17"/>
        <n v="9"/>
        <n v="83"/>
        <n v="51"/>
        <n v="66"/>
        <n v="81"/>
        <n v="77"/>
        <n v="90"/>
        <n v="16"/>
        <n v="52"/>
        <n v="85"/>
        <n v="4"/>
        <n v="3"/>
        <n v="88"/>
        <n v="32"/>
        <n v="13"/>
        <n v="55"/>
        <n v="45"/>
        <n v="2"/>
        <n v="78"/>
        <n v="73"/>
        <n v="21"/>
        <n v="89"/>
        <n v="26"/>
        <n v="98"/>
        <n v="47"/>
        <n v="27"/>
        <n v="42"/>
        <n v="39"/>
        <n v="84"/>
        <n v="86"/>
        <n v="63"/>
        <n v="97"/>
        <n v="75"/>
        <n v="49"/>
        <n v="71"/>
        <n v="50"/>
        <n v="59"/>
        <n v="37"/>
        <n v="41"/>
        <n v="46"/>
        <n v="0"/>
        <n v="19"/>
        <n v="68"/>
        <n v="94"/>
        <n v="53"/>
        <n v="58"/>
        <n v="31"/>
        <n v="8"/>
        <n v="44"/>
        <n v="95"/>
      </sharedItems>
      <fieldGroup base="9">
        <rangePr startNum="0" endNum="100" groupInterval="20"/>
        <groupItems count="7">
          <s v="&lt;0"/>
          <s v="0-19"/>
          <s v="20-39"/>
          <s v="40-59"/>
          <s v="60-79"/>
          <s v="80-100"/>
          <s v="&gt;100"/>
        </groupItems>
      </fieldGroup>
    </cacheField>
    <cacheField name="SkillScore" numFmtId="0">
      <sharedItems containsSemiMixedTypes="0" containsString="0" containsNumber="1" containsInteger="1" minValue="0" maxValue="100" count="101">
        <n v="78"/>
        <n v="68"/>
        <n v="67"/>
        <n v="27"/>
        <n v="52"/>
        <n v="50"/>
        <n v="3"/>
        <n v="16"/>
        <n v="66"/>
        <n v="73"/>
        <n v="46"/>
        <n v="55"/>
        <n v="22"/>
        <n v="17"/>
        <n v="0"/>
        <n v="34"/>
        <n v="63"/>
        <n v="57"/>
        <n v="94"/>
        <n v="58"/>
        <n v="2"/>
        <n v="36"/>
        <n v="82"/>
        <n v="28"/>
        <n v="88"/>
        <n v="32"/>
        <n v="99"/>
        <n v="60"/>
        <n v="92"/>
        <n v="89"/>
        <n v="13"/>
        <n v="90"/>
        <n v="21"/>
        <n v="47"/>
        <n v="86"/>
        <n v="84"/>
        <n v="20"/>
        <n v="100"/>
        <n v="42"/>
        <n v="25"/>
        <n v="40"/>
        <n v="98"/>
        <n v="37"/>
        <n v="87"/>
        <n v="10"/>
        <n v="59"/>
        <n v="64"/>
        <n v="18"/>
        <n v="45"/>
        <n v="48"/>
        <n v="77"/>
        <n v="56"/>
        <n v="43"/>
        <n v="15"/>
        <n v="96"/>
        <n v="76"/>
        <n v="11"/>
        <n v="54"/>
        <n v="38"/>
        <n v="69"/>
        <n v="30"/>
        <n v="79"/>
        <n v="51"/>
        <n v="9"/>
        <n v="33"/>
        <n v="95"/>
        <n v="12"/>
        <n v="97"/>
        <n v="70"/>
        <n v="23"/>
        <n v="62"/>
        <n v="85"/>
        <n v="29"/>
        <n v="6"/>
        <n v="91"/>
        <n v="71"/>
        <n v="53"/>
        <n v="19"/>
        <n v="44"/>
        <n v="81"/>
        <n v="61"/>
        <n v="41"/>
        <n v="72"/>
        <n v="8"/>
        <n v="1"/>
        <n v="74"/>
        <n v="31"/>
        <n v="83"/>
        <n v="24"/>
        <n v="93"/>
        <n v="7"/>
        <n v="80"/>
        <n v="26"/>
        <n v="75"/>
        <n v="5"/>
        <n v="4"/>
        <n v="39"/>
        <n v="49"/>
        <n v="65"/>
        <n v="35"/>
        <n v="14"/>
      </sharedItems>
      <fieldGroup base="10">
        <rangePr startNum="0" endNum="100" groupInterval="25"/>
        <groupItems count="6">
          <s v="&lt;0"/>
          <s v="0-24"/>
          <s v="25-49"/>
          <s v="50-74"/>
          <s v="75-100"/>
          <s v="&gt;100"/>
        </groupItems>
      </fieldGroup>
    </cacheField>
    <cacheField name="PersonalityScore" numFmtId="0">
      <sharedItems containsSemiMixedTypes="0" containsString="0" containsNumber="1" containsInteger="1" minValue="0" maxValue="100"/>
    </cacheField>
    <cacheField name="Recruitment Strategy" numFmtId="0">
      <sharedItems count="3">
        <s v="Aggressive"/>
        <s v="Moderate"/>
        <s v="Conservative"/>
      </sharedItems>
    </cacheField>
    <cacheField name="RecruitmentStrategy" numFmtId="0">
      <sharedItems containsSemiMixedTypes="0" containsString="0" containsNumber="1" containsInteger="1" minValue="1" maxValue="3"/>
    </cacheField>
    <cacheField name="Hiring Status" numFmtId="0">
      <sharedItems count="2">
        <s v="Hired"/>
        <s v="Rejected"/>
      </sharedItems>
    </cacheField>
    <cacheField name="HiringDecision"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8847635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s v="C0001"/>
    <n v="26"/>
    <x v="0"/>
    <n v="1"/>
    <x v="0"/>
    <n v="2"/>
    <x v="0"/>
    <n v="3"/>
    <x v="0"/>
    <x v="0"/>
    <x v="0"/>
    <n v="91"/>
    <x v="0"/>
    <n v="1"/>
    <x v="0"/>
    <n v="1"/>
  </r>
  <r>
    <s v="C0002"/>
    <n v="39"/>
    <x v="0"/>
    <n v="1"/>
    <x v="1"/>
    <n v="4"/>
    <x v="1"/>
    <n v="3"/>
    <x v="1"/>
    <x v="1"/>
    <x v="1"/>
    <n v="80"/>
    <x v="1"/>
    <n v="2"/>
    <x v="0"/>
    <n v="1"/>
  </r>
  <r>
    <s v="C0003"/>
    <n v="48"/>
    <x v="1"/>
    <n v="0"/>
    <x v="0"/>
    <n v="2"/>
    <x v="2"/>
    <n v="2"/>
    <x v="2"/>
    <x v="2"/>
    <x v="2"/>
    <n v="13"/>
    <x v="1"/>
    <n v="2"/>
    <x v="1"/>
    <n v="0"/>
  </r>
  <r>
    <s v="C0004"/>
    <n v="34"/>
    <x v="0"/>
    <n v="1"/>
    <x v="0"/>
    <n v="2"/>
    <x v="3"/>
    <n v="2"/>
    <x v="3"/>
    <x v="3"/>
    <x v="3"/>
    <n v="70"/>
    <x v="2"/>
    <n v="3"/>
    <x v="1"/>
    <n v="0"/>
  </r>
  <r>
    <s v="C0005"/>
    <n v="30"/>
    <x v="1"/>
    <n v="0"/>
    <x v="2"/>
    <n v="1"/>
    <x v="4"/>
    <n v="1"/>
    <x v="4"/>
    <x v="4"/>
    <x v="4"/>
    <n v="85"/>
    <x v="1"/>
    <n v="2"/>
    <x v="1"/>
    <n v="0"/>
  </r>
  <r>
    <s v="C0006"/>
    <n v="27"/>
    <x v="1"/>
    <n v="0"/>
    <x v="3"/>
    <n v="3"/>
    <x v="5"/>
    <n v="4"/>
    <x v="5"/>
    <x v="5"/>
    <x v="5"/>
    <n v="50"/>
    <x v="0"/>
    <n v="1"/>
    <x v="0"/>
    <n v="1"/>
  </r>
  <r>
    <s v="C0007"/>
    <n v="48"/>
    <x v="1"/>
    <n v="0"/>
    <x v="0"/>
    <n v="2"/>
    <x v="4"/>
    <n v="1"/>
    <x v="6"/>
    <x v="6"/>
    <x v="4"/>
    <n v="64"/>
    <x v="2"/>
    <n v="3"/>
    <x v="1"/>
    <n v="0"/>
  </r>
  <r>
    <s v="C0008"/>
    <n v="40"/>
    <x v="1"/>
    <n v="0"/>
    <x v="1"/>
    <n v="4"/>
    <x v="6"/>
    <n v="3"/>
    <x v="7"/>
    <x v="7"/>
    <x v="6"/>
    <n v="92"/>
    <x v="2"/>
    <n v="3"/>
    <x v="1"/>
    <n v="0"/>
  </r>
  <r>
    <s v="C0009"/>
    <n v="26"/>
    <x v="0"/>
    <n v="1"/>
    <x v="3"/>
    <n v="3"/>
    <x v="4"/>
    <n v="5"/>
    <x v="8"/>
    <x v="8"/>
    <x v="0"/>
    <n v="51"/>
    <x v="0"/>
    <n v="1"/>
    <x v="0"/>
    <n v="1"/>
  </r>
  <r>
    <s v="C0010"/>
    <n v="45"/>
    <x v="0"/>
    <n v="1"/>
    <x v="0"/>
    <n v="2"/>
    <x v="7"/>
    <n v="5"/>
    <x v="9"/>
    <x v="9"/>
    <x v="7"/>
    <n v="94"/>
    <x v="2"/>
    <n v="3"/>
    <x v="1"/>
    <n v="0"/>
  </r>
  <r>
    <s v="C0011"/>
    <n v="38"/>
    <x v="0"/>
    <n v="1"/>
    <x v="2"/>
    <n v="1"/>
    <x v="8"/>
    <n v="2"/>
    <x v="10"/>
    <x v="10"/>
    <x v="8"/>
    <n v="29"/>
    <x v="1"/>
    <n v="2"/>
    <x v="1"/>
    <n v="0"/>
  </r>
  <r>
    <s v="C0012"/>
    <n v="42"/>
    <x v="1"/>
    <n v="0"/>
    <x v="3"/>
    <n v="3"/>
    <x v="3"/>
    <n v="5"/>
    <x v="11"/>
    <x v="11"/>
    <x v="9"/>
    <n v="56"/>
    <x v="1"/>
    <n v="2"/>
    <x v="1"/>
    <n v="0"/>
  </r>
  <r>
    <s v="C0013"/>
    <n v="30"/>
    <x v="1"/>
    <n v="0"/>
    <x v="3"/>
    <n v="3"/>
    <x v="1"/>
    <n v="5"/>
    <x v="12"/>
    <x v="12"/>
    <x v="10"/>
    <n v="78"/>
    <x v="2"/>
    <n v="3"/>
    <x v="0"/>
    <n v="1"/>
  </r>
  <r>
    <s v="C0014"/>
    <n v="30"/>
    <x v="1"/>
    <n v="0"/>
    <x v="2"/>
    <n v="1"/>
    <x v="9"/>
    <n v="5"/>
    <x v="13"/>
    <x v="11"/>
    <x v="11"/>
    <n v="81"/>
    <x v="1"/>
    <n v="2"/>
    <x v="1"/>
    <n v="0"/>
  </r>
  <r>
    <s v="C0015"/>
    <n v="43"/>
    <x v="0"/>
    <n v="1"/>
    <x v="0"/>
    <n v="2"/>
    <x v="2"/>
    <n v="3"/>
    <x v="14"/>
    <x v="4"/>
    <x v="12"/>
    <n v="98"/>
    <x v="0"/>
    <n v="1"/>
    <x v="1"/>
    <n v="0"/>
  </r>
  <r>
    <s v="C0016"/>
    <n v="40"/>
    <x v="1"/>
    <n v="0"/>
    <x v="3"/>
    <n v="3"/>
    <x v="1"/>
    <n v="5"/>
    <x v="15"/>
    <x v="13"/>
    <x v="13"/>
    <n v="29"/>
    <x v="1"/>
    <n v="2"/>
    <x v="1"/>
    <n v="0"/>
  </r>
  <r>
    <s v="C0017"/>
    <n v="23"/>
    <x v="0"/>
    <n v="1"/>
    <x v="2"/>
    <n v="1"/>
    <x v="9"/>
    <n v="5"/>
    <x v="16"/>
    <x v="14"/>
    <x v="14"/>
    <n v="97"/>
    <x v="1"/>
    <n v="2"/>
    <x v="1"/>
    <n v="0"/>
  </r>
  <r>
    <s v="C0018"/>
    <n v="27"/>
    <x v="0"/>
    <n v="1"/>
    <x v="1"/>
    <n v="4"/>
    <x v="10"/>
    <n v="5"/>
    <x v="17"/>
    <x v="15"/>
    <x v="15"/>
    <n v="41"/>
    <x v="0"/>
    <n v="1"/>
    <x v="1"/>
    <n v="0"/>
  </r>
  <r>
    <s v="C0019"/>
    <n v="43"/>
    <x v="0"/>
    <n v="1"/>
    <x v="0"/>
    <n v="2"/>
    <x v="5"/>
    <n v="1"/>
    <x v="18"/>
    <x v="16"/>
    <x v="16"/>
    <n v="10"/>
    <x v="1"/>
    <n v="2"/>
    <x v="1"/>
    <n v="0"/>
  </r>
  <r>
    <s v="C0020"/>
    <n v="22"/>
    <x v="0"/>
    <n v="1"/>
    <x v="2"/>
    <n v="1"/>
    <x v="11"/>
    <n v="3"/>
    <x v="19"/>
    <x v="17"/>
    <x v="17"/>
    <n v="26"/>
    <x v="1"/>
    <n v="2"/>
    <x v="1"/>
    <n v="0"/>
  </r>
  <r>
    <s v="C0021"/>
    <n v="41"/>
    <x v="0"/>
    <n v="1"/>
    <x v="3"/>
    <n v="3"/>
    <x v="12"/>
    <n v="2"/>
    <x v="20"/>
    <x v="18"/>
    <x v="18"/>
    <n v="23"/>
    <x v="1"/>
    <n v="2"/>
    <x v="1"/>
    <n v="0"/>
  </r>
  <r>
    <s v="C0022"/>
    <n v="40"/>
    <x v="0"/>
    <n v="1"/>
    <x v="0"/>
    <n v="2"/>
    <x v="12"/>
    <n v="1"/>
    <x v="21"/>
    <x v="19"/>
    <x v="19"/>
    <n v="98"/>
    <x v="1"/>
    <n v="2"/>
    <x v="0"/>
    <n v="1"/>
  </r>
  <r>
    <s v="C0023"/>
    <n v="21"/>
    <x v="1"/>
    <n v="0"/>
    <x v="0"/>
    <n v="2"/>
    <x v="9"/>
    <n v="4"/>
    <x v="22"/>
    <x v="20"/>
    <x v="14"/>
    <n v="38"/>
    <x v="2"/>
    <n v="3"/>
    <x v="1"/>
    <n v="0"/>
  </r>
  <r>
    <s v="C0024"/>
    <n v="43"/>
    <x v="1"/>
    <n v="0"/>
    <x v="2"/>
    <n v="1"/>
    <x v="11"/>
    <n v="3"/>
    <x v="23"/>
    <x v="21"/>
    <x v="20"/>
    <n v="71"/>
    <x v="1"/>
    <n v="2"/>
    <x v="1"/>
    <n v="0"/>
  </r>
  <r>
    <s v="C0025"/>
    <n v="31"/>
    <x v="0"/>
    <n v="1"/>
    <x v="2"/>
    <n v="1"/>
    <x v="6"/>
    <n v="3"/>
    <x v="24"/>
    <x v="22"/>
    <x v="8"/>
    <n v="17"/>
    <x v="1"/>
    <n v="2"/>
    <x v="1"/>
    <n v="0"/>
  </r>
  <r>
    <s v="C0026"/>
    <n v="49"/>
    <x v="0"/>
    <n v="1"/>
    <x v="0"/>
    <n v="2"/>
    <x v="1"/>
    <n v="4"/>
    <x v="25"/>
    <x v="23"/>
    <x v="21"/>
    <n v="76"/>
    <x v="0"/>
    <n v="1"/>
    <x v="0"/>
    <n v="1"/>
  </r>
  <r>
    <s v="C0027"/>
    <n v="25"/>
    <x v="1"/>
    <n v="0"/>
    <x v="0"/>
    <n v="2"/>
    <x v="11"/>
    <n v="4"/>
    <x v="26"/>
    <x v="24"/>
    <x v="22"/>
    <n v="44"/>
    <x v="1"/>
    <n v="2"/>
    <x v="1"/>
    <n v="0"/>
  </r>
  <r>
    <s v="C0028"/>
    <n v="21"/>
    <x v="0"/>
    <n v="1"/>
    <x v="0"/>
    <n v="2"/>
    <x v="0"/>
    <n v="4"/>
    <x v="27"/>
    <x v="25"/>
    <x v="23"/>
    <n v="87"/>
    <x v="2"/>
    <n v="3"/>
    <x v="1"/>
    <n v="0"/>
  </r>
  <r>
    <s v="C0029"/>
    <n v="47"/>
    <x v="0"/>
    <n v="1"/>
    <x v="3"/>
    <n v="3"/>
    <x v="10"/>
    <n v="2"/>
    <x v="28"/>
    <x v="26"/>
    <x v="24"/>
    <n v="86"/>
    <x v="1"/>
    <n v="2"/>
    <x v="1"/>
    <n v="0"/>
  </r>
  <r>
    <s v="C0030"/>
    <n v="40"/>
    <x v="1"/>
    <n v="0"/>
    <x v="0"/>
    <n v="2"/>
    <x v="3"/>
    <n v="5"/>
    <x v="29"/>
    <x v="27"/>
    <x v="25"/>
    <n v="11"/>
    <x v="1"/>
    <n v="2"/>
    <x v="1"/>
    <n v="0"/>
  </r>
  <r>
    <s v="C0031"/>
    <n v="20"/>
    <x v="0"/>
    <n v="1"/>
    <x v="2"/>
    <n v="1"/>
    <x v="11"/>
    <n v="3"/>
    <x v="30"/>
    <x v="28"/>
    <x v="26"/>
    <n v="48"/>
    <x v="1"/>
    <n v="2"/>
    <x v="1"/>
    <n v="0"/>
  </r>
  <r>
    <s v="C0032"/>
    <n v="31"/>
    <x v="0"/>
    <n v="1"/>
    <x v="0"/>
    <n v="2"/>
    <x v="13"/>
    <n v="5"/>
    <x v="31"/>
    <x v="12"/>
    <x v="27"/>
    <n v="93"/>
    <x v="1"/>
    <n v="2"/>
    <x v="1"/>
    <n v="0"/>
  </r>
  <r>
    <s v="C0033"/>
    <n v="45"/>
    <x v="0"/>
    <n v="1"/>
    <x v="1"/>
    <n v="4"/>
    <x v="14"/>
    <n v="5"/>
    <x v="32"/>
    <x v="15"/>
    <x v="28"/>
    <n v="30"/>
    <x v="0"/>
    <n v="1"/>
    <x v="0"/>
    <n v="1"/>
  </r>
  <r>
    <s v="C0034"/>
    <n v="41"/>
    <x v="1"/>
    <n v="0"/>
    <x v="3"/>
    <n v="3"/>
    <x v="6"/>
    <n v="4"/>
    <x v="33"/>
    <x v="29"/>
    <x v="29"/>
    <n v="91"/>
    <x v="2"/>
    <n v="3"/>
    <x v="0"/>
    <n v="1"/>
  </r>
  <r>
    <s v="C0035"/>
    <n v="48"/>
    <x v="1"/>
    <n v="0"/>
    <x v="0"/>
    <n v="2"/>
    <x v="12"/>
    <n v="2"/>
    <x v="34"/>
    <x v="11"/>
    <x v="6"/>
    <n v="21"/>
    <x v="0"/>
    <n v="1"/>
    <x v="1"/>
    <n v="0"/>
  </r>
  <r>
    <s v="C0036"/>
    <n v="31"/>
    <x v="1"/>
    <n v="0"/>
    <x v="0"/>
    <n v="2"/>
    <x v="13"/>
    <n v="1"/>
    <x v="35"/>
    <x v="30"/>
    <x v="30"/>
    <n v="43"/>
    <x v="1"/>
    <n v="2"/>
    <x v="1"/>
    <n v="0"/>
  </r>
  <r>
    <s v="C0037"/>
    <n v="44"/>
    <x v="0"/>
    <n v="1"/>
    <x v="0"/>
    <n v="2"/>
    <x v="10"/>
    <n v="2"/>
    <x v="36"/>
    <x v="31"/>
    <x v="31"/>
    <n v="91"/>
    <x v="1"/>
    <n v="2"/>
    <x v="1"/>
    <n v="0"/>
  </r>
  <r>
    <s v="C0038"/>
    <n v="36"/>
    <x v="0"/>
    <n v="1"/>
    <x v="3"/>
    <n v="3"/>
    <x v="11"/>
    <n v="5"/>
    <x v="37"/>
    <x v="9"/>
    <x v="25"/>
    <n v="63"/>
    <x v="1"/>
    <n v="2"/>
    <x v="0"/>
    <n v="1"/>
  </r>
  <r>
    <s v="C0039"/>
    <n v="46"/>
    <x v="1"/>
    <n v="0"/>
    <x v="3"/>
    <n v="3"/>
    <x v="2"/>
    <n v="2"/>
    <x v="38"/>
    <x v="32"/>
    <x v="32"/>
    <n v="76"/>
    <x v="0"/>
    <n v="1"/>
    <x v="0"/>
    <n v="1"/>
  </r>
  <r>
    <s v="C0040"/>
    <n v="46"/>
    <x v="0"/>
    <n v="1"/>
    <x v="0"/>
    <n v="2"/>
    <x v="12"/>
    <n v="4"/>
    <x v="39"/>
    <x v="22"/>
    <x v="33"/>
    <n v="24"/>
    <x v="1"/>
    <n v="2"/>
    <x v="1"/>
    <n v="0"/>
  </r>
  <r>
    <s v="C0041"/>
    <n v="50"/>
    <x v="0"/>
    <n v="1"/>
    <x v="3"/>
    <n v="3"/>
    <x v="0"/>
    <n v="1"/>
    <x v="40"/>
    <x v="31"/>
    <x v="20"/>
    <n v="50"/>
    <x v="0"/>
    <n v="1"/>
    <x v="1"/>
    <n v="0"/>
  </r>
  <r>
    <s v="C0042"/>
    <n v="29"/>
    <x v="0"/>
    <n v="1"/>
    <x v="3"/>
    <n v="3"/>
    <x v="15"/>
    <n v="4"/>
    <x v="41"/>
    <x v="33"/>
    <x v="34"/>
    <n v="6"/>
    <x v="0"/>
    <n v="1"/>
    <x v="0"/>
    <n v="1"/>
  </r>
  <r>
    <s v="C0043"/>
    <n v="47"/>
    <x v="0"/>
    <n v="1"/>
    <x v="2"/>
    <n v="1"/>
    <x v="0"/>
    <n v="1"/>
    <x v="42"/>
    <x v="34"/>
    <x v="35"/>
    <n v="5"/>
    <x v="1"/>
    <n v="2"/>
    <x v="1"/>
    <n v="0"/>
  </r>
  <r>
    <s v="C0044"/>
    <n v="47"/>
    <x v="0"/>
    <n v="1"/>
    <x v="0"/>
    <n v="2"/>
    <x v="14"/>
    <n v="5"/>
    <x v="43"/>
    <x v="21"/>
    <x v="12"/>
    <n v="23"/>
    <x v="1"/>
    <n v="2"/>
    <x v="1"/>
    <n v="0"/>
  </r>
  <r>
    <s v="C0045"/>
    <n v="35"/>
    <x v="1"/>
    <n v="0"/>
    <x v="2"/>
    <n v="1"/>
    <x v="4"/>
    <n v="1"/>
    <x v="44"/>
    <x v="30"/>
    <x v="2"/>
    <n v="18"/>
    <x v="0"/>
    <n v="1"/>
    <x v="0"/>
    <n v="1"/>
  </r>
  <r>
    <s v="C0046"/>
    <n v="34"/>
    <x v="0"/>
    <n v="1"/>
    <x v="0"/>
    <n v="2"/>
    <x v="15"/>
    <n v="1"/>
    <x v="45"/>
    <x v="29"/>
    <x v="36"/>
    <n v="82"/>
    <x v="0"/>
    <n v="1"/>
    <x v="0"/>
    <n v="1"/>
  </r>
  <r>
    <s v="C0047"/>
    <n v="49"/>
    <x v="1"/>
    <n v="0"/>
    <x v="3"/>
    <n v="3"/>
    <x v="7"/>
    <n v="1"/>
    <x v="46"/>
    <x v="18"/>
    <x v="37"/>
    <n v="99"/>
    <x v="2"/>
    <n v="3"/>
    <x v="1"/>
    <n v="0"/>
  </r>
  <r>
    <s v="C0048"/>
    <n v="49"/>
    <x v="0"/>
    <n v="1"/>
    <x v="0"/>
    <n v="2"/>
    <x v="11"/>
    <n v="2"/>
    <x v="47"/>
    <x v="30"/>
    <x v="38"/>
    <n v="8"/>
    <x v="2"/>
    <n v="3"/>
    <x v="1"/>
    <n v="0"/>
  </r>
  <r>
    <s v="C0049"/>
    <n v="34"/>
    <x v="1"/>
    <n v="0"/>
    <x v="0"/>
    <n v="2"/>
    <x v="10"/>
    <n v="2"/>
    <x v="48"/>
    <x v="35"/>
    <x v="18"/>
    <n v="35"/>
    <x v="0"/>
    <n v="1"/>
    <x v="1"/>
    <n v="0"/>
  </r>
  <r>
    <s v="C0050"/>
    <n v="49"/>
    <x v="0"/>
    <n v="1"/>
    <x v="2"/>
    <n v="1"/>
    <x v="12"/>
    <n v="5"/>
    <x v="49"/>
    <x v="36"/>
    <x v="35"/>
    <n v="39"/>
    <x v="1"/>
    <n v="2"/>
    <x v="1"/>
    <n v="0"/>
  </r>
  <r>
    <s v="C0051"/>
    <n v="38"/>
    <x v="1"/>
    <n v="0"/>
    <x v="0"/>
    <n v="2"/>
    <x v="7"/>
    <n v="1"/>
    <x v="50"/>
    <x v="37"/>
    <x v="39"/>
    <n v="92"/>
    <x v="1"/>
    <n v="2"/>
    <x v="1"/>
    <n v="0"/>
  </r>
  <r>
    <s v="C0052"/>
    <n v="31"/>
    <x v="0"/>
    <n v="1"/>
    <x v="0"/>
    <n v="2"/>
    <x v="8"/>
    <n v="3"/>
    <x v="51"/>
    <x v="26"/>
    <x v="40"/>
    <n v="23"/>
    <x v="1"/>
    <n v="2"/>
    <x v="1"/>
    <n v="0"/>
  </r>
  <r>
    <s v="C0053"/>
    <n v="42"/>
    <x v="1"/>
    <n v="0"/>
    <x v="0"/>
    <n v="2"/>
    <x v="10"/>
    <n v="5"/>
    <x v="52"/>
    <x v="38"/>
    <x v="41"/>
    <n v="47"/>
    <x v="2"/>
    <n v="3"/>
    <x v="1"/>
    <n v="0"/>
  </r>
  <r>
    <s v="C0054"/>
    <n v="39"/>
    <x v="0"/>
    <n v="1"/>
    <x v="0"/>
    <n v="2"/>
    <x v="14"/>
    <n v="1"/>
    <x v="53"/>
    <x v="3"/>
    <x v="42"/>
    <n v="62"/>
    <x v="0"/>
    <n v="1"/>
    <x v="0"/>
    <n v="1"/>
  </r>
  <r>
    <s v="C0055"/>
    <n v="44"/>
    <x v="1"/>
    <n v="0"/>
    <x v="0"/>
    <n v="2"/>
    <x v="9"/>
    <n v="1"/>
    <x v="54"/>
    <x v="8"/>
    <x v="43"/>
    <n v="68"/>
    <x v="1"/>
    <n v="2"/>
    <x v="0"/>
    <n v="1"/>
  </r>
  <r>
    <s v="C0056"/>
    <n v="22"/>
    <x v="0"/>
    <n v="1"/>
    <x v="0"/>
    <n v="2"/>
    <x v="11"/>
    <n v="2"/>
    <x v="55"/>
    <x v="2"/>
    <x v="44"/>
    <n v="52"/>
    <x v="1"/>
    <n v="2"/>
    <x v="1"/>
    <n v="0"/>
  </r>
  <r>
    <s v="C0057"/>
    <n v="24"/>
    <x v="1"/>
    <n v="0"/>
    <x v="2"/>
    <n v="1"/>
    <x v="3"/>
    <n v="5"/>
    <x v="56"/>
    <x v="39"/>
    <x v="23"/>
    <n v="53"/>
    <x v="1"/>
    <n v="2"/>
    <x v="1"/>
    <n v="0"/>
  </r>
  <r>
    <s v="C0058"/>
    <n v="38"/>
    <x v="1"/>
    <n v="0"/>
    <x v="2"/>
    <n v="1"/>
    <x v="3"/>
    <n v="1"/>
    <x v="57"/>
    <x v="40"/>
    <x v="45"/>
    <n v="41"/>
    <x v="1"/>
    <n v="2"/>
    <x v="1"/>
    <n v="0"/>
  </r>
  <r>
    <s v="C0059"/>
    <n v="26"/>
    <x v="0"/>
    <n v="1"/>
    <x v="0"/>
    <n v="2"/>
    <x v="11"/>
    <n v="1"/>
    <x v="58"/>
    <x v="11"/>
    <x v="8"/>
    <n v="44"/>
    <x v="2"/>
    <n v="3"/>
    <x v="1"/>
    <n v="0"/>
  </r>
  <r>
    <s v="C0060"/>
    <n v="40"/>
    <x v="0"/>
    <n v="1"/>
    <x v="0"/>
    <n v="2"/>
    <x v="15"/>
    <n v="5"/>
    <x v="59"/>
    <x v="41"/>
    <x v="46"/>
    <n v="89"/>
    <x v="0"/>
    <n v="1"/>
    <x v="0"/>
    <n v="1"/>
  </r>
  <r>
    <s v="C0061"/>
    <n v="28"/>
    <x v="1"/>
    <n v="0"/>
    <x v="0"/>
    <n v="2"/>
    <x v="4"/>
    <n v="3"/>
    <x v="60"/>
    <x v="38"/>
    <x v="27"/>
    <n v="13"/>
    <x v="0"/>
    <n v="1"/>
    <x v="0"/>
    <n v="1"/>
  </r>
  <r>
    <s v="C0062"/>
    <n v="26"/>
    <x v="0"/>
    <n v="1"/>
    <x v="0"/>
    <n v="2"/>
    <x v="4"/>
    <n v="5"/>
    <x v="61"/>
    <x v="25"/>
    <x v="47"/>
    <n v="28"/>
    <x v="0"/>
    <n v="1"/>
    <x v="0"/>
    <n v="1"/>
  </r>
  <r>
    <s v="C0063"/>
    <n v="37"/>
    <x v="1"/>
    <n v="0"/>
    <x v="0"/>
    <n v="2"/>
    <x v="15"/>
    <n v="5"/>
    <x v="62"/>
    <x v="36"/>
    <x v="48"/>
    <n v="5"/>
    <x v="2"/>
    <n v="3"/>
    <x v="1"/>
    <n v="0"/>
  </r>
  <r>
    <s v="C0064"/>
    <n v="23"/>
    <x v="1"/>
    <n v="0"/>
    <x v="3"/>
    <n v="3"/>
    <x v="1"/>
    <n v="3"/>
    <x v="63"/>
    <x v="42"/>
    <x v="49"/>
    <n v="6"/>
    <x v="1"/>
    <n v="2"/>
    <x v="1"/>
    <n v="0"/>
  </r>
  <r>
    <s v="C0065"/>
    <n v="44"/>
    <x v="1"/>
    <n v="0"/>
    <x v="2"/>
    <n v="1"/>
    <x v="5"/>
    <n v="5"/>
    <x v="64"/>
    <x v="30"/>
    <x v="32"/>
    <n v="36"/>
    <x v="1"/>
    <n v="2"/>
    <x v="1"/>
    <n v="0"/>
  </r>
  <r>
    <s v="C0066"/>
    <n v="47"/>
    <x v="0"/>
    <n v="1"/>
    <x v="0"/>
    <n v="2"/>
    <x v="3"/>
    <n v="1"/>
    <x v="65"/>
    <x v="27"/>
    <x v="50"/>
    <n v="52"/>
    <x v="0"/>
    <n v="1"/>
    <x v="0"/>
    <n v="1"/>
  </r>
  <r>
    <s v="C0067"/>
    <n v="33"/>
    <x v="1"/>
    <n v="0"/>
    <x v="3"/>
    <n v="3"/>
    <x v="2"/>
    <n v="5"/>
    <x v="66"/>
    <x v="43"/>
    <x v="51"/>
    <n v="17"/>
    <x v="2"/>
    <n v="3"/>
    <x v="1"/>
    <n v="0"/>
  </r>
  <r>
    <s v="C0068"/>
    <n v="37"/>
    <x v="1"/>
    <n v="0"/>
    <x v="0"/>
    <n v="2"/>
    <x v="15"/>
    <n v="3"/>
    <x v="67"/>
    <x v="44"/>
    <x v="30"/>
    <n v="86"/>
    <x v="2"/>
    <n v="3"/>
    <x v="1"/>
    <n v="0"/>
  </r>
  <r>
    <s v="C0069"/>
    <n v="45"/>
    <x v="0"/>
    <n v="1"/>
    <x v="0"/>
    <n v="2"/>
    <x v="12"/>
    <n v="4"/>
    <x v="68"/>
    <x v="45"/>
    <x v="52"/>
    <n v="37"/>
    <x v="1"/>
    <n v="2"/>
    <x v="1"/>
    <n v="0"/>
  </r>
  <r>
    <s v="C0070"/>
    <n v="28"/>
    <x v="0"/>
    <n v="1"/>
    <x v="1"/>
    <n v="4"/>
    <x v="3"/>
    <n v="5"/>
    <x v="69"/>
    <x v="11"/>
    <x v="53"/>
    <n v="58"/>
    <x v="1"/>
    <n v="2"/>
    <x v="1"/>
    <n v="0"/>
  </r>
  <r>
    <s v="C0071"/>
    <n v="45"/>
    <x v="0"/>
    <n v="1"/>
    <x v="3"/>
    <n v="3"/>
    <x v="2"/>
    <n v="2"/>
    <x v="70"/>
    <x v="24"/>
    <x v="54"/>
    <n v="0"/>
    <x v="0"/>
    <n v="1"/>
    <x v="0"/>
    <n v="1"/>
  </r>
  <r>
    <s v="C0072"/>
    <n v="40"/>
    <x v="0"/>
    <n v="1"/>
    <x v="0"/>
    <n v="2"/>
    <x v="14"/>
    <n v="1"/>
    <x v="71"/>
    <x v="43"/>
    <x v="55"/>
    <n v="67"/>
    <x v="1"/>
    <n v="2"/>
    <x v="1"/>
    <n v="0"/>
  </r>
  <r>
    <s v="C0073"/>
    <n v="21"/>
    <x v="1"/>
    <n v="0"/>
    <x v="0"/>
    <n v="2"/>
    <x v="7"/>
    <n v="1"/>
    <x v="72"/>
    <x v="35"/>
    <x v="56"/>
    <n v="43"/>
    <x v="1"/>
    <n v="2"/>
    <x v="1"/>
    <n v="0"/>
  </r>
  <r>
    <s v="C0074"/>
    <n v="39"/>
    <x v="1"/>
    <n v="0"/>
    <x v="0"/>
    <n v="2"/>
    <x v="2"/>
    <n v="2"/>
    <x v="73"/>
    <x v="36"/>
    <x v="57"/>
    <n v="46"/>
    <x v="0"/>
    <n v="1"/>
    <x v="1"/>
    <n v="0"/>
  </r>
  <r>
    <s v="C0075"/>
    <n v="47"/>
    <x v="1"/>
    <n v="0"/>
    <x v="0"/>
    <n v="2"/>
    <x v="7"/>
    <n v="2"/>
    <x v="74"/>
    <x v="40"/>
    <x v="5"/>
    <n v="34"/>
    <x v="1"/>
    <n v="2"/>
    <x v="1"/>
    <n v="0"/>
  </r>
  <r>
    <s v="C0076"/>
    <n v="34"/>
    <x v="1"/>
    <n v="0"/>
    <x v="0"/>
    <n v="2"/>
    <x v="5"/>
    <n v="5"/>
    <x v="75"/>
    <x v="18"/>
    <x v="58"/>
    <n v="86"/>
    <x v="0"/>
    <n v="1"/>
    <x v="0"/>
    <n v="1"/>
  </r>
  <r>
    <s v="C0077"/>
    <n v="47"/>
    <x v="0"/>
    <n v="1"/>
    <x v="0"/>
    <n v="2"/>
    <x v="10"/>
    <n v="2"/>
    <x v="76"/>
    <x v="46"/>
    <x v="25"/>
    <n v="90"/>
    <x v="1"/>
    <n v="2"/>
    <x v="1"/>
    <n v="0"/>
  </r>
  <r>
    <s v="C0078"/>
    <n v="26"/>
    <x v="1"/>
    <n v="0"/>
    <x v="0"/>
    <n v="2"/>
    <x v="6"/>
    <n v="4"/>
    <x v="77"/>
    <x v="43"/>
    <x v="25"/>
    <n v="59"/>
    <x v="1"/>
    <n v="2"/>
    <x v="1"/>
    <n v="0"/>
  </r>
  <r>
    <s v="C0079"/>
    <n v="31"/>
    <x v="1"/>
    <n v="0"/>
    <x v="0"/>
    <n v="2"/>
    <x v="13"/>
    <n v="3"/>
    <x v="78"/>
    <x v="21"/>
    <x v="23"/>
    <n v="89"/>
    <x v="0"/>
    <n v="1"/>
    <x v="1"/>
    <n v="0"/>
  </r>
  <r>
    <s v="C0080"/>
    <n v="48"/>
    <x v="0"/>
    <n v="1"/>
    <x v="3"/>
    <n v="3"/>
    <x v="10"/>
    <n v="2"/>
    <x v="79"/>
    <x v="3"/>
    <x v="1"/>
    <n v="51"/>
    <x v="1"/>
    <n v="2"/>
    <x v="1"/>
    <n v="0"/>
  </r>
  <r>
    <s v="C0081"/>
    <n v="27"/>
    <x v="1"/>
    <n v="0"/>
    <x v="0"/>
    <n v="2"/>
    <x v="3"/>
    <n v="2"/>
    <x v="80"/>
    <x v="44"/>
    <x v="59"/>
    <n v="7"/>
    <x v="1"/>
    <n v="2"/>
    <x v="1"/>
    <n v="0"/>
  </r>
  <r>
    <s v="C0082"/>
    <n v="34"/>
    <x v="1"/>
    <n v="0"/>
    <x v="2"/>
    <n v="1"/>
    <x v="7"/>
    <n v="4"/>
    <x v="81"/>
    <x v="20"/>
    <x v="60"/>
    <n v="79"/>
    <x v="0"/>
    <n v="1"/>
    <x v="0"/>
    <n v="1"/>
  </r>
  <r>
    <s v="C0083"/>
    <n v="22"/>
    <x v="1"/>
    <n v="0"/>
    <x v="0"/>
    <n v="2"/>
    <x v="3"/>
    <n v="1"/>
    <x v="82"/>
    <x v="47"/>
    <x v="61"/>
    <n v="40"/>
    <x v="2"/>
    <n v="3"/>
    <x v="1"/>
    <n v="0"/>
  </r>
  <r>
    <s v="C0084"/>
    <n v="33"/>
    <x v="1"/>
    <n v="0"/>
    <x v="0"/>
    <n v="2"/>
    <x v="5"/>
    <n v="1"/>
    <x v="83"/>
    <x v="11"/>
    <x v="60"/>
    <n v="2"/>
    <x v="0"/>
    <n v="1"/>
    <x v="1"/>
    <n v="0"/>
  </r>
  <r>
    <s v="C0085"/>
    <n v="36"/>
    <x v="1"/>
    <n v="0"/>
    <x v="0"/>
    <n v="2"/>
    <x v="15"/>
    <n v="5"/>
    <x v="84"/>
    <x v="14"/>
    <x v="24"/>
    <n v="95"/>
    <x v="1"/>
    <n v="2"/>
    <x v="0"/>
    <n v="1"/>
  </r>
  <r>
    <s v="C0086"/>
    <n v="23"/>
    <x v="1"/>
    <n v="0"/>
    <x v="0"/>
    <n v="2"/>
    <x v="11"/>
    <n v="4"/>
    <x v="85"/>
    <x v="6"/>
    <x v="48"/>
    <n v="68"/>
    <x v="0"/>
    <n v="1"/>
    <x v="0"/>
    <n v="1"/>
  </r>
  <r>
    <s v="C0087"/>
    <n v="37"/>
    <x v="0"/>
    <n v="1"/>
    <x v="0"/>
    <n v="2"/>
    <x v="12"/>
    <n v="3"/>
    <x v="86"/>
    <x v="12"/>
    <x v="54"/>
    <n v="83"/>
    <x v="0"/>
    <n v="1"/>
    <x v="0"/>
    <n v="1"/>
  </r>
  <r>
    <s v="C0088"/>
    <n v="27"/>
    <x v="0"/>
    <n v="1"/>
    <x v="0"/>
    <n v="2"/>
    <x v="0"/>
    <n v="3"/>
    <x v="87"/>
    <x v="48"/>
    <x v="55"/>
    <n v="13"/>
    <x v="0"/>
    <n v="1"/>
    <x v="1"/>
    <n v="0"/>
  </r>
  <r>
    <s v="C0089"/>
    <n v="23"/>
    <x v="1"/>
    <n v="0"/>
    <x v="2"/>
    <n v="1"/>
    <x v="8"/>
    <n v="4"/>
    <x v="88"/>
    <x v="49"/>
    <x v="62"/>
    <n v="95"/>
    <x v="0"/>
    <n v="1"/>
    <x v="0"/>
    <n v="1"/>
  </r>
  <r>
    <s v="C0090"/>
    <n v="21"/>
    <x v="1"/>
    <n v="0"/>
    <x v="2"/>
    <n v="1"/>
    <x v="8"/>
    <n v="3"/>
    <x v="89"/>
    <x v="50"/>
    <x v="63"/>
    <n v="25"/>
    <x v="1"/>
    <n v="2"/>
    <x v="1"/>
    <n v="0"/>
  </r>
  <r>
    <s v="C0091"/>
    <n v="49"/>
    <x v="0"/>
    <n v="1"/>
    <x v="0"/>
    <n v="2"/>
    <x v="3"/>
    <n v="1"/>
    <x v="90"/>
    <x v="51"/>
    <x v="43"/>
    <n v="69"/>
    <x v="0"/>
    <n v="1"/>
    <x v="0"/>
    <n v="1"/>
  </r>
  <r>
    <s v="C0092"/>
    <n v="25"/>
    <x v="1"/>
    <n v="0"/>
    <x v="0"/>
    <n v="2"/>
    <x v="12"/>
    <n v="3"/>
    <x v="91"/>
    <x v="20"/>
    <x v="9"/>
    <n v="57"/>
    <x v="1"/>
    <n v="2"/>
    <x v="1"/>
    <n v="0"/>
  </r>
  <r>
    <s v="C0093"/>
    <n v="41"/>
    <x v="1"/>
    <n v="0"/>
    <x v="1"/>
    <n v="4"/>
    <x v="15"/>
    <n v="3"/>
    <x v="92"/>
    <x v="13"/>
    <x v="40"/>
    <n v="99"/>
    <x v="0"/>
    <n v="1"/>
    <x v="0"/>
    <n v="1"/>
  </r>
  <r>
    <s v="C0094"/>
    <n v="29"/>
    <x v="1"/>
    <n v="0"/>
    <x v="0"/>
    <n v="2"/>
    <x v="2"/>
    <n v="4"/>
    <x v="93"/>
    <x v="12"/>
    <x v="18"/>
    <n v="39"/>
    <x v="0"/>
    <n v="1"/>
    <x v="0"/>
    <n v="1"/>
  </r>
  <r>
    <s v="C0095"/>
    <n v="23"/>
    <x v="0"/>
    <n v="1"/>
    <x v="0"/>
    <n v="2"/>
    <x v="15"/>
    <n v="4"/>
    <x v="94"/>
    <x v="48"/>
    <x v="55"/>
    <n v="50"/>
    <x v="1"/>
    <n v="2"/>
    <x v="1"/>
    <n v="0"/>
  </r>
  <r>
    <s v="C0096"/>
    <n v="41"/>
    <x v="1"/>
    <n v="0"/>
    <x v="0"/>
    <n v="2"/>
    <x v="14"/>
    <n v="3"/>
    <x v="95"/>
    <x v="38"/>
    <x v="20"/>
    <n v="4"/>
    <x v="2"/>
    <n v="3"/>
    <x v="1"/>
    <n v="0"/>
  </r>
  <r>
    <s v="C0097"/>
    <n v="48"/>
    <x v="0"/>
    <n v="1"/>
    <x v="2"/>
    <n v="1"/>
    <x v="10"/>
    <n v="2"/>
    <x v="96"/>
    <x v="25"/>
    <x v="19"/>
    <n v="76"/>
    <x v="1"/>
    <n v="2"/>
    <x v="1"/>
    <n v="0"/>
  </r>
  <r>
    <s v="C0098"/>
    <n v="50"/>
    <x v="1"/>
    <n v="0"/>
    <x v="1"/>
    <n v="4"/>
    <x v="1"/>
    <n v="4"/>
    <x v="97"/>
    <x v="52"/>
    <x v="62"/>
    <n v="31"/>
    <x v="1"/>
    <n v="2"/>
    <x v="0"/>
    <n v="1"/>
  </r>
  <r>
    <s v="C0099"/>
    <n v="37"/>
    <x v="0"/>
    <n v="1"/>
    <x v="0"/>
    <n v="2"/>
    <x v="2"/>
    <n v="5"/>
    <x v="98"/>
    <x v="48"/>
    <x v="64"/>
    <n v="79"/>
    <x v="0"/>
    <n v="1"/>
    <x v="1"/>
    <n v="0"/>
  </r>
  <r>
    <s v="C0100"/>
    <n v="45"/>
    <x v="0"/>
    <n v="1"/>
    <x v="3"/>
    <n v="3"/>
    <x v="0"/>
    <n v="5"/>
    <x v="99"/>
    <x v="53"/>
    <x v="49"/>
    <n v="0"/>
    <x v="2"/>
    <n v="3"/>
    <x v="1"/>
    <n v="0"/>
  </r>
  <r>
    <s v="C0101"/>
    <n v="31"/>
    <x v="1"/>
    <n v="0"/>
    <x v="2"/>
    <n v="1"/>
    <x v="7"/>
    <n v="1"/>
    <x v="100"/>
    <x v="54"/>
    <x v="3"/>
    <n v="76"/>
    <x v="0"/>
    <n v="1"/>
    <x v="1"/>
    <n v="0"/>
  </r>
  <r>
    <s v="C0102"/>
    <n v="21"/>
    <x v="0"/>
    <n v="1"/>
    <x v="0"/>
    <n v="2"/>
    <x v="11"/>
    <n v="3"/>
    <x v="101"/>
    <x v="55"/>
    <x v="22"/>
    <n v="53"/>
    <x v="0"/>
    <n v="1"/>
    <x v="0"/>
    <n v="1"/>
  </r>
  <r>
    <s v="C0103"/>
    <n v="29"/>
    <x v="1"/>
    <n v="0"/>
    <x v="0"/>
    <n v="2"/>
    <x v="12"/>
    <n v="2"/>
    <x v="102"/>
    <x v="56"/>
    <x v="34"/>
    <n v="10"/>
    <x v="1"/>
    <n v="2"/>
    <x v="1"/>
    <n v="0"/>
  </r>
  <r>
    <s v="C0104"/>
    <n v="49"/>
    <x v="0"/>
    <n v="1"/>
    <x v="3"/>
    <n v="3"/>
    <x v="11"/>
    <n v="1"/>
    <x v="103"/>
    <x v="31"/>
    <x v="65"/>
    <n v="52"/>
    <x v="1"/>
    <n v="2"/>
    <x v="1"/>
    <n v="0"/>
  </r>
  <r>
    <s v="C0105"/>
    <n v="23"/>
    <x v="1"/>
    <n v="0"/>
    <x v="2"/>
    <n v="1"/>
    <x v="13"/>
    <n v="3"/>
    <x v="104"/>
    <x v="57"/>
    <x v="66"/>
    <n v="7"/>
    <x v="2"/>
    <n v="3"/>
    <x v="1"/>
    <n v="0"/>
  </r>
  <r>
    <s v="C0106"/>
    <n v="33"/>
    <x v="1"/>
    <n v="0"/>
    <x v="0"/>
    <n v="2"/>
    <x v="5"/>
    <n v="4"/>
    <x v="105"/>
    <x v="58"/>
    <x v="54"/>
    <n v="24"/>
    <x v="0"/>
    <n v="1"/>
    <x v="0"/>
    <n v="1"/>
  </r>
  <r>
    <s v="C0107"/>
    <n v="50"/>
    <x v="0"/>
    <n v="1"/>
    <x v="1"/>
    <n v="4"/>
    <x v="15"/>
    <n v="5"/>
    <x v="106"/>
    <x v="5"/>
    <x v="67"/>
    <n v="39"/>
    <x v="2"/>
    <n v="3"/>
    <x v="1"/>
    <n v="0"/>
  </r>
  <r>
    <s v="C0108"/>
    <n v="35"/>
    <x v="1"/>
    <n v="0"/>
    <x v="0"/>
    <n v="2"/>
    <x v="3"/>
    <n v="2"/>
    <x v="107"/>
    <x v="9"/>
    <x v="54"/>
    <n v="31"/>
    <x v="1"/>
    <n v="2"/>
    <x v="1"/>
    <n v="0"/>
  </r>
  <r>
    <s v="C0109"/>
    <n v="34"/>
    <x v="1"/>
    <n v="0"/>
    <x v="0"/>
    <n v="2"/>
    <x v="7"/>
    <n v="5"/>
    <x v="108"/>
    <x v="1"/>
    <x v="1"/>
    <n v="87"/>
    <x v="1"/>
    <n v="2"/>
    <x v="1"/>
    <n v="0"/>
  </r>
  <r>
    <s v="C0110"/>
    <n v="27"/>
    <x v="0"/>
    <n v="1"/>
    <x v="2"/>
    <n v="1"/>
    <x v="8"/>
    <n v="4"/>
    <x v="109"/>
    <x v="25"/>
    <x v="8"/>
    <n v="27"/>
    <x v="0"/>
    <n v="1"/>
    <x v="0"/>
    <n v="1"/>
  </r>
  <r>
    <s v="C0111"/>
    <n v="33"/>
    <x v="1"/>
    <n v="0"/>
    <x v="1"/>
    <n v="4"/>
    <x v="13"/>
    <n v="3"/>
    <x v="110"/>
    <x v="45"/>
    <x v="27"/>
    <n v="77"/>
    <x v="0"/>
    <n v="1"/>
    <x v="0"/>
    <n v="1"/>
  </r>
  <r>
    <s v="C0112"/>
    <n v="42"/>
    <x v="1"/>
    <n v="0"/>
    <x v="2"/>
    <n v="1"/>
    <x v="15"/>
    <n v="4"/>
    <x v="111"/>
    <x v="59"/>
    <x v="45"/>
    <n v="2"/>
    <x v="2"/>
    <n v="3"/>
    <x v="1"/>
    <n v="0"/>
  </r>
  <r>
    <s v="C0113"/>
    <n v="47"/>
    <x v="0"/>
    <n v="1"/>
    <x v="3"/>
    <n v="3"/>
    <x v="9"/>
    <n v="4"/>
    <x v="112"/>
    <x v="58"/>
    <x v="68"/>
    <n v="99"/>
    <x v="1"/>
    <n v="2"/>
    <x v="0"/>
    <n v="1"/>
  </r>
  <r>
    <s v="C0114"/>
    <n v="44"/>
    <x v="0"/>
    <n v="1"/>
    <x v="3"/>
    <n v="3"/>
    <x v="3"/>
    <n v="5"/>
    <x v="113"/>
    <x v="60"/>
    <x v="69"/>
    <n v="90"/>
    <x v="1"/>
    <n v="2"/>
    <x v="1"/>
    <n v="0"/>
  </r>
  <r>
    <s v="C0115"/>
    <n v="49"/>
    <x v="1"/>
    <n v="0"/>
    <x v="0"/>
    <n v="2"/>
    <x v="2"/>
    <n v="2"/>
    <x v="114"/>
    <x v="6"/>
    <x v="70"/>
    <n v="83"/>
    <x v="2"/>
    <n v="3"/>
    <x v="1"/>
    <n v="0"/>
  </r>
  <r>
    <s v="C0116"/>
    <n v="27"/>
    <x v="1"/>
    <n v="0"/>
    <x v="0"/>
    <n v="2"/>
    <x v="10"/>
    <n v="4"/>
    <x v="115"/>
    <x v="33"/>
    <x v="71"/>
    <n v="78"/>
    <x v="0"/>
    <n v="1"/>
    <x v="0"/>
    <n v="1"/>
  </r>
  <r>
    <s v="C0117"/>
    <n v="40"/>
    <x v="0"/>
    <n v="1"/>
    <x v="2"/>
    <n v="1"/>
    <x v="6"/>
    <n v="5"/>
    <x v="116"/>
    <x v="60"/>
    <x v="27"/>
    <n v="61"/>
    <x v="1"/>
    <n v="2"/>
    <x v="0"/>
    <n v="1"/>
  </r>
  <r>
    <s v="C0118"/>
    <n v="35"/>
    <x v="0"/>
    <n v="1"/>
    <x v="0"/>
    <n v="2"/>
    <x v="12"/>
    <n v="2"/>
    <x v="117"/>
    <x v="61"/>
    <x v="12"/>
    <n v="26"/>
    <x v="1"/>
    <n v="2"/>
    <x v="1"/>
    <n v="0"/>
  </r>
  <r>
    <s v="C0119"/>
    <n v="32"/>
    <x v="1"/>
    <n v="0"/>
    <x v="3"/>
    <n v="3"/>
    <x v="1"/>
    <n v="3"/>
    <x v="118"/>
    <x v="62"/>
    <x v="72"/>
    <n v="44"/>
    <x v="0"/>
    <n v="1"/>
    <x v="0"/>
    <n v="1"/>
  </r>
  <r>
    <s v="C0120"/>
    <n v="37"/>
    <x v="0"/>
    <n v="1"/>
    <x v="3"/>
    <n v="3"/>
    <x v="14"/>
    <n v="3"/>
    <x v="119"/>
    <x v="1"/>
    <x v="45"/>
    <n v="91"/>
    <x v="0"/>
    <n v="1"/>
    <x v="0"/>
    <n v="1"/>
  </r>
  <r>
    <s v="C0121"/>
    <n v="34"/>
    <x v="1"/>
    <n v="0"/>
    <x v="0"/>
    <n v="2"/>
    <x v="0"/>
    <n v="1"/>
    <x v="120"/>
    <x v="49"/>
    <x v="13"/>
    <n v="24"/>
    <x v="1"/>
    <n v="2"/>
    <x v="1"/>
    <n v="0"/>
  </r>
  <r>
    <s v="C0122"/>
    <n v="40"/>
    <x v="1"/>
    <n v="0"/>
    <x v="0"/>
    <n v="2"/>
    <x v="0"/>
    <n v="5"/>
    <x v="121"/>
    <x v="2"/>
    <x v="65"/>
    <n v="60"/>
    <x v="1"/>
    <n v="2"/>
    <x v="1"/>
    <n v="0"/>
  </r>
  <r>
    <s v="C0123"/>
    <n v="43"/>
    <x v="1"/>
    <n v="0"/>
    <x v="2"/>
    <n v="1"/>
    <x v="1"/>
    <n v="2"/>
    <x v="122"/>
    <x v="38"/>
    <x v="11"/>
    <n v="43"/>
    <x v="1"/>
    <n v="2"/>
    <x v="1"/>
    <n v="0"/>
  </r>
  <r>
    <s v="C0124"/>
    <n v="45"/>
    <x v="1"/>
    <n v="0"/>
    <x v="2"/>
    <n v="1"/>
    <x v="2"/>
    <n v="4"/>
    <x v="123"/>
    <x v="25"/>
    <x v="4"/>
    <n v="96"/>
    <x v="0"/>
    <n v="1"/>
    <x v="0"/>
    <n v="1"/>
  </r>
  <r>
    <s v="C0125"/>
    <n v="44"/>
    <x v="1"/>
    <n v="0"/>
    <x v="2"/>
    <n v="1"/>
    <x v="4"/>
    <n v="3"/>
    <x v="124"/>
    <x v="63"/>
    <x v="73"/>
    <n v="45"/>
    <x v="2"/>
    <n v="3"/>
    <x v="1"/>
    <n v="0"/>
  </r>
  <r>
    <s v="C0126"/>
    <n v="47"/>
    <x v="0"/>
    <n v="1"/>
    <x v="0"/>
    <n v="2"/>
    <x v="0"/>
    <n v="2"/>
    <x v="125"/>
    <x v="45"/>
    <x v="54"/>
    <n v="13"/>
    <x v="0"/>
    <n v="1"/>
    <x v="1"/>
    <n v="0"/>
  </r>
  <r>
    <s v="C0127"/>
    <n v="47"/>
    <x v="0"/>
    <n v="1"/>
    <x v="0"/>
    <n v="2"/>
    <x v="12"/>
    <n v="5"/>
    <x v="126"/>
    <x v="5"/>
    <x v="1"/>
    <n v="7"/>
    <x v="1"/>
    <n v="2"/>
    <x v="1"/>
    <n v="0"/>
  </r>
  <r>
    <s v="C0128"/>
    <n v="47"/>
    <x v="0"/>
    <n v="1"/>
    <x v="0"/>
    <n v="2"/>
    <x v="2"/>
    <n v="1"/>
    <x v="127"/>
    <x v="26"/>
    <x v="74"/>
    <n v="47"/>
    <x v="1"/>
    <n v="2"/>
    <x v="1"/>
    <n v="0"/>
  </r>
  <r>
    <s v="C0129"/>
    <n v="32"/>
    <x v="0"/>
    <n v="1"/>
    <x v="0"/>
    <n v="2"/>
    <x v="7"/>
    <n v="3"/>
    <x v="128"/>
    <x v="52"/>
    <x v="75"/>
    <n v="13"/>
    <x v="0"/>
    <n v="1"/>
    <x v="0"/>
    <n v="1"/>
  </r>
  <r>
    <s v="C0130"/>
    <n v="28"/>
    <x v="1"/>
    <n v="0"/>
    <x v="0"/>
    <n v="2"/>
    <x v="0"/>
    <n v="2"/>
    <x v="129"/>
    <x v="64"/>
    <x v="0"/>
    <n v="64"/>
    <x v="0"/>
    <n v="1"/>
    <x v="0"/>
    <n v="1"/>
  </r>
  <r>
    <s v="C0131"/>
    <n v="48"/>
    <x v="1"/>
    <n v="0"/>
    <x v="0"/>
    <n v="2"/>
    <x v="11"/>
    <n v="2"/>
    <x v="130"/>
    <x v="65"/>
    <x v="62"/>
    <n v="79"/>
    <x v="1"/>
    <n v="2"/>
    <x v="1"/>
    <n v="0"/>
  </r>
  <r>
    <s v="C0132"/>
    <n v="34"/>
    <x v="1"/>
    <n v="0"/>
    <x v="3"/>
    <n v="3"/>
    <x v="2"/>
    <n v="2"/>
    <x v="131"/>
    <x v="66"/>
    <x v="6"/>
    <n v="81"/>
    <x v="2"/>
    <n v="3"/>
    <x v="1"/>
    <n v="0"/>
  </r>
  <r>
    <s v="C0133"/>
    <n v="32"/>
    <x v="1"/>
    <n v="0"/>
    <x v="0"/>
    <n v="2"/>
    <x v="12"/>
    <n v="5"/>
    <x v="132"/>
    <x v="19"/>
    <x v="64"/>
    <n v="6"/>
    <x v="0"/>
    <n v="1"/>
    <x v="0"/>
    <n v="1"/>
  </r>
  <r>
    <s v="C0134"/>
    <n v="20"/>
    <x v="0"/>
    <n v="1"/>
    <x v="1"/>
    <n v="4"/>
    <x v="1"/>
    <n v="5"/>
    <x v="133"/>
    <x v="8"/>
    <x v="1"/>
    <n v="78"/>
    <x v="1"/>
    <n v="2"/>
    <x v="0"/>
    <n v="1"/>
  </r>
  <r>
    <s v="C0135"/>
    <n v="44"/>
    <x v="1"/>
    <n v="0"/>
    <x v="3"/>
    <n v="3"/>
    <x v="6"/>
    <n v="5"/>
    <x v="134"/>
    <x v="2"/>
    <x v="25"/>
    <n v="87"/>
    <x v="1"/>
    <n v="2"/>
    <x v="1"/>
    <n v="0"/>
  </r>
  <r>
    <s v="C0136"/>
    <n v="26"/>
    <x v="1"/>
    <n v="0"/>
    <x v="2"/>
    <n v="1"/>
    <x v="11"/>
    <n v="4"/>
    <x v="135"/>
    <x v="67"/>
    <x v="1"/>
    <n v="48"/>
    <x v="0"/>
    <n v="1"/>
    <x v="0"/>
    <n v="1"/>
  </r>
  <r>
    <s v="C0137"/>
    <n v="28"/>
    <x v="0"/>
    <n v="1"/>
    <x v="3"/>
    <n v="3"/>
    <x v="8"/>
    <n v="2"/>
    <x v="136"/>
    <x v="37"/>
    <x v="42"/>
    <n v="54"/>
    <x v="1"/>
    <n v="2"/>
    <x v="1"/>
    <n v="0"/>
  </r>
  <r>
    <s v="C0138"/>
    <n v="43"/>
    <x v="0"/>
    <n v="1"/>
    <x v="0"/>
    <n v="2"/>
    <x v="8"/>
    <n v="3"/>
    <x v="137"/>
    <x v="37"/>
    <x v="67"/>
    <n v="12"/>
    <x v="2"/>
    <n v="3"/>
    <x v="1"/>
    <n v="0"/>
  </r>
  <r>
    <s v="C0139"/>
    <n v="20"/>
    <x v="0"/>
    <n v="1"/>
    <x v="0"/>
    <n v="2"/>
    <x v="3"/>
    <n v="5"/>
    <x v="138"/>
    <x v="52"/>
    <x v="39"/>
    <n v="72"/>
    <x v="1"/>
    <n v="2"/>
    <x v="1"/>
    <n v="0"/>
  </r>
  <r>
    <s v="C0140"/>
    <n v="31"/>
    <x v="0"/>
    <n v="1"/>
    <x v="0"/>
    <n v="2"/>
    <x v="8"/>
    <n v="5"/>
    <x v="139"/>
    <x v="35"/>
    <x v="14"/>
    <n v="55"/>
    <x v="2"/>
    <n v="3"/>
    <x v="1"/>
    <n v="0"/>
  </r>
  <r>
    <s v="C0141"/>
    <n v="27"/>
    <x v="1"/>
    <n v="0"/>
    <x v="0"/>
    <n v="2"/>
    <x v="3"/>
    <n v="2"/>
    <x v="140"/>
    <x v="20"/>
    <x v="6"/>
    <n v="55"/>
    <x v="0"/>
    <n v="1"/>
    <x v="1"/>
    <n v="0"/>
  </r>
  <r>
    <s v="C0142"/>
    <n v="43"/>
    <x v="1"/>
    <n v="0"/>
    <x v="0"/>
    <n v="2"/>
    <x v="0"/>
    <n v="5"/>
    <x v="141"/>
    <x v="41"/>
    <x v="58"/>
    <n v="14"/>
    <x v="1"/>
    <n v="2"/>
    <x v="1"/>
    <n v="0"/>
  </r>
  <r>
    <s v="C0143"/>
    <n v="50"/>
    <x v="0"/>
    <n v="1"/>
    <x v="0"/>
    <n v="2"/>
    <x v="11"/>
    <n v="4"/>
    <x v="142"/>
    <x v="27"/>
    <x v="76"/>
    <n v="56"/>
    <x v="1"/>
    <n v="2"/>
    <x v="1"/>
    <n v="0"/>
  </r>
  <r>
    <s v="C0144"/>
    <n v="30"/>
    <x v="1"/>
    <n v="0"/>
    <x v="0"/>
    <n v="2"/>
    <x v="10"/>
    <n v="4"/>
    <x v="143"/>
    <x v="68"/>
    <x v="29"/>
    <n v="57"/>
    <x v="1"/>
    <n v="2"/>
    <x v="1"/>
    <n v="0"/>
  </r>
  <r>
    <s v="C0145"/>
    <n v="38"/>
    <x v="1"/>
    <n v="0"/>
    <x v="0"/>
    <n v="2"/>
    <x v="15"/>
    <n v="5"/>
    <x v="144"/>
    <x v="63"/>
    <x v="25"/>
    <n v="34"/>
    <x v="1"/>
    <n v="2"/>
    <x v="1"/>
    <n v="0"/>
  </r>
  <r>
    <s v="C0146"/>
    <n v="36"/>
    <x v="1"/>
    <n v="0"/>
    <x v="0"/>
    <n v="2"/>
    <x v="3"/>
    <n v="2"/>
    <x v="145"/>
    <x v="40"/>
    <x v="25"/>
    <n v="87"/>
    <x v="0"/>
    <n v="1"/>
    <x v="1"/>
    <n v="0"/>
  </r>
  <r>
    <s v="C0147"/>
    <n v="27"/>
    <x v="0"/>
    <n v="1"/>
    <x v="3"/>
    <n v="3"/>
    <x v="10"/>
    <n v="2"/>
    <x v="146"/>
    <x v="12"/>
    <x v="75"/>
    <n v="96"/>
    <x v="1"/>
    <n v="2"/>
    <x v="0"/>
    <n v="1"/>
  </r>
  <r>
    <s v="C0148"/>
    <n v="22"/>
    <x v="1"/>
    <n v="0"/>
    <x v="2"/>
    <n v="1"/>
    <x v="7"/>
    <n v="2"/>
    <x v="147"/>
    <x v="36"/>
    <x v="77"/>
    <n v="15"/>
    <x v="1"/>
    <n v="2"/>
    <x v="1"/>
    <n v="0"/>
  </r>
  <r>
    <s v="C0149"/>
    <n v="22"/>
    <x v="0"/>
    <n v="1"/>
    <x v="0"/>
    <n v="2"/>
    <x v="2"/>
    <n v="1"/>
    <x v="148"/>
    <x v="69"/>
    <x v="53"/>
    <n v="7"/>
    <x v="0"/>
    <n v="1"/>
    <x v="1"/>
    <n v="0"/>
  </r>
  <r>
    <s v="C0150"/>
    <n v="20"/>
    <x v="1"/>
    <n v="0"/>
    <x v="3"/>
    <n v="3"/>
    <x v="15"/>
    <n v="5"/>
    <x v="149"/>
    <x v="60"/>
    <x v="36"/>
    <n v="92"/>
    <x v="2"/>
    <n v="3"/>
    <x v="0"/>
    <n v="1"/>
  </r>
  <r>
    <s v="C0151"/>
    <n v="46"/>
    <x v="1"/>
    <n v="0"/>
    <x v="0"/>
    <n v="2"/>
    <x v="13"/>
    <n v="2"/>
    <x v="150"/>
    <x v="70"/>
    <x v="78"/>
    <n v="86"/>
    <x v="1"/>
    <n v="2"/>
    <x v="1"/>
    <n v="0"/>
  </r>
  <r>
    <s v="C0152"/>
    <n v="24"/>
    <x v="1"/>
    <n v="0"/>
    <x v="2"/>
    <n v="1"/>
    <x v="5"/>
    <n v="4"/>
    <x v="151"/>
    <x v="55"/>
    <x v="29"/>
    <n v="44"/>
    <x v="1"/>
    <n v="2"/>
    <x v="1"/>
    <n v="0"/>
  </r>
  <r>
    <s v="C0153"/>
    <n v="29"/>
    <x v="0"/>
    <n v="1"/>
    <x v="2"/>
    <n v="1"/>
    <x v="12"/>
    <n v="3"/>
    <x v="152"/>
    <x v="71"/>
    <x v="34"/>
    <n v="94"/>
    <x v="0"/>
    <n v="1"/>
    <x v="0"/>
    <n v="1"/>
  </r>
  <r>
    <s v="C0154"/>
    <n v="26"/>
    <x v="1"/>
    <n v="0"/>
    <x v="0"/>
    <n v="2"/>
    <x v="14"/>
    <n v="3"/>
    <x v="153"/>
    <x v="67"/>
    <x v="79"/>
    <n v="39"/>
    <x v="0"/>
    <n v="1"/>
    <x v="0"/>
    <n v="1"/>
  </r>
  <r>
    <s v="C0155"/>
    <n v="45"/>
    <x v="0"/>
    <n v="1"/>
    <x v="1"/>
    <n v="4"/>
    <x v="5"/>
    <n v="2"/>
    <x v="154"/>
    <x v="57"/>
    <x v="80"/>
    <n v="53"/>
    <x v="1"/>
    <n v="2"/>
    <x v="0"/>
    <n v="1"/>
  </r>
  <r>
    <s v="C0156"/>
    <n v="28"/>
    <x v="0"/>
    <n v="1"/>
    <x v="0"/>
    <n v="2"/>
    <x v="5"/>
    <n v="3"/>
    <x v="155"/>
    <x v="22"/>
    <x v="60"/>
    <n v="13"/>
    <x v="1"/>
    <n v="2"/>
    <x v="1"/>
    <n v="0"/>
  </r>
  <r>
    <s v="C0157"/>
    <n v="47"/>
    <x v="0"/>
    <n v="1"/>
    <x v="1"/>
    <n v="4"/>
    <x v="2"/>
    <n v="3"/>
    <x v="156"/>
    <x v="64"/>
    <x v="81"/>
    <n v="58"/>
    <x v="1"/>
    <n v="2"/>
    <x v="1"/>
    <n v="0"/>
  </r>
  <r>
    <s v="C0158"/>
    <n v="26"/>
    <x v="1"/>
    <n v="0"/>
    <x v="0"/>
    <n v="2"/>
    <x v="1"/>
    <n v="1"/>
    <x v="157"/>
    <x v="61"/>
    <x v="56"/>
    <n v="93"/>
    <x v="1"/>
    <n v="2"/>
    <x v="1"/>
    <n v="0"/>
  </r>
  <r>
    <s v="C0159"/>
    <n v="28"/>
    <x v="1"/>
    <n v="0"/>
    <x v="0"/>
    <n v="2"/>
    <x v="15"/>
    <n v="4"/>
    <x v="158"/>
    <x v="72"/>
    <x v="46"/>
    <n v="52"/>
    <x v="0"/>
    <n v="1"/>
    <x v="0"/>
    <n v="1"/>
  </r>
  <r>
    <s v="C0160"/>
    <n v="27"/>
    <x v="1"/>
    <n v="0"/>
    <x v="0"/>
    <n v="2"/>
    <x v="12"/>
    <n v="4"/>
    <x v="159"/>
    <x v="38"/>
    <x v="82"/>
    <n v="26"/>
    <x v="1"/>
    <n v="2"/>
    <x v="1"/>
    <n v="0"/>
  </r>
  <r>
    <s v="C0161"/>
    <n v="31"/>
    <x v="1"/>
    <n v="0"/>
    <x v="0"/>
    <n v="2"/>
    <x v="15"/>
    <n v="1"/>
    <x v="160"/>
    <x v="73"/>
    <x v="20"/>
    <n v="46"/>
    <x v="1"/>
    <n v="2"/>
    <x v="1"/>
    <n v="0"/>
  </r>
  <r>
    <s v="C0162"/>
    <n v="21"/>
    <x v="0"/>
    <n v="1"/>
    <x v="2"/>
    <n v="1"/>
    <x v="11"/>
    <n v="1"/>
    <x v="161"/>
    <x v="56"/>
    <x v="29"/>
    <n v="79"/>
    <x v="1"/>
    <n v="2"/>
    <x v="0"/>
    <n v="1"/>
  </r>
  <r>
    <s v="C0163"/>
    <n v="20"/>
    <x v="0"/>
    <n v="1"/>
    <x v="3"/>
    <n v="3"/>
    <x v="7"/>
    <n v="3"/>
    <x v="162"/>
    <x v="4"/>
    <x v="83"/>
    <n v="5"/>
    <x v="0"/>
    <n v="1"/>
    <x v="1"/>
    <n v="0"/>
  </r>
  <r>
    <s v="C0164"/>
    <n v="35"/>
    <x v="0"/>
    <n v="1"/>
    <x v="3"/>
    <n v="3"/>
    <x v="9"/>
    <n v="5"/>
    <x v="163"/>
    <x v="54"/>
    <x v="5"/>
    <n v="54"/>
    <x v="0"/>
    <n v="1"/>
    <x v="0"/>
    <n v="1"/>
  </r>
  <r>
    <s v="C0165"/>
    <n v="42"/>
    <x v="1"/>
    <n v="0"/>
    <x v="0"/>
    <n v="2"/>
    <x v="14"/>
    <n v="3"/>
    <x v="164"/>
    <x v="17"/>
    <x v="53"/>
    <n v="96"/>
    <x v="1"/>
    <n v="2"/>
    <x v="1"/>
    <n v="0"/>
  </r>
  <r>
    <s v="C0166"/>
    <n v="42"/>
    <x v="0"/>
    <n v="1"/>
    <x v="1"/>
    <n v="4"/>
    <x v="0"/>
    <n v="1"/>
    <x v="165"/>
    <x v="10"/>
    <x v="43"/>
    <n v="43"/>
    <x v="0"/>
    <n v="1"/>
    <x v="0"/>
    <n v="1"/>
  </r>
  <r>
    <s v="C0167"/>
    <n v="49"/>
    <x v="1"/>
    <n v="0"/>
    <x v="3"/>
    <n v="3"/>
    <x v="15"/>
    <n v="4"/>
    <x v="166"/>
    <x v="74"/>
    <x v="50"/>
    <n v="17"/>
    <x v="0"/>
    <n v="1"/>
    <x v="0"/>
    <n v="1"/>
  </r>
  <r>
    <s v="C0168"/>
    <n v="43"/>
    <x v="0"/>
    <n v="1"/>
    <x v="0"/>
    <n v="2"/>
    <x v="12"/>
    <n v="3"/>
    <x v="167"/>
    <x v="75"/>
    <x v="20"/>
    <n v="15"/>
    <x v="0"/>
    <n v="1"/>
    <x v="1"/>
    <n v="0"/>
  </r>
  <r>
    <s v="C0169"/>
    <n v="24"/>
    <x v="1"/>
    <n v="0"/>
    <x v="2"/>
    <n v="1"/>
    <x v="12"/>
    <n v="5"/>
    <x v="168"/>
    <x v="17"/>
    <x v="67"/>
    <n v="11"/>
    <x v="1"/>
    <n v="2"/>
    <x v="1"/>
    <n v="0"/>
  </r>
  <r>
    <s v="C0170"/>
    <n v="22"/>
    <x v="1"/>
    <n v="0"/>
    <x v="0"/>
    <n v="2"/>
    <x v="11"/>
    <n v="3"/>
    <x v="169"/>
    <x v="56"/>
    <x v="54"/>
    <n v="19"/>
    <x v="1"/>
    <n v="2"/>
    <x v="1"/>
    <n v="0"/>
  </r>
  <r>
    <s v="C0171"/>
    <n v="31"/>
    <x v="0"/>
    <n v="1"/>
    <x v="0"/>
    <n v="2"/>
    <x v="10"/>
    <n v="2"/>
    <x v="170"/>
    <x v="15"/>
    <x v="69"/>
    <n v="44"/>
    <x v="1"/>
    <n v="2"/>
    <x v="1"/>
    <n v="0"/>
  </r>
  <r>
    <s v="C0172"/>
    <n v="27"/>
    <x v="0"/>
    <n v="1"/>
    <x v="0"/>
    <n v="2"/>
    <x v="2"/>
    <n v="3"/>
    <x v="171"/>
    <x v="76"/>
    <x v="82"/>
    <n v="63"/>
    <x v="0"/>
    <n v="1"/>
    <x v="0"/>
    <n v="1"/>
  </r>
  <r>
    <s v="C0173"/>
    <n v="41"/>
    <x v="0"/>
    <n v="1"/>
    <x v="2"/>
    <n v="1"/>
    <x v="1"/>
    <n v="1"/>
    <x v="172"/>
    <x v="39"/>
    <x v="66"/>
    <n v="58"/>
    <x v="1"/>
    <n v="2"/>
    <x v="1"/>
    <n v="0"/>
  </r>
  <r>
    <s v="C0174"/>
    <n v="46"/>
    <x v="0"/>
    <n v="1"/>
    <x v="3"/>
    <n v="3"/>
    <x v="9"/>
    <n v="4"/>
    <x v="173"/>
    <x v="9"/>
    <x v="84"/>
    <n v="92"/>
    <x v="0"/>
    <n v="1"/>
    <x v="0"/>
    <n v="1"/>
  </r>
  <r>
    <s v="C0175"/>
    <n v="22"/>
    <x v="1"/>
    <n v="0"/>
    <x v="2"/>
    <n v="1"/>
    <x v="4"/>
    <n v="4"/>
    <x v="174"/>
    <x v="77"/>
    <x v="68"/>
    <n v="93"/>
    <x v="2"/>
    <n v="3"/>
    <x v="1"/>
    <n v="0"/>
  </r>
  <r>
    <s v="C0176"/>
    <n v="20"/>
    <x v="0"/>
    <n v="1"/>
    <x v="0"/>
    <n v="2"/>
    <x v="0"/>
    <n v="1"/>
    <x v="175"/>
    <x v="58"/>
    <x v="36"/>
    <n v="89"/>
    <x v="1"/>
    <n v="2"/>
    <x v="1"/>
    <n v="0"/>
  </r>
  <r>
    <s v="C0177"/>
    <n v="22"/>
    <x v="0"/>
    <n v="1"/>
    <x v="1"/>
    <n v="4"/>
    <x v="13"/>
    <n v="2"/>
    <x v="176"/>
    <x v="78"/>
    <x v="47"/>
    <n v="21"/>
    <x v="1"/>
    <n v="2"/>
    <x v="1"/>
    <n v="0"/>
  </r>
  <r>
    <s v="C0178"/>
    <n v="24"/>
    <x v="0"/>
    <n v="1"/>
    <x v="3"/>
    <n v="3"/>
    <x v="4"/>
    <n v="1"/>
    <x v="177"/>
    <x v="0"/>
    <x v="24"/>
    <n v="96"/>
    <x v="0"/>
    <n v="1"/>
    <x v="0"/>
    <n v="1"/>
  </r>
  <r>
    <s v="C0179"/>
    <n v="34"/>
    <x v="1"/>
    <n v="0"/>
    <x v="0"/>
    <n v="2"/>
    <x v="5"/>
    <n v="3"/>
    <x v="178"/>
    <x v="79"/>
    <x v="10"/>
    <n v="46"/>
    <x v="0"/>
    <n v="1"/>
    <x v="0"/>
    <n v="1"/>
  </r>
  <r>
    <s v="C0180"/>
    <n v="33"/>
    <x v="1"/>
    <n v="0"/>
    <x v="3"/>
    <n v="3"/>
    <x v="8"/>
    <n v="1"/>
    <x v="179"/>
    <x v="21"/>
    <x v="32"/>
    <n v="28"/>
    <x v="1"/>
    <n v="2"/>
    <x v="1"/>
    <n v="0"/>
  </r>
  <r>
    <s v="C0181"/>
    <n v="22"/>
    <x v="0"/>
    <n v="1"/>
    <x v="2"/>
    <n v="1"/>
    <x v="2"/>
    <n v="1"/>
    <x v="180"/>
    <x v="80"/>
    <x v="85"/>
    <n v="85"/>
    <x v="1"/>
    <n v="2"/>
    <x v="1"/>
    <n v="0"/>
  </r>
  <r>
    <s v="C0182"/>
    <n v="20"/>
    <x v="1"/>
    <n v="0"/>
    <x v="2"/>
    <n v="1"/>
    <x v="5"/>
    <n v="2"/>
    <x v="181"/>
    <x v="52"/>
    <x v="25"/>
    <n v="44"/>
    <x v="0"/>
    <n v="1"/>
    <x v="0"/>
    <n v="1"/>
  </r>
  <r>
    <s v="C0183"/>
    <n v="24"/>
    <x v="0"/>
    <n v="1"/>
    <x v="0"/>
    <n v="2"/>
    <x v="8"/>
    <n v="3"/>
    <x v="182"/>
    <x v="81"/>
    <x v="86"/>
    <n v="76"/>
    <x v="2"/>
    <n v="3"/>
    <x v="1"/>
    <n v="0"/>
  </r>
  <r>
    <s v="C0184"/>
    <n v="45"/>
    <x v="1"/>
    <n v="0"/>
    <x v="0"/>
    <n v="2"/>
    <x v="5"/>
    <n v="5"/>
    <x v="183"/>
    <x v="30"/>
    <x v="16"/>
    <n v="8"/>
    <x v="2"/>
    <n v="3"/>
    <x v="1"/>
    <n v="0"/>
  </r>
  <r>
    <s v="C0185"/>
    <n v="42"/>
    <x v="1"/>
    <n v="0"/>
    <x v="0"/>
    <n v="2"/>
    <x v="0"/>
    <n v="5"/>
    <x v="184"/>
    <x v="21"/>
    <x v="35"/>
    <n v="23"/>
    <x v="1"/>
    <n v="2"/>
    <x v="1"/>
    <n v="0"/>
  </r>
  <r>
    <s v="C0186"/>
    <n v="50"/>
    <x v="1"/>
    <n v="0"/>
    <x v="0"/>
    <n v="2"/>
    <x v="12"/>
    <n v="4"/>
    <x v="185"/>
    <x v="82"/>
    <x v="58"/>
    <n v="14"/>
    <x v="2"/>
    <n v="3"/>
    <x v="1"/>
    <n v="0"/>
  </r>
  <r>
    <s v="C0187"/>
    <n v="33"/>
    <x v="1"/>
    <n v="0"/>
    <x v="2"/>
    <n v="1"/>
    <x v="6"/>
    <n v="1"/>
    <x v="186"/>
    <x v="70"/>
    <x v="87"/>
    <n v="35"/>
    <x v="0"/>
    <n v="1"/>
    <x v="0"/>
    <n v="1"/>
  </r>
  <r>
    <s v="C0188"/>
    <n v="26"/>
    <x v="0"/>
    <n v="1"/>
    <x v="0"/>
    <n v="2"/>
    <x v="13"/>
    <n v="4"/>
    <x v="187"/>
    <x v="70"/>
    <x v="75"/>
    <n v="12"/>
    <x v="0"/>
    <n v="1"/>
    <x v="0"/>
    <n v="1"/>
  </r>
  <r>
    <s v="C0189"/>
    <n v="46"/>
    <x v="0"/>
    <n v="1"/>
    <x v="0"/>
    <n v="2"/>
    <x v="15"/>
    <n v="2"/>
    <x v="188"/>
    <x v="43"/>
    <x v="81"/>
    <n v="90"/>
    <x v="0"/>
    <n v="1"/>
    <x v="0"/>
    <n v="1"/>
  </r>
  <r>
    <s v="C0190"/>
    <n v="28"/>
    <x v="0"/>
    <n v="1"/>
    <x v="3"/>
    <n v="3"/>
    <x v="8"/>
    <n v="5"/>
    <x v="189"/>
    <x v="19"/>
    <x v="37"/>
    <n v="43"/>
    <x v="1"/>
    <n v="2"/>
    <x v="0"/>
    <n v="1"/>
  </r>
  <r>
    <s v="C0191"/>
    <n v="34"/>
    <x v="1"/>
    <n v="0"/>
    <x v="0"/>
    <n v="2"/>
    <x v="10"/>
    <n v="1"/>
    <x v="190"/>
    <x v="27"/>
    <x v="83"/>
    <n v="100"/>
    <x v="0"/>
    <n v="1"/>
    <x v="0"/>
    <n v="1"/>
  </r>
  <r>
    <s v="C0192"/>
    <n v="34"/>
    <x v="0"/>
    <n v="1"/>
    <x v="0"/>
    <n v="2"/>
    <x v="9"/>
    <n v="2"/>
    <x v="191"/>
    <x v="83"/>
    <x v="88"/>
    <n v="70"/>
    <x v="2"/>
    <n v="3"/>
    <x v="1"/>
    <n v="0"/>
  </r>
  <r>
    <s v="C0193"/>
    <n v="45"/>
    <x v="0"/>
    <n v="1"/>
    <x v="0"/>
    <n v="2"/>
    <x v="15"/>
    <n v="2"/>
    <x v="192"/>
    <x v="77"/>
    <x v="24"/>
    <n v="71"/>
    <x v="0"/>
    <n v="1"/>
    <x v="0"/>
    <n v="1"/>
  </r>
  <r>
    <s v="C0194"/>
    <n v="29"/>
    <x v="0"/>
    <n v="1"/>
    <x v="2"/>
    <n v="1"/>
    <x v="1"/>
    <n v="1"/>
    <x v="193"/>
    <x v="23"/>
    <x v="54"/>
    <n v="100"/>
    <x v="1"/>
    <n v="2"/>
    <x v="1"/>
    <n v="0"/>
  </r>
  <r>
    <s v="C0195"/>
    <n v="47"/>
    <x v="1"/>
    <n v="0"/>
    <x v="2"/>
    <n v="1"/>
    <x v="10"/>
    <n v="2"/>
    <x v="194"/>
    <x v="73"/>
    <x v="84"/>
    <n v="77"/>
    <x v="2"/>
    <n v="3"/>
    <x v="1"/>
    <n v="0"/>
  </r>
  <r>
    <s v="C0196"/>
    <n v="32"/>
    <x v="1"/>
    <n v="0"/>
    <x v="3"/>
    <n v="3"/>
    <x v="7"/>
    <n v="1"/>
    <x v="195"/>
    <x v="46"/>
    <x v="47"/>
    <n v="75"/>
    <x v="0"/>
    <n v="1"/>
    <x v="0"/>
    <n v="1"/>
  </r>
  <r>
    <s v="C0197"/>
    <n v="38"/>
    <x v="1"/>
    <n v="0"/>
    <x v="0"/>
    <n v="2"/>
    <x v="6"/>
    <n v="1"/>
    <x v="196"/>
    <x v="3"/>
    <x v="77"/>
    <n v="35"/>
    <x v="0"/>
    <n v="1"/>
    <x v="1"/>
    <n v="0"/>
  </r>
  <r>
    <s v="C0198"/>
    <n v="50"/>
    <x v="0"/>
    <n v="1"/>
    <x v="2"/>
    <n v="1"/>
    <x v="11"/>
    <n v="3"/>
    <x v="197"/>
    <x v="49"/>
    <x v="28"/>
    <n v="60"/>
    <x v="1"/>
    <n v="2"/>
    <x v="1"/>
    <n v="0"/>
  </r>
  <r>
    <s v="C0199"/>
    <n v="26"/>
    <x v="0"/>
    <n v="1"/>
    <x v="0"/>
    <n v="2"/>
    <x v="0"/>
    <n v="4"/>
    <x v="198"/>
    <x v="48"/>
    <x v="59"/>
    <n v="80"/>
    <x v="0"/>
    <n v="1"/>
    <x v="0"/>
    <n v="1"/>
  </r>
  <r>
    <s v="C0200"/>
    <n v="36"/>
    <x v="0"/>
    <n v="1"/>
    <x v="0"/>
    <n v="2"/>
    <x v="15"/>
    <n v="2"/>
    <x v="199"/>
    <x v="49"/>
    <x v="7"/>
    <n v="39"/>
    <x v="0"/>
    <n v="1"/>
    <x v="1"/>
    <n v="0"/>
  </r>
  <r>
    <s v="C0201"/>
    <n v="39"/>
    <x v="1"/>
    <n v="0"/>
    <x v="0"/>
    <n v="2"/>
    <x v="8"/>
    <n v="2"/>
    <x v="200"/>
    <x v="84"/>
    <x v="24"/>
    <n v="92"/>
    <x v="0"/>
    <n v="1"/>
    <x v="0"/>
    <n v="1"/>
  </r>
  <r>
    <s v="C0202"/>
    <n v="48"/>
    <x v="1"/>
    <n v="0"/>
    <x v="0"/>
    <n v="2"/>
    <x v="10"/>
    <n v="3"/>
    <x v="201"/>
    <x v="71"/>
    <x v="2"/>
    <n v="26"/>
    <x v="1"/>
    <n v="2"/>
    <x v="1"/>
    <n v="0"/>
  </r>
  <r>
    <s v="C0203"/>
    <n v="23"/>
    <x v="0"/>
    <n v="1"/>
    <x v="0"/>
    <n v="2"/>
    <x v="6"/>
    <n v="3"/>
    <x v="202"/>
    <x v="27"/>
    <x v="89"/>
    <n v="0"/>
    <x v="2"/>
    <n v="3"/>
    <x v="1"/>
    <n v="0"/>
  </r>
  <r>
    <s v="C0204"/>
    <n v="49"/>
    <x v="1"/>
    <n v="0"/>
    <x v="0"/>
    <n v="2"/>
    <x v="8"/>
    <n v="3"/>
    <x v="203"/>
    <x v="6"/>
    <x v="87"/>
    <n v="33"/>
    <x v="2"/>
    <n v="3"/>
    <x v="1"/>
    <n v="0"/>
  </r>
  <r>
    <s v="C0205"/>
    <n v="24"/>
    <x v="1"/>
    <n v="0"/>
    <x v="2"/>
    <n v="1"/>
    <x v="4"/>
    <n v="5"/>
    <x v="204"/>
    <x v="69"/>
    <x v="20"/>
    <n v="67"/>
    <x v="0"/>
    <n v="1"/>
    <x v="0"/>
    <n v="1"/>
  </r>
  <r>
    <s v="C0206"/>
    <n v="42"/>
    <x v="1"/>
    <n v="0"/>
    <x v="0"/>
    <n v="2"/>
    <x v="11"/>
    <n v="5"/>
    <x v="205"/>
    <x v="72"/>
    <x v="34"/>
    <n v="87"/>
    <x v="1"/>
    <n v="2"/>
    <x v="0"/>
    <n v="1"/>
  </r>
  <r>
    <s v="C0207"/>
    <n v="26"/>
    <x v="1"/>
    <n v="0"/>
    <x v="3"/>
    <n v="3"/>
    <x v="10"/>
    <n v="5"/>
    <x v="206"/>
    <x v="85"/>
    <x v="5"/>
    <n v="20"/>
    <x v="1"/>
    <n v="2"/>
    <x v="1"/>
    <n v="0"/>
  </r>
  <r>
    <s v="C0208"/>
    <n v="32"/>
    <x v="0"/>
    <n v="1"/>
    <x v="3"/>
    <n v="3"/>
    <x v="3"/>
    <n v="1"/>
    <x v="207"/>
    <x v="86"/>
    <x v="79"/>
    <n v="32"/>
    <x v="2"/>
    <n v="3"/>
    <x v="1"/>
    <n v="0"/>
  </r>
  <r>
    <s v="C0209"/>
    <n v="34"/>
    <x v="1"/>
    <n v="0"/>
    <x v="3"/>
    <n v="3"/>
    <x v="5"/>
    <n v="2"/>
    <x v="208"/>
    <x v="27"/>
    <x v="39"/>
    <n v="6"/>
    <x v="0"/>
    <n v="1"/>
    <x v="0"/>
    <n v="1"/>
  </r>
  <r>
    <s v="C0210"/>
    <n v="30"/>
    <x v="1"/>
    <n v="0"/>
    <x v="0"/>
    <n v="2"/>
    <x v="7"/>
    <n v="4"/>
    <x v="209"/>
    <x v="75"/>
    <x v="11"/>
    <n v="64"/>
    <x v="1"/>
    <n v="2"/>
    <x v="1"/>
    <n v="0"/>
  </r>
  <r>
    <s v="C0211"/>
    <n v="48"/>
    <x v="1"/>
    <n v="0"/>
    <x v="0"/>
    <n v="2"/>
    <x v="2"/>
    <n v="1"/>
    <x v="210"/>
    <x v="43"/>
    <x v="26"/>
    <n v="2"/>
    <x v="1"/>
    <n v="2"/>
    <x v="1"/>
    <n v="0"/>
  </r>
  <r>
    <s v="C0212"/>
    <n v="23"/>
    <x v="1"/>
    <n v="0"/>
    <x v="0"/>
    <n v="2"/>
    <x v="15"/>
    <n v="2"/>
    <x v="211"/>
    <x v="74"/>
    <x v="16"/>
    <n v="50"/>
    <x v="2"/>
    <n v="3"/>
    <x v="1"/>
    <n v="0"/>
  </r>
  <r>
    <s v="C0213"/>
    <n v="32"/>
    <x v="0"/>
    <n v="1"/>
    <x v="0"/>
    <n v="2"/>
    <x v="5"/>
    <n v="2"/>
    <x v="212"/>
    <x v="48"/>
    <x v="90"/>
    <n v="78"/>
    <x v="0"/>
    <n v="1"/>
    <x v="0"/>
    <n v="1"/>
  </r>
  <r>
    <s v="C0214"/>
    <n v="26"/>
    <x v="0"/>
    <n v="1"/>
    <x v="0"/>
    <n v="2"/>
    <x v="1"/>
    <n v="3"/>
    <x v="213"/>
    <x v="87"/>
    <x v="91"/>
    <n v="94"/>
    <x v="0"/>
    <n v="1"/>
    <x v="0"/>
    <n v="1"/>
  </r>
  <r>
    <s v="C0215"/>
    <n v="46"/>
    <x v="1"/>
    <n v="0"/>
    <x v="2"/>
    <n v="1"/>
    <x v="9"/>
    <n v="3"/>
    <x v="214"/>
    <x v="67"/>
    <x v="18"/>
    <n v="53"/>
    <x v="0"/>
    <n v="1"/>
    <x v="0"/>
    <n v="1"/>
  </r>
  <r>
    <s v="C0216"/>
    <n v="38"/>
    <x v="1"/>
    <n v="0"/>
    <x v="0"/>
    <n v="2"/>
    <x v="6"/>
    <n v="1"/>
    <x v="215"/>
    <x v="1"/>
    <x v="21"/>
    <n v="79"/>
    <x v="0"/>
    <n v="1"/>
    <x v="0"/>
    <n v="1"/>
  </r>
  <r>
    <s v="C0217"/>
    <n v="41"/>
    <x v="1"/>
    <n v="0"/>
    <x v="1"/>
    <n v="4"/>
    <x v="7"/>
    <n v="3"/>
    <x v="216"/>
    <x v="46"/>
    <x v="54"/>
    <n v="73"/>
    <x v="1"/>
    <n v="2"/>
    <x v="1"/>
    <n v="0"/>
  </r>
  <r>
    <s v="C0218"/>
    <n v="47"/>
    <x v="1"/>
    <n v="0"/>
    <x v="0"/>
    <n v="2"/>
    <x v="11"/>
    <n v="2"/>
    <x v="217"/>
    <x v="83"/>
    <x v="92"/>
    <n v="92"/>
    <x v="1"/>
    <n v="2"/>
    <x v="1"/>
    <n v="0"/>
  </r>
  <r>
    <s v="C0219"/>
    <n v="21"/>
    <x v="1"/>
    <n v="0"/>
    <x v="2"/>
    <n v="1"/>
    <x v="3"/>
    <n v="3"/>
    <x v="218"/>
    <x v="88"/>
    <x v="78"/>
    <n v="58"/>
    <x v="1"/>
    <n v="2"/>
    <x v="1"/>
    <n v="0"/>
  </r>
  <r>
    <s v="C0220"/>
    <n v="29"/>
    <x v="1"/>
    <n v="0"/>
    <x v="0"/>
    <n v="2"/>
    <x v="0"/>
    <n v="5"/>
    <x v="219"/>
    <x v="13"/>
    <x v="6"/>
    <n v="5"/>
    <x v="0"/>
    <n v="1"/>
    <x v="1"/>
    <n v="0"/>
  </r>
  <r>
    <s v="C0221"/>
    <n v="32"/>
    <x v="0"/>
    <n v="1"/>
    <x v="3"/>
    <n v="3"/>
    <x v="4"/>
    <n v="3"/>
    <x v="220"/>
    <x v="15"/>
    <x v="71"/>
    <n v="28"/>
    <x v="0"/>
    <n v="1"/>
    <x v="0"/>
    <n v="1"/>
  </r>
  <r>
    <s v="C0222"/>
    <n v="49"/>
    <x v="1"/>
    <n v="0"/>
    <x v="0"/>
    <n v="2"/>
    <x v="9"/>
    <n v="2"/>
    <x v="221"/>
    <x v="89"/>
    <x v="29"/>
    <n v="16"/>
    <x v="0"/>
    <n v="1"/>
    <x v="0"/>
    <n v="1"/>
  </r>
  <r>
    <s v="C0223"/>
    <n v="44"/>
    <x v="0"/>
    <n v="1"/>
    <x v="0"/>
    <n v="2"/>
    <x v="15"/>
    <n v="1"/>
    <x v="222"/>
    <x v="26"/>
    <x v="65"/>
    <n v="59"/>
    <x v="0"/>
    <n v="1"/>
    <x v="0"/>
    <n v="1"/>
  </r>
  <r>
    <s v="C0224"/>
    <n v="40"/>
    <x v="0"/>
    <n v="1"/>
    <x v="2"/>
    <n v="1"/>
    <x v="6"/>
    <n v="4"/>
    <x v="223"/>
    <x v="11"/>
    <x v="43"/>
    <n v="21"/>
    <x v="1"/>
    <n v="2"/>
    <x v="1"/>
    <n v="0"/>
  </r>
  <r>
    <s v="C0225"/>
    <n v="25"/>
    <x v="1"/>
    <n v="0"/>
    <x v="0"/>
    <n v="2"/>
    <x v="9"/>
    <n v="3"/>
    <x v="224"/>
    <x v="13"/>
    <x v="41"/>
    <n v="23"/>
    <x v="0"/>
    <n v="1"/>
    <x v="0"/>
    <n v="1"/>
  </r>
  <r>
    <s v="C0226"/>
    <n v="47"/>
    <x v="0"/>
    <n v="1"/>
    <x v="0"/>
    <n v="2"/>
    <x v="7"/>
    <n v="2"/>
    <x v="225"/>
    <x v="1"/>
    <x v="21"/>
    <n v="80"/>
    <x v="0"/>
    <n v="1"/>
    <x v="1"/>
    <n v="0"/>
  </r>
  <r>
    <s v="C0227"/>
    <n v="47"/>
    <x v="0"/>
    <n v="1"/>
    <x v="3"/>
    <n v="3"/>
    <x v="6"/>
    <n v="4"/>
    <x v="226"/>
    <x v="53"/>
    <x v="65"/>
    <n v="84"/>
    <x v="1"/>
    <n v="2"/>
    <x v="0"/>
    <n v="1"/>
  </r>
  <r>
    <s v="C0228"/>
    <n v="31"/>
    <x v="0"/>
    <n v="1"/>
    <x v="0"/>
    <n v="2"/>
    <x v="11"/>
    <n v="4"/>
    <x v="227"/>
    <x v="31"/>
    <x v="68"/>
    <n v="50"/>
    <x v="1"/>
    <n v="2"/>
    <x v="1"/>
    <n v="0"/>
  </r>
  <r>
    <s v="C0229"/>
    <n v="31"/>
    <x v="0"/>
    <n v="1"/>
    <x v="2"/>
    <n v="1"/>
    <x v="0"/>
    <n v="5"/>
    <x v="228"/>
    <x v="64"/>
    <x v="25"/>
    <n v="49"/>
    <x v="1"/>
    <n v="2"/>
    <x v="1"/>
    <n v="0"/>
  </r>
  <r>
    <s v="C0230"/>
    <n v="39"/>
    <x v="0"/>
    <n v="1"/>
    <x v="2"/>
    <n v="1"/>
    <x v="12"/>
    <n v="4"/>
    <x v="229"/>
    <x v="22"/>
    <x v="60"/>
    <n v="10"/>
    <x v="2"/>
    <n v="3"/>
    <x v="1"/>
    <n v="0"/>
  </r>
  <r>
    <s v="C0231"/>
    <n v="49"/>
    <x v="0"/>
    <n v="1"/>
    <x v="2"/>
    <n v="1"/>
    <x v="1"/>
    <n v="2"/>
    <x v="230"/>
    <x v="50"/>
    <x v="57"/>
    <n v="55"/>
    <x v="0"/>
    <n v="1"/>
    <x v="0"/>
    <n v="1"/>
  </r>
  <r>
    <s v="C0232"/>
    <n v="49"/>
    <x v="1"/>
    <n v="0"/>
    <x v="0"/>
    <n v="2"/>
    <x v="3"/>
    <n v="2"/>
    <x v="231"/>
    <x v="42"/>
    <x v="56"/>
    <n v="70"/>
    <x v="1"/>
    <n v="2"/>
    <x v="1"/>
    <n v="0"/>
  </r>
  <r>
    <s v="C0233"/>
    <n v="30"/>
    <x v="0"/>
    <n v="1"/>
    <x v="0"/>
    <n v="2"/>
    <x v="15"/>
    <n v="3"/>
    <x v="232"/>
    <x v="46"/>
    <x v="44"/>
    <n v="41"/>
    <x v="1"/>
    <n v="2"/>
    <x v="1"/>
    <n v="0"/>
  </r>
  <r>
    <s v="C0234"/>
    <n v="45"/>
    <x v="0"/>
    <n v="1"/>
    <x v="0"/>
    <n v="2"/>
    <x v="12"/>
    <n v="3"/>
    <x v="233"/>
    <x v="66"/>
    <x v="43"/>
    <n v="38"/>
    <x v="1"/>
    <n v="2"/>
    <x v="1"/>
    <n v="0"/>
  </r>
  <r>
    <s v="C0235"/>
    <n v="42"/>
    <x v="0"/>
    <n v="1"/>
    <x v="0"/>
    <n v="2"/>
    <x v="4"/>
    <n v="3"/>
    <x v="234"/>
    <x v="4"/>
    <x v="75"/>
    <n v="68"/>
    <x v="2"/>
    <n v="3"/>
    <x v="1"/>
    <n v="0"/>
  </r>
  <r>
    <s v="C0236"/>
    <n v="47"/>
    <x v="1"/>
    <n v="0"/>
    <x v="0"/>
    <n v="2"/>
    <x v="0"/>
    <n v="4"/>
    <x v="235"/>
    <x v="14"/>
    <x v="86"/>
    <n v="47"/>
    <x v="0"/>
    <n v="1"/>
    <x v="1"/>
    <n v="0"/>
  </r>
  <r>
    <s v="C0237"/>
    <n v="44"/>
    <x v="0"/>
    <n v="1"/>
    <x v="2"/>
    <n v="1"/>
    <x v="14"/>
    <n v="4"/>
    <x v="236"/>
    <x v="31"/>
    <x v="51"/>
    <n v="56"/>
    <x v="1"/>
    <n v="2"/>
    <x v="1"/>
    <n v="0"/>
  </r>
  <r>
    <s v="C0238"/>
    <n v="26"/>
    <x v="1"/>
    <n v="0"/>
    <x v="2"/>
    <n v="1"/>
    <x v="14"/>
    <n v="5"/>
    <x v="237"/>
    <x v="5"/>
    <x v="42"/>
    <n v="20"/>
    <x v="0"/>
    <n v="1"/>
    <x v="1"/>
    <n v="0"/>
  </r>
  <r>
    <s v="C0239"/>
    <n v="49"/>
    <x v="0"/>
    <n v="1"/>
    <x v="3"/>
    <n v="3"/>
    <x v="0"/>
    <n v="3"/>
    <x v="238"/>
    <x v="51"/>
    <x v="45"/>
    <n v="81"/>
    <x v="1"/>
    <n v="2"/>
    <x v="1"/>
    <n v="0"/>
  </r>
  <r>
    <s v="C0240"/>
    <n v="20"/>
    <x v="1"/>
    <n v="0"/>
    <x v="0"/>
    <n v="2"/>
    <x v="3"/>
    <n v="1"/>
    <x v="239"/>
    <x v="87"/>
    <x v="71"/>
    <n v="98"/>
    <x v="1"/>
    <n v="2"/>
    <x v="1"/>
    <n v="0"/>
  </r>
  <r>
    <s v="C0241"/>
    <n v="20"/>
    <x v="1"/>
    <n v="0"/>
    <x v="0"/>
    <n v="2"/>
    <x v="13"/>
    <n v="5"/>
    <x v="240"/>
    <x v="33"/>
    <x v="67"/>
    <n v="19"/>
    <x v="2"/>
    <n v="3"/>
    <x v="1"/>
    <n v="0"/>
  </r>
  <r>
    <s v="C0242"/>
    <n v="44"/>
    <x v="0"/>
    <n v="1"/>
    <x v="3"/>
    <n v="3"/>
    <x v="12"/>
    <n v="1"/>
    <x v="241"/>
    <x v="34"/>
    <x v="47"/>
    <n v="14"/>
    <x v="2"/>
    <n v="3"/>
    <x v="1"/>
    <n v="0"/>
  </r>
  <r>
    <s v="C0243"/>
    <n v="46"/>
    <x v="0"/>
    <n v="1"/>
    <x v="0"/>
    <n v="2"/>
    <x v="10"/>
    <n v="4"/>
    <x v="242"/>
    <x v="68"/>
    <x v="87"/>
    <n v="68"/>
    <x v="1"/>
    <n v="2"/>
    <x v="1"/>
    <n v="0"/>
  </r>
  <r>
    <s v="C0244"/>
    <n v="49"/>
    <x v="1"/>
    <n v="0"/>
    <x v="3"/>
    <n v="3"/>
    <x v="9"/>
    <n v="5"/>
    <x v="243"/>
    <x v="77"/>
    <x v="11"/>
    <n v="76"/>
    <x v="0"/>
    <n v="1"/>
    <x v="0"/>
    <n v="1"/>
  </r>
  <r>
    <s v="C0245"/>
    <n v="44"/>
    <x v="0"/>
    <n v="1"/>
    <x v="0"/>
    <n v="2"/>
    <x v="15"/>
    <n v="5"/>
    <x v="244"/>
    <x v="31"/>
    <x v="30"/>
    <n v="50"/>
    <x v="1"/>
    <n v="2"/>
    <x v="1"/>
    <n v="0"/>
  </r>
  <r>
    <s v="C0246"/>
    <n v="39"/>
    <x v="1"/>
    <n v="0"/>
    <x v="1"/>
    <n v="4"/>
    <x v="13"/>
    <n v="2"/>
    <x v="245"/>
    <x v="43"/>
    <x v="25"/>
    <n v="75"/>
    <x v="1"/>
    <n v="2"/>
    <x v="1"/>
    <n v="0"/>
  </r>
  <r>
    <s v="C0247"/>
    <n v="32"/>
    <x v="1"/>
    <n v="0"/>
    <x v="2"/>
    <n v="1"/>
    <x v="10"/>
    <n v="4"/>
    <x v="246"/>
    <x v="54"/>
    <x v="63"/>
    <n v="61"/>
    <x v="0"/>
    <n v="1"/>
    <x v="1"/>
    <n v="0"/>
  </r>
  <r>
    <s v="C0248"/>
    <n v="28"/>
    <x v="1"/>
    <n v="0"/>
    <x v="2"/>
    <n v="1"/>
    <x v="1"/>
    <n v="4"/>
    <x v="247"/>
    <x v="66"/>
    <x v="61"/>
    <n v="84"/>
    <x v="1"/>
    <n v="2"/>
    <x v="1"/>
    <n v="0"/>
  </r>
  <r>
    <s v="C0249"/>
    <n v="22"/>
    <x v="1"/>
    <n v="0"/>
    <x v="0"/>
    <n v="2"/>
    <x v="11"/>
    <n v="5"/>
    <x v="248"/>
    <x v="17"/>
    <x v="16"/>
    <n v="36"/>
    <x v="2"/>
    <n v="3"/>
    <x v="1"/>
    <n v="0"/>
  </r>
  <r>
    <s v="C0250"/>
    <n v="26"/>
    <x v="1"/>
    <n v="0"/>
    <x v="1"/>
    <n v="4"/>
    <x v="15"/>
    <n v="4"/>
    <x v="249"/>
    <x v="30"/>
    <x v="16"/>
    <n v="5"/>
    <x v="1"/>
    <n v="2"/>
    <x v="0"/>
    <n v="1"/>
  </r>
  <r>
    <s v="C0251"/>
    <n v="25"/>
    <x v="0"/>
    <n v="1"/>
    <x v="3"/>
    <n v="3"/>
    <x v="15"/>
    <n v="5"/>
    <x v="250"/>
    <x v="34"/>
    <x v="80"/>
    <n v="70"/>
    <x v="1"/>
    <n v="2"/>
    <x v="0"/>
    <n v="1"/>
  </r>
  <r>
    <s v="C0252"/>
    <n v="27"/>
    <x v="1"/>
    <n v="0"/>
    <x v="2"/>
    <n v="1"/>
    <x v="14"/>
    <n v="2"/>
    <x v="251"/>
    <x v="20"/>
    <x v="2"/>
    <n v="25"/>
    <x v="2"/>
    <n v="3"/>
    <x v="1"/>
    <n v="0"/>
  </r>
  <r>
    <s v="C0253"/>
    <n v="46"/>
    <x v="1"/>
    <n v="0"/>
    <x v="0"/>
    <n v="2"/>
    <x v="3"/>
    <n v="5"/>
    <x v="252"/>
    <x v="51"/>
    <x v="31"/>
    <n v="7"/>
    <x v="0"/>
    <n v="1"/>
    <x v="1"/>
    <n v="0"/>
  </r>
  <r>
    <s v="C0254"/>
    <n v="28"/>
    <x v="0"/>
    <n v="1"/>
    <x v="1"/>
    <n v="4"/>
    <x v="11"/>
    <n v="4"/>
    <x v="253"/>
    <x v="88"/>
    <x v="74"/>
    <n v="72"/>
    <x v="0"/>
    <n v="1"/>
    <x v="0"/>
    <n v="1"/>
  </r>
  <r>
    <s v="C0255"/>
    <n v="49"/>
    <x v="1"/>
    <n v="0"/>
    <x v="0"/>
    <n v="2"/>
    <x v="9"/>
    <n v="4"/>
    <x v="254"/>
    <x v="90"/>
    <x v="38"/>
    <n v="90"/>
    <x v="1"/>
    <n v="2"/>
    <x v="1"/>
    <n v="0"/>
  </r>
  <r>
    <s v="C0256"/>
    <n v="24"/>
    <x v="0"/>
    <n v="1"/>
    <x v="3"/>
    <n v="3"/>
    <x v="2"/>
    <n v="5"/>
    <x v="255"/>
    <x v="21"/>
    <x v="61"/>
    <n v="3"/>
    <x v="1"/>
    <n v="2"/>
    <x v="1"/>
    <n v="0"/>
  </r>
  <r>
    <s v="C0257"/>
    <n v="20"/>
    <x v="0"/>
    <n v="1"/>
    <x v="3"/>
    <n v="3"/>
    <x v="10"/>
    <n v="5"/>
    <x v="256"/>
    <x v="84"/>
    <x v="19"/>
    <n v="20"/>
    <x v="1"/>
    <n v="2"/>
    <x v="1"/>
    <n v="0"/>
  </r>
  <r>
    <s v="C0258"/>
    <n v="38"/>
    <x v="0"/>
    <n v="1"/>
    <x v="0"/>
    <n v="2"/>
    <x v="14"/>
    <n v="5"/>
    <x v="257"/>
    <x v="11"/>
    <x v="62"/>
    <n v="30"/>
    <x v="0"/>
    <n v="1"/>
    <x v="0"/>
    <n v="1"/>
  </r>
  <r>
    <s v="C0259"/>
    <n v="29"/>
    <x v="1"/>
    <n v="0"/>
    <x v="0"/>
    <n v="2"/>
    <x v="15"/>
    <n v="3"/>
    <x v="258"/>
    <x v="34"/>
    <x v="54"/>
    <n v="20"/>
    <x v="0"/>
    <n v="1"/>
    <x v="0"/>
    <n v="1"/>
  </r>
  <r>
    <s v="C0260"/>
    <n v="31"/>
    <x v="1"/>
    <n v="0"/>
    <x v="0"/>
    <n v="2"/>
    <x v="13"/>
    <n v="4"/>
    <x v="259"/>
    <x v="50"/>
    <x v="47"/>
    <n v="24"/>
    <x v="0"/>
    <n v="1"/>
    <x v="1"/>
    <n v="0"/>
  </r>
  <r>
    <s v="C0261"/>
    <n v="43"/>
    <x v="1"/>
    <n v="0"/>
    <x v="0"/>
    <n v="2"/>
    <x v="5"/>
    <n v="4"/>
    <x v="260"/>
    <x v="55"/>
    <x v="36"/>
    <n v="14"/>
    <x v="2"/>
    <n v="3"/>
    <x v="1"/>
    <n v="0"/>
  </r>
  <r>
    <s v="C0262"/>
    <n v="34"/>
    <x v="0"/>
    <n v="1"/>
    <x v="3"/>
    <n v="3"/>
    <x v="14"/>
    <n v="3"/>
    <x v="261"/>
    <x v="27"/>
    <x v="32"/>
    <n v="34"/>
    <x v="1"/>
    <n v="2"/>
    <x v="1"/>
    <n v="0"/>
  </r>
  <r>
    <s v="C0263"/>
    <n v="46"/>
    <x v="1"/>
    <n v="0"/>
    <x v="0"/>
    <n v="2"/>
    <x v="10"/>
    <n v="5"/>
    <x v="262"/>
    <x v="33"/>
    <x v="83"/>
    <n v="48"/>
    <x v="1"/>
    <n v="2"/>
    <x v="1"/>
    <n v="0"/>
  </r>
  <r>
    <s v="C0264"/>
    <n v="41"/>
    <x v="0"/>
    <n v="1"/>
    <x v="3"/>
    <n v="3"/>
    <x v="10"/>
    <n v="2"/>
    <x v="263"/>
    <x v="52"/>
    <x v="83"/>
    <n v="42"/>
    <x v="0"/>
    <n v="1"/>
    <x v="0"/>
    <n v="1"/>
  </r>
  <r>
    <s v="C0265"/>
    <n v="43"/>
    <x v="1"/>
    <n v="0"/>
    <x v="2"/>
    <n v="1"/>
    <x v="5"/>
    <n v="5"/>
    <x v="264"/>
    <x v="82"/>
    <x v="82"/>
    <n v="40"/>
    <x v="0"/>
    <n v="1"/>
    <x v="0"/>
    <n v="1"/>
  </r>
  <r>
    <s v="C0266"/>
    <n v="28"/>
    <x v="0"/>
    <n v="1"/>
    <x v="1"/>
    <n v="4"/>
    <x v="3"/>
    <n v="5"/>
    <x v="265"/>
    <x v="77"/>
    <x v="92"/>
    <n v="36"/>
    <x v="1"/>
    <n v="2"/>
    <x v="1"/>
    <n v="0"/>
  </r>
  <r>
    <s v="C0267"/>
    <n v="39"/>
    <x v="1"/>
    <n v="0"/>
    <x v="0"/>
    <n v="2"/>
    <x v="8"/>
    <n v="3"/>
    <x v="266"/>
    <x v="45"/>
    <x v="7"/>
    <n v="56"/>
    <x v="0"/>
    <n v="1"/>
    <x v="1"/>
    <n v="0"/>
  </r>
  <r>
    <s v="C0268"/>
    <n v="36"/>
    <x v="1"/>
    <n v="0"/>
    <x v="2"/>
    <n v="1"/>
    <x v="15"/>
    <n v="4"/>
    <x v="267"/>
    <x v="11"/>
    <x v="52"/>
    <n v="41"/>
    <x v="1"/>
    <n v="2"/>
    <x v="1"/>
    <n v="0"/>
  </r>
  <r>
    <s v="C0269"/>
    <n v="49"/>
    <x v="1"/>
    <n v="0"/>
    <x v="2"/>
    <n v="1"/>
    <x v="11"/>
    <n v="5"/>
    <x v="268"/>
    <x v="88"/>
    <x v="78"/>
    <n v="46"/>
    <x v="1"/>
    <n v="2"/>
    <x v="1"/>
    <n v="0"/>
  </r>
  <r>
    <s v="C0270"/>
    <n v="36"/>
    <x v="0"/>
    <n v="1"/>
    <x v="3"/>
    <n v="3"/>
    <x v="12"/>
    <n v="4"/>
    <x v="269"/>
    <x v="10"/>
    <x v="90"/>
    <n v="91"/>
    <x v="1"/>
    <n v="2"/>
    <x v="0"/>
    <n v="1"/>
  </r>
  <r>
    <s v="C0271"/>
    <n v="45"/>
    <x v="0"/>
    <n v="1"/>
    <x v="0"/>
    <n v="2"/>
    <x v="1"/>
    <n v="1"/>
    <x v="270"/>
    <x v="89"/>
    <x v="61"/>
    <n v="60"/>
    <x v="1"/>
    <n v="2"/>
    <x v="1"/>
    <n v="0"/>
  </r>
  <r>
    <s v="C0272"/>
    <n v="39"/>
    <x v="1"/>
    <n v="0"/>
    <x v="3"/>
    <n v="3"/>
    <x v="2"/>
    <n v="4"/>
    <x v="271"/>
    <x v="61"/>
    <x v="13"/>
    <n v="13"/>
    <x v="1"/>
    <n v="2"/>
    <x v="1"/>
    <n v="0"/>
  </r>
  <r>
    <s v="C0273"/>
    <n v="31"/>
    <x v="1"/>
    <n v="0"/>
    <x v="2"/>
    <n v="1"/>
    <x v="3"/>
    <n v="2"/>
    <x v="272"/>
    <x v="13"/>
    <x v="25"/>
    <n v="67"/>
    <x v="0"/>
    <n v="1"/>
    <x v="1"/>
    <n v="0"/>
  </r>
  <r>
    <s v="C0274"/>
    <n v="49"/>
    <x v="0"/>
    <n v="1"/>
    <x v="2"/>
    <n v="1"/>
    <x v="8"/>
    <n v="2"/>
    <x v="273"/>
    <x v="48"/>
    <x v="14"/>
    <n v="52"/>
    <x v="1"/>
    <n v="2"/>
    <x v="1"/>
    <n v="0"/>
  </r>
  <r>
    <s v="C0275"/>
    <n v="26"/>
    <x v="0"/>
    <n v="1"/>
    <x v="0"/>
    <n v="2"/>
    <x v="4"/>
    <n v="5"/>
    <x v="274"/>
    <x v="29"/>
    <x v="93"/>
    <n v="83"/>
    <x v="1"/>
    <n v="2"/>
    <x v="1"/>
    <n v="0"/>
  </r>
  <r>
    <s v="C0276"/>
    <n v="21"/>
    <x v="0"/>
    <n v="1"/>
    <x v="0"/>
    <n v="2"/>
    <x v="1"/>
    <n v="4"/>
    <x v="275"/>
    <x v="91"/>
    <x v="94"/>
    <n v="33"/>
    <x v="0"/>
    <n v="1"/>
    <x v="1"/>
    <n v="0"/>
  </r>
  <r>
    <s v="C0277"/>
    <n v="22"/>
    <x v="1"/>
    <n v="0"/>
    <x v="0"/>
    <n v="2"/>
    <x v="15"/>
    <n v="5"/>
    <x v="276"/>
    <x v="24"/>
    <x v="40"/>
    <n v="75"/>
    <x v="2"/>
    <n v="3"/>
    <x v="1"/>
    <n v="0"/>
  </r>
  <r>
    <s v="C0278"/>
    <n v="36"/>
    <x v="0"/>
    <n v="1"/>
    <x v="1"/>
    <n v="4"/>
    <x v="3"/>
    <n v="3"/>
    <x v="277"/>
    <x v="33"/>
    <x v="57"/>
    <n v="96"/>
    <x v="0"/>
    <n v="1"/>
    <x v="0"/>
    <n v="1"/>
  </r>
  <r>
    <s v="C0279"/>
    <n v="24"/>
    <x v="1"/>
    <n v="0"/>
    <x v="1"/>
    <n v="4"/>
    <x v="9"/>
    <n v="2"/>
    <x v="278"/>
    <x v="79"/>
    <x v="95"/>
    <n v="23"/>
    <x v="0"/>
    <n v="1"/>
    <x v="0"/>
    <n v="1"/>
  </r>
  <r>
    <s v="C0280"/>
    <n v="36"/>
    <x v="0"/>
    <n v="1"/>
    <x v="1"/>
    <n v="4"/>
    <x v="2"/>
    <n v="5"/>
    <x v="279"/>
    <x v="92"/>
    <x v="19"/>
    <n v="19"/>
    <x v="0"/>
    <n v="1"/>
    <x v="0"/>
    <n v="1"/>
  </r>
  <r>
    <s v="C0281"/>
    <n v="43"/>
    <x v="1"/>
    <n v="0"/>
    <x v="3"/>
    <n v="3"/>
    <x v="14"/>
    <n v="3"/>
    <x v="280"/>
    <x v="44"/>
    <x v="61"/>
    <n v="68"/>
    <x v="2"/>
    <n v="3"/>
    <x v="0"/>
    <n v="1"/>
  </r>
  <r>
    <s v="C0282"/>
    <n v="36"/>
    <x v="0"/>
    <n v="1"/>
    <x v="0"/>
    <n v="2"/>
    <x v="5"/>
    <n v="5"/>
    <x v="281"/>
    <x v="80"/>
    <x v="13"/>
    <n v="29"/>
    <x v="1"/>
    <n v="2"/>
    <x v="1"/>
    <n v="0"/>
  </r>
  <r>
    <s v="C0283"/>
    <n v="46"/>
    <x v="0"/>
    <n v="1"/>
    <x v="0"/>
    <n v="2"/>
    <x v="0"/>
    <n v="4"/>
    <x v="282"/>
    <x v="2"/>
    <x v="49"/>
    <n v="87"/>
    <x v="1"/>
    <n v="2"/>
    <x v="1"/>
    <n v="0"/>
  </r>
  <r>
    <s v="C0284"/>
    <n v="36"/>
    <x v="0"/>
    <n v="1"/>
    <x v="0"/>
    <n v="2"/>
    <x v="4"/>
    <n v="4"/>
    <x v="283"/>
    <x v="27"/>
    <x v="79"/>
    <n v="6"/>
    <x v="0"/>
    <n v="1"/>
    <x v="0"/>
    <n v="1"/>
  </r>
  <r>
    <s v="C0285"/>
    <n v="21"/>
    <x v="0"/>
    <n v="1"/>
    <x v="3"/>
    <n v="3"/>
    <x v="7"/>
    <n v="4"/>
    <x v="284"/>
    <x v="18"/>
    <x v="46"/>
    <n v="35"/>
    <x v="1"/>
    <n v="2"/>
    <x v="1"/>
    <n v="0"/>
  </r>
  <r>
    <s v="C0286"/>
    <n v="21"/>
    <x v="0"/>
    <n v="1"/>
    <x v="2"/>
    <n v="1"/>
    <x v="6"/>
    <n v="4"/>
    <x v="285"/>
    <x v="15"/>
    <x v="22"/>
    <n v="37"/>
    <x v="1"/>
    <n v="2"/>
    <x v="1"/>
    <n v="0"/>
  </r>
  <r>
    <s v="C0287"/>
    <n v="47"/>
    <x v="1"/>
    <n v="0"/>
    <x v="0"/>
    <n v="2"/>
    <x v="3"/>
    <n v="1"/>
    <x v="286"/>
    <x v="71"/>
    <x v="76"/>
    <n v="79"/>
    <x v="2"/>
    <n v="3"/>
    <x v="1"/>
    <n v="0"/>
  </r>
  <r>
    <s v="C0288"/>
    <n v="41"/>
    <x v="0"/>
    <n v="1"/>
    <x v="2"/>
    <n v="1"/>
    <x v="10"/>
    <n v="3"/>
    <x v="287"/>
    <x v="92"/>
    <x v="27"/>
    <n v="51"/>
    <x v="0"/>
    <n v="1"/>
    <x v="1"/>
    <n v="0"/>
  </r>
  <r>
    <s v="C0289"/>
    <n v="42"/>
    <x v="0"/>
    <n v="1"/>
    <x v="0"/>
    <n v="2"/>
    <x v="12"/>
    <n v="3"/>
    <x v="288"/>
    <x v="55"/>
    <x v="90"/>
    <n v="14"/>
    <x v="0"/>
    <n v="1"/>
    <x v="0"/>
    <n v="1"/>
  </r>
  <r>
    <s v="C0290"/>
    <n v="24"/>
    <x v="0"/>
    <n v="1"/>
    <x v="3"/>
    <n v="3"/>
    <x v="0"/>
    <n v="4"/>
    <x v="289"/>
    <x v="91"/>
    <x v="20"/>
    <n v="45"/>
    <x v="0"/>
    <n v="1"/>
    <x v="1"/>
    <n v="0"/>
  </r>
  <r>
    <s v="C0291"/>
    <n v="20"/>
    <x v="1"/>
    <n v="0"/>
    <x v="3"/>
    <n v="3"/>
    <x v="3"/>
    <n v="1"/>
    <x v="290"/>
    <x v="47"/>
    <x v="88"/>
    <n v="22"/>
    <x v="2"/>
    <n v="3"/>
    <x v="1"/>
    <n v="0"/>
  </r>
  <r>
    <s v="C0292"/>
    <n v="20"/>
    <x v="0"/>
    <n v="1"/>
    <x v="0"/>
    <n v="2"/>
    <x v="3"/>
    <n v="4"/>
    <x v="291"/>
    <x v="12"/>
    <x v="1"/>
    <n v="11"/>
    <x v="1"/>
    <n v="2"/>
    <x v="1"/>
    <n v="0"/>
  </r>
  <r>
    <s v="C0293"/>
    <n v="38"/>
    <x v="1"/>
    <n v="0"/>
    <x v="1"/>
    <n v="4"/>
    <x v="13"/>
    <n v="1"/>
    <x v="292"/>
    <x v="4"/>
    <x v="57"/>
    <n v="92"/>
    <x v="1"/>
    <n v="2"/>
    <x v="1"/>
    <n v="0"/>
  </r>
  <r>
    <s v="C0294"/>
    <n v="49"/>
    <x v="0"/>
    <n v="1"/>
    <x v="0"/>
    <n v="2"/>
    <x v="8"/>
    <n v="4"/>
    <x v="293"/>
    <x v="65"/>
    <x v="96"/>
    <n v="43"/>
    <x v="1"/>
    <n v="2"/>
    <x v="1"/>
    <n v="0"/>
  </r>
  <r>
    <s v="C0295"/>
    <n v="21"/>
    <x v="0"/>
    <n v="1"/>
    <x v="2"/>
    <n v="1"/>
    <x v="1"/>
    <n v="2"/>
    <x v="294"/>
    <x v="1"/>
    <x v="22"/>
    <n v="14"/>
    <x v="2"/>
    <n v="3"/>
    <x v="1"/>
    <n v="0"/>
  </r>
  <r>
    <s v="C0296"/>
    <n v="40"/>
    <x v="1"/>
    <n v="0"/>
    <x v="0"/>
    <n v="2"/>
    <x v="13"/>
    <n v="2"/>
    <x v="295"/>
    <x v="93"/>
    <x v="79"/>
    <n v="92"/>
    <x v="2"/>
    <n v="3"/>
    <x v="1"/>
    <n v="0"/>
  </r>
  <r>
    <s v="C0297"/>
    <n v="31"/>
    <x v="0"/>
    <n v="1"/>
    <x v="0"/>
    <n v="2"/>
    <x v="0"/>
    <n v="5"/>
    <x v="296"/>
    <x v="30"/>
    <x v="97"/>
    <n v="48"/>
    <x v="1"/>
    <n v="2"/>
    <x v="1"/>
    <n v="0"/>
  </r>
  <r>
    <s v="C0298"/>
    <n v="45"/>
    <x v="1"/>
    <n v="0"/>
    <x v="2"/>
    <n v="1"/>
    <x v="11"/>
    <n v="4"/>
    <x v="297"/>
    <x v="4"/>
    <x v="18"/>
    <n v="20"/>
    <x v="0"/>
    <n v="1"/>
    <x v="0"/>
    <n v="1"/>
  </r>
  <r>
    <s v="C0299"/>
    <n v="25"/>
    <x v="1"/>
    <n v="0"/>
    <x v="1"/>
    <n v="4"/>
    <x v="14"/>
    <n v="3"/>
    <x v="298"/>
    <x v="87"/>
    <x v="25"/>
    <n v="14"/>
    <x v="0"/>
    <n v="1"/>
    <x v="0"/>
    <n v="1"/>
  </r>
  <r>
    <s v="C0300"/>
    <n v="42"/>
    <x v="0"/>
    <n v="1"/>
    <x v="0"/>
    <n v="2"/>
    <x v="13"/>
    <n v="5"/>
    <x v="299"/>
    <x v="94"/>
    <x v="13"/>
    <n v="13"/>
    <x v="2"/>
    <n v="3"/>
    <x v="1"/>
    <n v="0"/>
  </r>
  <r>
    <s v="C0301"/>
    <n v="23"/>
    <x v="1"/>
    <n v="0"/>
    <x v="3"/>
    <n v="3"/>
    <x v="10"/>
    <n v="2"/>
    <x v="300"/>
    <x v="5"/>
    <x v="51"/>
    <n v="41"/>
    <x v="1"/>
    <n v="2"/>
    <x v="1"/>
    <n v="0"/>
  </r>
  <r>
    <s v="C0302"/>
    <n v="42"/>
    <x v="0"/>
    <n v="1"/>
    <x v="0"/>
    <n v="2"/>
    <x v="4"/>
    <n v="4"/>
    <x v="301"/>
    <x v="38"/>
    <x v="53"/>
    <n v="79"/>
    <x v="0"/>
    <n v="1"/>
    <x v="0"/>
    <n v="1"/>
  </r>
  <r>
    <s v="C0303"/>
    <n v="30"/>
    <x v="0"/>
    <n v="1"/>
    <x v="2"/>
    <n v="1"/>
    <x v="7"/>
    <n v="5"/>
    <x v="302"/>
    <x v="28"/>
    <x v="61"/>
    <n v="14"/>
    <x v="1"/>
    <n v="2"/>
    <x v="1"/>
    <n v="0"/>
  </r>
  <r>
    <s v="C0304"/>
    <n v="43"/>
    <x v="1"/>
    <n v="0"/>
    <x v="0"/>
    <n v="2"/>
    <x v="1"/>
    <n v="4"/>
    <x v="303"/>
    <x v="4"/>
    <x v="42"/>
    <n v="62"/>
    <x v="2"/>
    <n v="3"/>
    <x v="1"/>
    <n v="0"/>
  </r>
  <r>
    <s v="C0305"/>
    <n v="46"/>
    <x v="1"/>
    <n v="0"/>
    <x v="2"/>
    <n v="1"/>
    <x v="5"/>
    <n v="2"/>
    <x v="304"/>
    <x v="38"/>
    <x v="40"/>
    <n v="67"/>
    <x v="1"/>
    <n v="2"/>
    <x v="1"/>
    <n v="0"/>
  </r>
  <r>
    <s v="C0306"/>
    <n v="36"/>
    <x v="1"/>
    <n v="0"/>
    <x v="0"/>
    <n v="2"/>
    <x v="2"/>
    <n v="5"/>
    <x v="305"/>
    <x v="4"/>
    <x v="73"/>
    <n v="26"/>
    <x v="1"/>
    <n v="2"/>
    <x v="1"/>
    <n v="0"/>
  </r>
  <r>
    <s v="C0307"/>
    <n v="50"/>
    <x v="1"/>
    <n v="0"/>
    <x v="1"/>
    <n v="4"/>
    <x v="7"/>
    <n v="2"/>
    <x v="306"/>
    <x v="95"/>
    <x v="50"/>
    <n v="86"/>
    <x v="2"/>
    <n v="3"/>
    <x v="1"/>
    <n v="0"/>
  </r>
  <r>
    <s v="C0308"/>
    <n v="25"/>
    <x v="0"/>
    <n v="1"/>
    <x v="0"/>
    <n v="2"/>
    <x v="7"/>
    <n v="1"/>
    <x v="307"/>
    <x v="45"/>
    <x v="4"/>
    <n v="92"/>
    <x v="1"/>
    <n v="2"/>
    <x v="1"/>
    <n v="0"/>
  </r>
  <r>
    <s v="C0309"/>
    <n v="43"/>
    <x v="0"/>
    <n v="1"/>
    <x v="0"/>
    <n v="2"/>
    <x v="2"/>
    <n v="2"/>
    <x v="308"/>
    <x v="36"/>
    <x v="70"/>
    <n v="52"/>
    <x v="0"/>
    <n v="1"/>
    <x v="1"/>
    <n v="0"/>
  </r>
  <r>
    <s v="C0310"/>
    <n v="24"/>
    <x v="1"/>
    <n v="0"/>
    <x v="2"/>
    <n v="1"/>
    <x v="13"/>
    <n v="4"/>
    <x v="309"/>
    <x v="28"/>
    <x v="24"/>
    <n v="51"/>
    <x v="2"/>
    <n v="3"/>
    <x v="1"/>
    <n v="0"/>
  </r>
  <r>
    <s v="C0311"/>
    <n v="39"/>
    <x v="0"/>
    <n v="1"/>
    <x v="2"/>
    <n v="1"/>
    <x v="0"/>
    <n v="3"/>
    <x v="310"/>
    <x v="88"/>
    <x v="86"/>
    <n v="62"/>
    <x v="2"/>
    <n v="3"/>
    <x v="1"/>
    <n v="0"/>
  </r>
  <r>
    <s v="C0312"/>
    <n v="21"/>
    <x v="0"/>
    <n v="1"/>
    <x v="2"/>
    <n v="1"/>
    <x v="2"/>
    <n v="2"/>
    <x v="311"/>
    <x v="48"/>
    <x v="42"/>
    <n v="72"/>
    <x v="2"/>
    <n v="3"/>
    <x v="1"/>
    <n v="0"/>
  </r>
  <r>
    <s v="C0313"/>
    <n v="25"/>
    <x v="0"/>
    <n v="1"/>
    <x v="0"/>
    <n v="2"/>
    <x v="14"/>
    <n v="3"/>
    <x v="312"/>
    <x v="30"/>
    <x v="32"/>
    <n v="52"/>
    <x v="1"/>
    <n v="2"/>
    <x v="1"/>
    <n v="0"/>
  </r>
  <r>
    <s v="C0314"/>
    <n v="41"/>
    <x v="0"/>
    <n v="1"/>
    <x v="2"/>
    <n v="1"/>
    <x v="14"/>
    <n v="1"/>
    <x v="313"/>
    <x v="86"/>
    <x v="53"/>
    <n v="56"/>
    <x v="0"/>
    <n v="1"/>
    <x v="1"/>
    <n v="0"/>
  </r>
  <r>
    <s v="C0315"/>
    <n v="30"/>
    <x v="1"/>
    <n v="0"/>
    <x v="0"/>
    <n v="2"/>
    <x v="15"/>
    <n v="5"/>
    <x v="314"/>
    <x v="16"/>
    <x v="62"/>
    <n v="51"/>
    <x v="2"/>
    <n v="3"/>
    <x v="1"/>
    <n v="0"/>
  </r>
  <r>
    <s v="C0316"/>
    <n v="50"/>
    <x v="1"/>
    <n v="0"/>
    <x v="0"/>
    <n v="2"/>
    <x v="9"/>
    <n v="5"/>
    <x v="315"/>
    <x v="77"/>
    <x v="23"/>
    <n v="42"/>
    <x v="0"/>
    <n v="1"/>
    <x v="1"/>
    <n v="0"/>
  </r>
  <r>
    <s v="C0317"/>
    <n v="35"/>
    <x v="0"/>
    <n v="1"/>
    <x v="0"/>
    <n v="2"/>
    <x v="11"/>
    <n v="3"/>
    <x v="316"/>
    <x v="35"/>
    <x v="53"/>
    <n v="6"/>
    <x v="2"/>
    <n v="3"/>
    <x v="1"/>
    <n v="0"/>
  </r>
  <r>
    <s v="C0318"/>
    <n v="35"/>
    <x v="1"/>
    <n v="0"/>
    <x v="2"/>
    <n v="1"/>
    <x v="4"/>
    <n v="5"/>
    <x v="317"/>
    <x v="3"/>
    <x v="93"/>
    <n v="41"/>
    <x v="2"/>
    <n v="3"/>
    <x v="1"/>
    <n v="0"/>
  </r>
  <r>
    <s v="C0319"/>
    <n v="20"/>
    <x v="1"/>
    <n v="0"/>
    <x v="0"/>
    <n v="2"/>
    <x v="12"/>
    <n v="2"/>
    <x v="318"/>
    <x v="8"/>
    <x v="7"/>
    <n v="3"/>
    <x v="1"/>
    <n v="2"/>
    <x v="1"/>
    <n v="0"/>
  </r>
  <r>
    <s v="C0320"/>
    <n v="28"/>
    <x v="1"/>
    <n v="0"/>
    <x v="1"/>
    <n v="4"/>
    <x v="13"/>
    <n v="3"/>
    <x v="319"/>
    <x v="46"/>
    <x v="37"/>
    <n v="68"/>
    <x v="2"/>
    <n v="3"/>
    <x v="1"/>
    <n v="0"/>
  </r>
  <r>
    <s v="C0321"/>
    <n v="47"/>
    <x v="0"/>
    <n v="1"/>
    <x v="0"/>
    <n v="2"/>
    <x v="1"/>
    <n v="4"/>
    <x v="320"/>
    <x v="95"/>
    <x v="16"/>
    <n v="4"/>
    <x v="1"/>
    <n v="2"/>
    <x v="1"/>
    <n v="0"/>
  </r>
  <r>
    <s v="C0322"/>
    <n v="46"/>
    <x v="0"/>
    <n v="1"/>
    <x v="0"/>
    <n v="2"/>
    <x v="5"/>
    <n v="2"/>
    <x v="321"/>
    <x v="26"/>
    <x v="31"/>
    <n v="74"/>
    <x v="0"/>
    <n v="1"/>
    <x v="0"/>
    <n v="1"/>
  </r>
  <r>
    <s v="C0323"/>
    <n v="25"/>
    <x v="0"/>
    <n v="1"/>
    <x v="2"/>
    <n v="1"/>
    <x v="11"/>
    <n v="2"/>
    <x v="322"/>
    <x v="89"/>
    <x v="24"/>
    <n v="91"/>
    <x v="1"/>
    <n v="2"/>
    <x v="1"/>
    <n v="0"/>
  </r>
  <r>
    <s v="C0324"/>
    <n v="35"/>
    <x v="1"/>
    <n v="0"/>
    <x v="1"/>
    <n v="4"/>
    <x v="2"/>
    <n v="2"/>
    <x v="323"/>
    <x v="76"/>
    <x v="66"/>
    <n v="79"/>
    <x v="0"/>
    <n v="1"/>
    <x v="0"/>
    <n v="1"/>
  </r>
  <r>
    <s v="C0325"/>
    <n v="48"/>
    <x v="0"/>
    <n v="1"/>
    <x v="0"/>
    <n v="2"/>
    <x v="9"/>
    <n v="4"/>
    <x v="324"/>
    <x v="35"/>
    <x v="75"/>
    <n v="40"/>
    <x v="1"/>
    <n v="2"/>
    <x v="1"/>
    <n v="0"/>
  </r>
  <r>
    <s v="C0326"/>
    <n v="22"/>
    <x v="0"/>
    <n v="1"/>
    <x v="0"/>
    <n v="2"/>
    <x v="12"/>
    <n v="1"/>
    <x v="325"/>
    <x v="77"/>
    <x v="11"/>
    <n v="93"/>
    <x v="0"/>
    <n v="1"/>
    <x v="0"/>
    <n v="1"/>
  </r>
  <r>
    <s v="C0327"/>
    <n v="39"/>
    <x v="1"/>
    <n v="0"/>
    <x v="3"/>
    <n v="3"/>
    <x v="1"/>
    <n v="5"/>
    <x v="326"/>
    <x v="68"/>
    <x v="95"/>
    <n v="3"/>
    <x v="1"/>
    <n v="2"/>
    <x v="1"/>
    <n v="0"/>
  </r>
  <r>
    <s v="C0328"/>
    <n v="47"/>
    <x v="0"/>
    <n v="1"/>
    <x v="0"/>
    <n v="2"/>
    <x v="4"/>
    <n v="3"/>
    <x v="327"/>
    <x v="51"/>
    <x v="56"/>
    <n v="1"/>
    <x v="2"/>
    <n v="3"/>
    <x v="1"/>
    <n v="0"/>
  </r>
  <r>
    <s v="C0329"/>
    <n v="46"/>
    <x v="0"/>
    <n v="1"/>
    <x v="0"/>
    <n v="2"/>
    <x v="6"/>
    <n v="1"/>
    <x v="328"/>
    <x v="96"/>
    <x v="40"/>
    <n v="66"/>
    <x v="2"/>
    <n v="3"/>
    <x v="1"/>
    <n v="0"/>
  </r>
  <r>
    <s v="C0330"/>
    <n v="23"/>
    <x v="1"/>
    <n v="0"/>
    <x v="0"/>
    <n v="2"/>
    <x v="8"/>
    <n v="3"/>
    <x v="329"/>
    <x v="65"/>
    <x v="20"/>
    <n v="20"/>
    <x v="1"/>
    <n v="2"/>
    <x v="1"/>
    <n v="0"/>
  </r>
  <r>
    <s v="C0331"/>
    <n v="38"/>
    <x v="1"/>
    <n v="0"/>
    <x v="0"/>
    <n v="2"/>
    <x v="4"/>
    <n v="5"/>
    <x v="330"/>
    <x v="83"/>
    <x v="41"/>
    <n v="69"/>
    <x v="1"/>
    <n v="2"/>
    <x v="0"/>
    <n v="1"/>
  </r>
  <r>
    <s v="C0332"/>
    <n v="45"/>
    <x v="1"/>
    <n v="0"/>
    <x v="1"/>
    <n v="4"/>
    <x v="8"/>
    <n v="4"/>
    <x v="331"/>
    <x v="90"/>
    <x v="25"/>
    <n v="42"/>
    <x v="1"/>
    <n v="2"/>
    <x v="1"/>
    <n v="0"/>
  </r>
  <r>
    <s v="C0333"/>
    <n v="22"/>
    <x v="0"/>
    <n v="1"/>
    <x v="3"/>
    <n v="3"/>
    <x v="13"/>
    <n v="2"/>
    <x v="332"/>
    <x v="89"/>
    <x v="71"/>
    <n v="81"/>
    <x v="2"/>
    <n v="3"/>
    <x v="1"/>
    <n v="0"/>
  </r>
  <r>
    <s v="C0334"/>
    <n v="50"/>
    <x v="0"/>
    <n v="1"/>
    <x v="0"/>
    <n v="2"/>
    <x v="2"/>
    <n v="2"/>
    <x v="333"/>
    <x v="10"/>
    <x v="97"/>
    <n v="68"/>
    <x v="1"/>
    <n v="2"/>
    <x v="1"/>
    <n v="0"/>
  </r>
  <r>
    <s v="C0335"/>
    <n v="38"/>
    <x v="0"/>
    <n v="1"/>
    <x v="2"/>
    <n v="1"/>
    <x v="6"/>
    <n v="4"/>
    <x v="334"/>
    <x v="97"/>
    <x v="11"/>
    <n v="8"/>
    <x v="1"/>
    <n v="2"/>
    <x v="1"/>
    <n v="0"/>
  </r>
  <r>
    <s v="C0336"/>
    <n v="39"/>
    <x v="1"/>
    <n v="0"/>
    <x v="2"/>
    <n v="1"/>
    <x v="11"/>
    <n v="1"/>
    <x v="335"/>
    <x v="97"/>
    <x v="83"/>
    <n v="83"/>
    <x v="2"/>
    <n v="3"/>
    <x v="1"/>
    <n v="0"/>
  </r>
  <r>
    <s v="C0337"/>
    <n v="26"/>
    <x v="1"/>
    <n v="0"/>
    <x v="0"/>
    <n v="2"/>
    <x v="0"/>
    <n v="1"/>
    <x v="336"/>
    <x v="89"/>
    <x v="79"/>
    <n v="27"/>
    <x v="1"/>
    <n v="2"/>
    <x v="1"/>
    <n v="0"/>
  </r>
  <r>
    <s v="C0338"/>
    <n v="39"/>
    <x v="0"/>
    <n v="1"/>
    <x v="3"/>
    <n v="3"/>
    <x v="11"/>
    <n v="3"/>
    <x v="337"/>
    <x v="97"/>
    <x v="97"/>
    <n v="25"/>
    <x v="2"/>
    <n v="3"/>
    <x v="1"/>
    <n v="0"/>
  </r>
  <r>
    <s v="C0339"/>
    <n v="28"/>
    <x v="0"/>
    <n v="1"/>
    <x v="0"/>
    <n v="2"/>
    <x v="11"/>
    <n v="4"/>
    <x v="338"/>
    <x v="45"/>
    <x v="23"/>
    <n v="81"/>
    <x v="2"/>
    <n v="3"/>
    <x v="1"/>
    <n v="0"/>
  </r>
  <r>
    <s v="C0340"/>
    <n v="20"/>
    <x v="1"/>
    <n v="0"/>
    <x v="0"/>
    <n v="2"/>
    <x v="4"/>
    <n v="1"/>
    <x v="339"/>
    <x v="91"/>
    <x v="58"/>
    <n v="82"/>
    <x v="2"/>
    <n v="3"/>
    <x v="1"/>
    <n v="0"/>
  </r>
  <r>
    <s v="C0341"/>
    <n v="27"/>
    <x v="1"/>
    <n v="0"/>
    <x v="3"/>
    <n v="3"/>
    <x v="8"/>
    <n v="4"/>
    <x v="340"/>
    <x v="66"/>
    <x v="31"/>
    <n v="2"/>
    <x v="0"/>
    <n v="1"/>
    <x v="0"/>
    <n v="1"/>
  </r>
  <r>
    <s v="C0342"/>
    <n v="26"/>
    <x v="1"/>
    <n v="0"/>
    <x v="2"/>
    <n v="1"/>
    <x v="0"/>
    <n v="5"/>
    <x v="341"/>
    <x v="33"/>
    <x v="26"/>
    <n v="72"/>
    <x v="1"/>
    <n v="2"/>
    <x v="1"/>
    <n v="0"/>
  </r>
  <r>
    <s v="C0343"/>
    <n v="37"/>
    <x v="1"/>
    <n v="0"/>
    <x v="0"/>
    <n v="2"/>
    <x v="0"/>
    <n v="2"/>
    <x v="342"/>
    <x v="8"/>
    <x v="78"/>
    <n v="99"/>
    <x v="2"/>
    <n v="3"/>
    <x v="1"/>
    <n v="0"/>
  </r>
  <r>
    <s v="C0344"/>
    <n v="27"/>
    <x v="0"/>
    <n v="1"/>
    <x v="2"/>
    <n v="1"/>
    <x v="13"/>
    <n v="2"/>
    <x v="343"/>
    <x v="47"/>
    <x v="7"/>
    <n v="94"/>
    <x v="1"/>
    <n v="2"/>
    <x v="1"/>
    <n v="0"/>
  </r>
  <r>
    <s v="C0345"/>
    <n v="20"/>
    <x v="1"/>
    <n v="0"/>
    <x v="1"/>
    <n v="4"/>
    <x v="1"/>
    <n v="2"/>
    <x v="344"/>
    <x v="11"/>
    <x v="11"/>
    <n v="48"/>
    <x v="1"/>
    <n v="2"/>
    <x v="1"/>
    <n v="0"/>
  </r>
  <r>
    <s v="C0346"/>
    <n v="30"/>
    <x v="0"/>
    <n v="1"/>
    <x v="0"/>
    <n v="2"/>
    <x v="12"/>
    <n v="4"/>
    <x v="345"/>
    <x v="53"/>
    <x v="67"/>
    <n v="16"/>
    <x v="0"/>
    <n v="1"/>
    <x v="0"/>
    <n v="1"/>
  </r>
  <r>
    <s v="C0347"/>
    <n v="47"/>
    <x v="0"/>
    <n v="1"/>
    <x v="2"/>
    <n v="1"/>
    <x v="3"/>
    <n v="4"/>
    <x v="346"/>
    <x v="57"/>
    <x v="48"/>
    <n v="62"/>
    <x v="0"/>
    <n v="1"/>
    <x v="0"/>
    <n v="1"/>
  </r>
  <r>
    <s v="C0348"/>
    <n v="44"/>
    <x v="0"/>
    <n v="1"/>
    <x v="0"/>
    <n v="2"/>
    <x v="7"/>
    <n v="3"/>
    <x v="347"/>
    <x v="98"/>
    <x v="8"/>
    <n v="54"/>
    <x v="1"/>
    <n v="2"/>
    <x v="1"/>
    <n v="0"/>
  </r>
  <r>
    <s v="C0349"/>
    <n v="44"/>
    <x v="1"/>
    <n v="0"/>
    <x v="0"/>
    <n v="2"/>
    <x v="1"/>
    <n v="2"/>
    <x v="348"/>
    <x v="71"/>
    <x v="1"/>
    <n v="22"/>
    <x v="1"/>
    <n v="2"/>
    <x v="1"/>
    <n v="0"/>
  </r>
  <r>
    <s v="C0350"/>
    <n v="37"/>
    <x v="1"/>
    <n v="0"/>
    <x v="3"/>
    <n v="3"/>
    <x v="7"/>
    <n v="3"/>
    <x v="349"/>
    <x v="29"/>
    <x v="30"/>
    <n v="33"/>
    <x v="1"/>
    <n v="2"/>
    <x v="1"/>
    <n v="0"/>
  </r>
  <r>
    <s v="C0351"/>
    <n v="42"/>
    <x v="1"/>
    <n v="0"/>
    <x v="3"/>
    <n v="3"/>
    <x v="4"/>
    <n v="2"/>
    <x v="350"/>
    <x v="0"/>
    <x v="8"/>
    <n v="68"/>
    <x v="1"/>
    <n v="2"/>
    <x v="0"/>
    <n v="1"/>
  </r>
  <r>
    <s v="C0352"/>
    <n v="50"/>
    <x v="1"/>
    <n v="0"/>
    <x v="0"/>
    <n v="2"/>
    <x v="3"/>
    <n v="3"/>
    <x v="351"/>
    <x v="91"/>
    <x v="12"/>
    <n v="14"/>
    <x v="1"/>
    <n v="2"/>
    <x v="1"/>
    <n v="0"/>
  </r>
  <r>
    <s v="C0353"/>
    <n v="49"/>
    <x v="0"/>
    <n v="1"/>
    <x v="2"/>
    <n v="1"/>
    <x v="12"/>
    <n v="3"/>
    <x v="352"/>
    <x v="14"/>
    <x v="89"/>
    <n v="46"/>
    <x v="1"/>
    <n v="2"/>
    <x v="1"/>
    <n v="0"/>
  </r>
  <r>
    <s v="C0354"/>
    <n v="29"/>
    <x v="1"/>
    <n v="0"/>
    <x v="2"/>
    <n v="1"/>
    <x v="3"/>
    <n v="5"/>
    <x v="353"/>
    <x v="52"/>
    <x v="27"/>
    <n v="2"/>
    <x v="1"/>
    <n v="2"/>
    <x v="1"/>
    <n v="0"/>
  </r>
  <r>
    <s v="C0355"/>
    <n v="22"/>
    <x v="1"/>
    <n v="0"/>
    <x v="2"/>
    <n v="1"/>
    <x v="13"/>
    <n v="3"/>
    <x v="354"/>
    <x v="59"/>
    <x v="12"/>
    <n v="82"/>
    <x v="1"/>
    <n v="2"/>
    <x v="1"/>
    <n v="0"/>
  </r>
  <r>
    <s v="C0356"/>
    <n v="26"/>
    <x v="0"/>
    <n v="1"/>
    <x v="0"/>
    <n v="2"/>
    <x v="11"/>
    <n v="4"/>
    <x v="355"/>
    <x v="24"/>
    <x v="92"/>
    <n v="27"/>
    <x v="1"/>
    <n v="2"/>
    <x v="1"/>
    <n v="0"/>
  </r>
  <r>
    <s v="C0357"/>
    <n v="47"/>
    <x v="1"/>
    <n v="0"/>
    <x v="3"/>
    <n v="3"/>
    <x v="4"/>
    <n v="3"/>
    <x v="356"/>
    <x v="19"/>
    <x v="76"/>
    <n v="2"/>
    <x v="0"/>
    <n v="1"/>
    <x v="0"/>
    <n v="1"/>
  </r>
  <r>
    <s v="C0358"/>
    <n v="35"/>
    <x v="0"/>
    <n v="1"/>
    <x v="0"/>
    <n v="2"/>
    <x v="0"/>
    <n v="2"/>
    <x v="357"/>
    <x v="78"/>
    <x v="63"/>
    <n v="3"/>
    <x v="1"/>
    <n v="2"/>
    <x v="1"/>
    <n v="0"/>
  </r>
  <r>
    <s v="C0359"/>
    <n v="45"/>
    <x v="0"/>
    <n v="1"/>
    <x v="2"/>
    <n v="1"/>
    <x v="14"/>
    <n v="3"/>
    <x v="358"/>
    <x v="99"/>
    <x v="24"/>
    <n v="87"/>
    <x v="1"/>
    <n v="2"/>
    <x v="1"/>
    <n v="0"/>
  </r>
  <r>
    <s v="C0360"/>
    <n v="35"/>
    <x v="0"/>
    <n v="1"/>
    <x v="0"/>
    <n v="2"/>
    <x v="4"/>
    <n v="1"/>
    <x v="359"/>
    <x v="18"/>
    <x v="55"/>
    <n v="30"/>
    <x v="1"/>
    <n v="2"/>
    <x v="1"/>
    <n v="0"/>
  </r>
  <r>
    <s v="C0361"/>
    <n v="44"/>
    <x v="0"/>
    <n v="1"/>
    <x v="3"/>
    <n v="3"/>
    <x v="8"/>
    <n v="2"/>
    <x v="360"/>
    <x v="98"/>
    <x v="53"/>
    <n v="44"/>
    <x v="1"/>
    <n v="2"/>
    <x v="1"/>
    <n v="0"/>
  </r>
  <r>
    <s v="C0362"/>
    <n v="39"/>
    <x v="0"/>
    <n v="1"/>
    <x v="3"/>
    <n v="3"/>
    <x v="7"/>
    <n v="1"/>
    <x v="361"/>
    <x v="71"/>
    <x v="40"/>
    <n v="58"/>
    <x v="1"/>
    <n v="2"/>
    <x v="1"/>
    <n v="0"/>
  </r>
  <r>
    <s v="C0363"/>
    <n v="47"/>
    <x v="0"/>
    <n v="1"/>
    <x v="3"/>
    <n v="3"/>
    <x v="6"/>
    <n v="2"/>
    <x v="362"/>
    <x v="50"/>
    <x v="67"/>
    <n v="44"/>
    <x v="0"/>
    <n v="1"/>
    <x v="0"/>
    <n v="1"/>
  </r>
  <r>
    <s v="C0364"/>
    <n v="36"/>
    <x v="0"/>
    <n v="1"/>
    <x v="0"/>
    <n v="2"/>
    <x v="12"/>
    <n v="4"/>
    <x v="363"/>
    <x v="83"/>
    <x v="57"/>
    <n v="74"/>
    <x v="2"/>
    <n v="3"/>
    <x v="0"/>
    <n v="1"/>
  </r>
  <r>
    <s v="C0365"/>
    <n v="21"/>
    <x v="0"/>
    <n v="1"/>
    <x v="2"/>
    <n v="1"/>
    <x v="5"/>
    <n v="4"/>
    <x v="364"/>
    <x v="77"/>
    <x v="37"/>
    <n v="36"/>
    <x v="0"/>
    <n v="1"/>
    <x v="0"/>
    <n v="1"/>
  </r>
  <r>
    <s v="C0366"/>
    <n v="20"/>
    <x v="1"/>
    <n v="0"/>
    <x v="3"/>
    <n v="3"/>
    <x v="3"/>
    <n v="4"/>
    <x v="365"/>
    <x v="26"/>
    <x v="27"/>
    <n v="64"/>
    <x v="2"/>
    <n v="3"/>
    <x v="1"/>
    <n v="0"/>
  </r>
  <r>
    <s v="C0367"/>
    <n v="35"/>
    <x v="1"/>
    <n v="0"/>
    <x v="0"/>
    <n v="2"/>
    <x v="12"/>
    <n v="1"/>
    <x v="366"/>
    <x v="14"/>
    <x v="71"/>
    <n v="8"/>
    <x v="1"/>
    <n v="2"/>
    <x v="1"/>
    <n v="0"/>
  </r>
  <r>
    <s v="C0368"/>
    <n v="49"/>
    <x v="1"/>
    <n v="0"/>
    <x v="0"/>
    <n v="2"/>
    <x v="1"/>
    <n v="5"/>
    <x v="367"/>
    <x v="49"/>
    <x v="91"/>
    <n v="16"/>
    <x v="1"/>
    <n v="2"/>
    <x v="1"/>
    <n v="0"/>
  </r>
  <r>
    <s v="C0369"/>
    <n v="31"/>
    <x v="1"/>
    <n v="0"/>
    <x v="3"/>
    <n v="3"/>
    <x v="5"/>
    <n v="2"/>
    <x v="368"/>
    <x v="24"/>
    <x v="34"/>
    <n v="64"/>
    <x v="0"/>
    <n v="1"/>
    <x v="0"/>
    <n v="1"/>
  </r>
  <r>
    <s v="C0370"/>
    <n v="24"/>
    <x v="0"/>
    <n v="1"/>
    <x v="3"/>
    <n v="3"/>
    <x v="13"/>
    <n v="4"/>
    <x v="369"/>
    <x v="75"/>
    <x v="26"/>
    <n v="2"/>
    <x v="0"/>
    <n v="1"/>
    <x v="0"/>
    <n v="1"/>
  </r>
  <r>
    <s v="C0371"/>
    <n v="24"/>
    <x v="1"/>
    <n v="0"/>
    <x v="0"/>
    <n v="2"/>
    <x v="4"/>
    <n v="2"/>
    <x v="370"/>
    <x v="7"/>
    <x v="49"/>
    <n v="25"/>
    <x v="0"/>
    <n v="1"/>
    <x v="1"/>
    <n v="0"/>
  </r>
  <r>
    <s v="C0372"/>
    <n v="46"/>
    <x v="0"/>
    <n v="1"/>
    <x v="0"/>
    <n v="2"/>
    <x v="1"/>
    <n v="1"/>
    <x v="371"/>
    <x v="28"/>
    <x v="82"/>
    <n v="52"/>
    <x v="0"/>
    <n v="1"/>
    <x v="0"/>
    <n v="1"/>
  </r>
  <r>
    <s v="C0373"/>
    <n v="42"/>
    <x v="1"/>
    <n v="0"/>
    <x v="0"/>
    <n v="2"/>
    <x v="8"/>
    <n v="5"/>
    <x v="372"/>
    <x v="93"/>
    <x v="62"/>
    <n v="30"/>
    <x v="1"/>
    <n v="2"/>
    <x v="1"/>
    <n v="0"/>
  </r>
  <r>
    <s v="C0374"/>
    <n v="28"/>
    <x v="1"/>
    <n v="0"/>
    <x v="0"/>
    <n v="2"/>
    <x v="6"/>
    <n v="1"/>
    <x v="373"/>
    <x v="37"/>
    <x v="84"/>
    <n v="25"/>
    <x v="1"/>
    <n v="2"/>
    <x v="1"/>
    <n v="0"/>
  </r>
  <r>
    <s v="C0375"/>
    <n v="28"/>
    <x v="1"/>
    <n v="0"/>
    <x v="0"/>
    <n v="2"/>
    <x v="2"/>
    <n v="2"/>
    <x v="374"/>
    <x v="91"/>
    <x v="65"/>
    <n v="22"/>
    <x v="1"/>
    <n v="2"/>
    <x v="1"/>
    <n v="0"/>
  </r>
  <r>
    <s v="C0376"/>
    <n v="22"/>
    <x v="0"/>
    <n v="1"/>
    <x v="3"/>
    <n v="3"/>
    <x v="5"/>
    <n v="5"/>
    <x v="375"/>
    <x v="3"/>
    <x v="97"/>
    <n v="29"/>
    <x v="0"/>
    <n v="1"/>
    <x v="0"/>
    <n v="1"/>
  </r>
  <r>
    <s v="C0377"/>
    <n v="38"/>
    <x v="1"/>
    <n v="0"/>
    <x v="3"/>
    <n v="3"/>
    <x v="8"/>
    <n v="5"/>
    <x v="376"/>
    <x v="24"/>
    <x v="71"/>
    <n v="9"/>
    <x v="2"/>
    <n v="3"/>
    <x v="0"/>
    <n v="1"/>
  </r>
  <r>
    <s v="C0378"/>
    <n v="35"/>
    <x v="0"/>
    <n v="1"/>
    <x v="3"/>
    <n v="3"/>
    <x v="4"/>
    <n v="1"/>
    <x v="377"/>
    <x v="3"/>
    <x v="38"/>
    <n v="71"/>
    <x v="1"/>
    <n v="2"/>
    <x v="1"/>
    <n v="0"/>
  </r>
  <r>
    <s v="C0379"/>
    <n v="35"/>
    <x v="0"/>
    <n v="1"/>
    <x v="2"/>
    <n v="1"/>
    <x v="1"/>
    <n v="4"/>
    <x v="378"/>
    <x v="8"/>
    <x v="55"/>
    <n v="88"/>
    <x v="0"/>
    <n v="1"/>
    <x v="0"/>
    <n v="1"/>
  </r>
  <r>
    <s v="C0380"/>
    <n v="22"/>
    <x v="1"/>
    <n v="0"/>
    <x v="3"/>
    <n v="3"/>
    <x v="0"/>
    <n v="2"/>
    <x v="379"/>
    <x v="81"/>
    <x v="90"/>
    <n v="63"/>
    <x v="1"/>
    <n v="2"/>
    <x v="1"/>
    <n v="0"/>
  </r>
  <r>
    <s v="C0381"/>
    <n v="39"/>
    <x v="1"/>
    <n v="0"/>
    <x v="3"/>
    <n v="3"/>
    <x v="4"/>
    <n v="3"/>
    <x v="380"/>
    <x v="72"/>
    <x v="19"/>
    <n v="21"/>
    <x v="0"/>
    <n v="1"/>
    <x v="0"/>
    <n v="1"/>
  </r>
  <r>
    <s v="C0382"/>
    <n v="43"/>
    <x v="1"/>
    <n v="0"/>
    <x v="0"/>
    <n v="2"/>
    <x v="9"/>
    <n v="3"/>
    <x v="381"/>
    <x v="60"/>
    <x v="46"/>
    <n v="14"/>
    <x v="0"/>
    <n v="1"/>
    <x v="0"/>
    <n v="1"/>
  </r>
  <r>
    <s v="C0383"/>
    <n v="41"/>
    <x v="0"/>
    <n v="1"/>
    <x v="3"/>
    <n v="3"/>
    <x v="13"/>
    <n v="1"/>
    <x v="382"/>
    <x v="32"/>
    <x v="91"/>
    <n v="55"/>
    <x v="1"/>
    <n v="2"/>
    <x v="1"/>
    <n v="0"/>
  </r>
  <r>
    <s v="C0384"/>
    <n v="43"/>
    <x v="1"/>
    <n v="0"/>
    <x v="3"/>
    <n v="3"/>
    <x v="10"/>
    <n v="2"/>
    <x v="383"/>
    <x v="85"/>
    <x v="56"/>
    <n v="73"/>
    <x v="1"/>
    <n v="2"/>
    <x v="1"/>
    <n v="0"/>
  </r>
  <r>
    <s v="C0385"/>
    <n v="20"/>
    <x v="0"/>
    <n v="1"/>
    <x v="0"/>
    <n v="2"/>
    <x v="13"/>
    <n v="2"/>
    <x v="384"/>
    <x v="44"/>
    <x v="6"/>
    <n v="19"/>
    <x v="2"/>
    <n v="3"/>
    <x v="1"/>
    <n v="0"/>
  </r>
  <r>
    <s v="C0386"/>
    <n v="43"/>
    <x v="0"/>
    <n v="1"/>
    <x v="0"/>
    <n v="2"/>
    <x v="3"/>
    <n v="1"/>
    <x v="385"/>
    <x v="64"/>
    <x v="55"/>
    <n v="46"/>
    <x v="1"/>
    <n v="2"/>
    <x v="1"/>
    <n v="0"/>
  </r>
  <r>
    <s v="C0387"/>
    <n v="39"/>
    <x v="1"/>
    <n v="0"/>
    <x v="2"/>
    <n v="1"/>
    <x v="14"/>
    <n v="2"/>
    <x v="386"/>
    <x v="36"/>
    <x v="18"/>
    <n v="86"/>
    <x v="2"/>
    <n v="3"/>
    <x v="1"/>
    <n v="0"/>
  </r>
  <r>
    <s v="C0388"/>
    <n v="30"/>
    <x v="1"/>
    <n v="0"/>
    <x v="0"/>
    <n v="2"/>
    <x v="10"/>
    <n v="4"/>
    <x v="387"/>
    <x v="47"/>
    <x v="40"/>
    <n v="52"/>
    <x v="2"/>
    <n v="3"/>
    <x v="1"/>
    <n v="0"/>
  </r>
  <r>
    <s v="C0389"/>
    <n v="36"/>
    <x v="0"/>
    <n v="1"/>
    <x v="0"/>
    <n v="2"/>
    <x v="6"/>
    <n v="1"/>
    <x v="388"/>
    <x v="92"/>
    <x v="73"/>
    <n v="52"/>
    <x v="2"/>
    <n v="3"/>
    <x v="1"/>
    <n v="0"/>
  </r>
  <r>
    <s v="C0390"/>
    <n v="27"/>
    <x v="0"/>
    <n v="1"/>
    <x v="3"/>
    <n v="3"/>
    <x v="3"/>
    <n v="4"/>
    <x v="389"/>
    <x v="87"/>
    <x v="34"/>
    <n v="0"/>
    <x v="1"/>
    <n v="2"/>
    <x v="1"/>
    <n v="0"/>
  </r>
  <r>
    <s v="C0391"/>
    <n v="23"/>
    <x v="0"/>
    <n v="1"/>
    <x v="0"/>
    <n v="2"/>
    <x v="3"/>
    <n v="2"/>
    <x v="390"/>
    <x v="55"/>
    <x v="43"/>
    <n v="1"/>
    <x v="0"/>
    <n v="1"/>
    <x v="0"/>
    <n v="1"/>
  </r>
  <r>
    <s v="C0392"/>
    <n v="25"/>
    <x v="1"/>
    <n v="0"/>
    <x v="2"/>
    <n v="1"/>
    <x v="0"/>
    <n v="1"/>
    <x v="391"/>
    <x v="70"/>
    <x v="1"/>
    <n v="57"/>
    <x v="0"/>
    <n v="1"/>
    <x v="0"/>
    <n v="1"/>
  </r>
  <r>
    <s v="C0393"/>
    <n v="27"/>
    <x v="0"/>
    <n v="1"/>
    <x v="0"/>
    <n v="2"/>
    <x v="6"/>
    <n v="2"/>
    <x v="392"/>
    <x v="4"/>
    <x v="1"/>
    <n v="18"/>
    <x v="1"/>
    <n v="2"/>
    <x v="1"/>
    <n v="0"/>
  </r>
  <r>
    <s v="C0394"/>
    <n v="39"/>
    <x v="1"/>
    <n v="0"/>
    <x v="2"/>
    <n v="1"/>
    <x v="0"/>
    <n v="1"/>
    <x v="393"/>
    <x v="62"/>
    <x v="91"/>
    <n v="61"/>
    <x v="1"/>
    <n v="2"/>
    <x v="1"/>
    <n v="0"/>
  </r>
  <r>
    <s v="C0395"/>
    <n v="49"/>
    <x v="0"/>
    <n v="1"/>
    <x v="2"/>
    <n v="1"/>
    <x v="6"/>
    <n v="2"/>
    <x v="394"/>
    <x v="3"/>
    <x v="72"/>
    <n v="77"/>
    <x v="0"/>
    <n v="1"/>
    <x v="0"/>
    <n v="1"/>
  </r>
  <r>
    <s v="C0396"/>
    <n v="22"/>
    <x v="0"/>
    <n v="1"/>
    <x v="2"/>
    <n v="1"/>
    <x v="15"/>
    <n v="4"/>
    <x v="395"/>
    <x v="62"/>
    <x v="82"/>
    <n v="71"/>
    <x v="1"/>
    <n v="2"/>
    <x v="1"/>
    <n v="0"/>
  </r>
  <r>
    <s v="C0397"/>
    <n v="35"/>
    <x v="1"/>
    <n v="0"/>
    <x v="2"/>
    <n v="1"/>
    <x v="8"/>
    <n v="4"/>
    <x v="396"/>
    <x v="38"/>
    <x v="94"/>
    <n v="11"/>
    <x v="0"/>
    <n v="1"/>
    <x v="0"/>
    <n v="1"/>
  </r>
  <r>
    <s v="C0398"/>
    <n v="49"/>
    <x v="0"/>
    <n v="1"/>
    <x v="2"/>
    <n v="1"/>
    <x v="11"/>
    <n v="2"/>
    <x v="397"/>
    <x v="63"/>
    <x v="24"/>
    <n v="25"/>
    <x v="1"/>
    <n v="2"/>
    <x v="1"/>
    <n v="0"/>
  </r>
  <r>
    <s v="C0399"/>
    <n v="44"/>
    <x v="1"/>
    <n v="0"/>
    <x v="0"/>
    <n v="2"/>
    <x v="7"/>
    <n v="1"/>
    <x v="398"/>
    <x v="38"/>
    <x v="47"/>
    <n v="26"/>
    <x v="0"/>
    <n v="1"/>
    <x v="1"/>
    <n v="0"/>
  </r>
  <r>
    <s v="C0400"/>
    <n v="22"/>
    <x v="1"/>
    <n v="0"/>
    <x v="0"/>
    <n v="2"/>
    <x v="6"/>
    <n v="3"/>
    <x v="399"/>
    <x v="50"/>
    <x v="61"/>
    <n v="28"/>
    <x v="1"/>
    <n v="2"/>
    <x v="1"/>
    <n v="0"/>
  </r>
  <r>
    <s v="C0401"/>
    <n v="44"/>
    <x v="0"/>
    <n v="1"/>
    <x v="3"/>
    <n v="3"/>
    <x v="11"/>
    <n v="4"/>
    <x v="400"/>
    <x v="27"/>
    <x v="35"/>
    <n v="14"/>
    <x v="1"/>
    <n v="2"/>
    <x v="0"/>
    <n v="1"/>
  </r>
  <r>
    <s v="C0402"/>
    <n v="48"/>
    <x v="1"/>
    <n v="0"/>
    <x v="0"/>
    <n v="2"/>
    <x v="11"/>
    <n v="4"/>
    <x v="401"/>
    <x v="36"/>
    <x v="98"/>
    <n v="45"/>
    <x v="0"/>
    <n v="1"/>
    <x v="0"/>
    <n v="1"/>
  </r>
  <r>
    <s v="C0403"/>
    <n v="37"/>
    <x v="1"/>
    <n v="0"/>
    <x v="3"/>
    <n v="3"/>
    <x v="5"/>
    <n v="3"/>
    <x v="402"/>
    <x v="75"/>
    <x v="63"/>
    <n v="0"/>
    <x v="1"/>
    <n v="2"/>
    <x v="1"/>
    <n v="0"/>
  </r>
  <r>
    <s v="C0404"/>
    <n v="33"/>
    <x v="0"/>
    <n v="1"/>
    <x v="2"/>
    <n v="1"/>
    <x v="14"/>
    <n v="2"/>
    <x v="403"/>
    <x v="64"/>
    <x v="53"/>
    <n v="59"/>
    <x v="1"/>
    <n v="2"/>
    <x v="1"/>
    <n v="0"/>
  </r>
  <r>
    <s v="C0405"/>
    <n v="37"/>
    <x v="1"/>
    <n v="0"/>
    <x v="0"/>
    <n v="2"/>
    <x v="7"/>
    <n v="1"/>
    <x v="404"/>
    <x v="46"/>
    <x v="21"/>
    <n v="91"/>
    <x v="0"/>
    <n v="1"/>
    <x v="1"/>
    <n v="0"/>
  </r>
  <r>
    <s v="C0406"/>
    <n v="21"/>
    <x v="1"/>
    <n v="0"/>
    <x v="3"/>
    <n v="3"/>
    <x v="2"/>
    <n v="2"/>
    <x v="405"/>
    <x v="24"/>
    <x v="0"/>
    <n v="56"/>
    <x v="0"/>
    <n v="1"/>
    <x v="0"/>
    <n v="1"/>
  </r>
  <r>
    <s v="C0407"/>
    <n v="41"/>
    <x v="1"/>
    <n v="0"/>
    <x v="2"/>
    <n v="1"/>
    <x v="10"/>
    <n v="5"/>
    <x v="406"/>
    <x v="14"/>
    <x v="55"/>
    <n v="2"/>
    <x v="1"/>
    <n v="2"/>
    <x v="1"/>
    <n v="0"/>
  </r>
  <r>
    <s v="C0408"/>
    <n v="22"/>
    <x v="0"/>
    <n v="1"/>
    <x v="0"/>
    <n v="2"/>
    <x v="12"/>
    <n v="4"/>
    <x v="407"/>
    <x v="76"/>
    <x v="55"/>
    <n v="17"/>
    <x v="1"/>
    <n v="2"/>
    <x v="1"/>
    <n v="0"/>
  </r>
  <r>
    <s v="C0409"/>
    <n v="35"/>
    <x v="1"/>
    <n v="0"/>
    <x v="0"/>
    <n v="2"/>
    <x v="11"/>
    <n v="5"/>
    <x v="408"/>
    <x v="16"/>
    <x v="86"/>
    <n v="51"/>
    <x v="1"/>
    <n v="2"/>
    <x v="1"/>
    <n v="0"/>
  </r>
  <r>
    <s v="C0410"/>
    <n v="48"/>
    <x v="0"/>
    <n v="1"/>
    <x v="0"/>
    <n v="2"/>
    <x v="14"/>
    <n v="4"/>
    <x v="409"/>
    <x v="51"/>
    <x v="10"/>
    <n v="59"/>
    <x v="0"/>
    <n v="1"/>
    <x v="1"/>
    <n v="0"/>
  </r>
  <r>
    <s v="C0411"/>
    <n v="28"/>
    <x v="0"/>
    <n v="1"/>
    <x v="2"/>
    <n v="1"/>
    <x v="15"/>
    <n v="4"/>
    <x v="410"/>
    <x v="48"/>
    <x v="75"/>
    <n v="33"/>
    <x v="1"/>
    <n v="2"/>
    <x v="1"/>
    <n v="0"/>
  </r>
  <r>
    <s v="C0412"/>
    <n v="23"/>
    <x v="1"/>
    <n v="0"/>
    <x v="0"/>
    <n v="2"/>
    <x v="6"/>
    <n v="5"/>
    <x v="411"/>
    <x v="89"/>
    <x v="38"/>
    <n v="95"/>
    <x v="0"/>
    <n v="1"/>
    <x v="0"/>
    <n v="1"/>
  </r>
  <r>
    <s v="C0413"/>
    <n v="20"/>
    <x v="1"/>
    <n v="0"/>
    <x v="0"/>
    <n v="2"/>
    <x v="4"/>
    <n v="5"/>
    <x v="412"/>
    <x v="79"/>
    <x v="79"/>
    <n v="92"/>
    <x v="2"/>
    <n v="3"/>
    <x v="0"/>
    <n v="1"/>
  </r>
  <r>
    <s v="C0414"/>
    <n v="23"/>
    <x v="1"/>
    <n v="0"/>
    <x v="2"/>
    <n v="1"/>
    <x v="4"/>
    <n v="2"/>
    <x v="413"/>
    <x v="98"/>
    <x v="99"/>
    <n v="88"/>
    <x v="1"/>
    <n v="2"/>
    <x v="1"/>
    <n v="0"/>
  </r>
  <r>
    <s v="C0415"/>
    <n v="20"/>
    <x v="0"/>
    <n v="1"/>
    <x v="0"/>
    <n v="2"/>
    <x v="5"/>
    <n v="5"/>
    <x v="414"/>
    <x v="87"/>
    <x v="39"/>
    <n v="59"/>
    <x v="2"/>
    <n v="3"/>
    <x v="1"/>
    <n v="0"/>
  </r>
  <r>
    <s v="C0416"/>
    <n v="33"/>
    <x v="1"/>
    <n v="0"/>
    <x v="3"/>
    <n v="3"/>
    <x v="3"/>
    <n v="2"/>
    <x v="415"/>
    <x v="34"/>
    <x v="63"/>
    <n v="25"/>
    <x v="1"/>
    <n v="2"/>
    <x v="1"/>
    <n v="0"/>
  </r>
  <r>
    <s v="C0417"/>
    <n v="40"/>
    <x v="1"/>
    <n v="0"/>
    <x v="1"/>
    <n v="4"/>
    <x v="5"/>
    <n v="2"/>
    <x v="416"/>
    <x v="74"/>
    <x v="60"/>
    <n v="71"/>
    <x v="1"/>
    <n v="2"/>
    <x v="0"/>
    <n v="1"/>
  </r>
  <r>
    <s v="C0418"/>
    <n v="35"/>
    <x v="1"/>
    <n v="0"/>
    <x v="0"/>
    <n v="2"/>
    <x v="7"/>
    <n v="2"/>
    <x v="417"/>
    <x v="21"/>
    <x v="54"/>
    <n v="18"/>
    <x v="1"/>
    <n v="2"/>
    <x v="1"/>
    <n v="0"/>
  </r>
  <r>
    <s v="C0419"/>
    <n v="39"/>
    <x v="1"/>
    <n v="0"/>
    <x v="3"/>
    <n v="3"/>
    <x v="3"/>
    <n v="4"/>
    <x v="418"/>
    <x v="93"/>
    <x v="23"/>
    <n v="21"/>
    <x v="1"/>
    <n v="2"/>
    <x v="1"/>
    <n v="0"/>
  </r>
  <r>
    <s v="C0420"/>
    <n v="43"/>
    <x v="1"/>
    <n v="0"/>
    <x v="0"/>
    <n v="2"/>
    <x v="5"/>
    <n v="4"/>
    <x v="419"/>
    <x v="71"/>
    <x v="95"/>
    <n v="92"/>
    <x v="1"/>
    <n v="2"/>
    <x v="1"/>
    <n v="0"/>
  </r>
  <r>
    <s v="C0421"/>
    <n v="27"/>
    <x v="0"/>
    <n v="1"/>
    <x v="0"/>
    <n v="2"/>
    <x v="6"/>
    <n v="5"/>
    <x v="420"/>
    <x v="81"/>
    <x v="55"/>
    <n v="32"/>
    <x v="1"/>
    <n v="2"/>
    <x v="1"/>
    <n v="0"/>
  </r>
  <r>
    <s v="C0422"/>
    <n v="26"/>
    <x v="0"/>
    <n v="1"/>
    <x v="2"/>
    <n v="1"/>
    <x v="14"/>
    <n v="4"/>
    <x v="421"/>
    <x v="42"/>
    <x v="14"/>
    <n v="37"/>
    <x v="1"/>
    <n v="2"/>
    <x v="1"/>
    <n v="0"/>
  </r>
  <r>
    <s v="C0423"/>
    <n v="22"/>
    <x v="1"/>
    <n v="0"/>
    <x v="3"/>
    <n v="3"/>
    <x v="9"/>
    <n v="5"/>
    <x v="422"/>
    <x v="80"/>
    <x v="34"/>
    <n v="34"/>
    <x v="1"/>
    <n v="2"/>
    <x v="0"/>
    <n v="1"/>
  </r>
  <r>
    <s v="C0424"/>
    <n v="36"/>
    <x v="1"/>
    <n v="0"/>
    <x v="0"/>
    <n v="2"/>
    <x v="9"/>
    <n v="4"/>
    <x v="423"/>
    <x v="11"/>
    <x v="20"/>
    <n v="66"/>
    <x v="1"/>
    <n v="2"/>
    <x v="1"/>
    <n v="0"/>
  </r>
  <r>
    <s v="C0425"/>
    <n v="20"/>
    <x v="1"/>
    <n v="0"/>
    <x v="0"/>
    <n v="2"/>
    <x v="15"/>
    <n v="1"/>
    <x v="424"/>
    <x v="66"/>
    <x v="8"/>
    <n v="82"/>
    <x v="2"/>
    <n v="3"/>
    <x v="1"/>
    <n v="0"/>
  </r>
  <r>
    <s v="C0426"/>
    <n v="35"/>
    <x v="1"/>
    <n v="0"/>
    <x v="2"/>
    <n v="1"/>
    <x v="1"/>
    <n v="1"/>
    <x v="425"/>
    <x v="23"/>
    <x v="68"/>
    <n v="9"/>
    <x v="1"/>
    <n v="2"/>
    <x v="1"/>
    <n v="0"/>
  </r>
  <r>
    <s v="C0427"/>
    <n v="31"/>
    <x v="0"/>
    <n v="1"/>
    <x v="3"/>
    <n v="3"/>
    <x v="12"/>
    <n v="5"/>
    <x v="426"/>
    <x v="6"/>
    <x v="26"/>
    <n v="90"/>
    <x v="1"/>
    <n v="2"/>
    <x v="0"/>
    <n v="1"/>
  </r>
  <r>
    <s v="C0428"/>
    <n v="46"/>
    <x v="1"/>
    <n v="0"/>
    <x v="3"/>
    <n v="3"/>
    <x v="5"/>
    <n v="4"/>
    <x v="427"/>
    <x v="57"/>
    <x v="15"/>
    <n v="14"/>
    <x v="1"/>
    <n v="2"/>
    <x v="1"/>
    <n v="0"/>
  </r>
  <r>
    <s v="C0429"/>
    <n v="38"/>
    <x v="0"/>
    <n v="1"/>
    <x v="3"/>
    <n v="3"/>
    <x v="0"/>
    <n v="4"/>
    <x v="428"/>
    <x v="49"/>
    <x v="100"/>
    <n v="10"/>
    <x v="1"/>
    <n v="2"/>
    <x v="1"/>
    <n v="0"/>
  </r>
  <r>
    <s v="C0430"/>
    <n v="41"/>
    <x v="0"/>
    <n v="1"/>
    <x v="0"/>
    <n v="2"/>
    <x v="6"/>
    <n v="2"/>
    <x v="429"/>
    <x v="29"/>
    <x v="8"/>
    <n v="89"/>
    <x v="2"/>
    <n v="3"/>
    <x v="1"/>
    <n v="0"/>
  </r>
  <r>
    <s v="C0431"/>
    <n v="42"/>
    <x v="1"/>
    <n v="0"/>
    <x v="2"/>
    <n v="1"/>
    <x v="0"/>
    <n v="3"/>
    <x v="430"/>
    <x v="17"/>
    <x v="28"/>
    <n v="23"/>
    <x v="2"/>
    <n v="3"/>
    <x v="1"/>
    <n v="0"/>
  </r>
  <r>
    <s v="C0432"/>
    <n v="41"/>
    <x v="0"/>
    <n v="1"/>
    <x v="0"/>
    <n v="2"/>
    <x v="7"/>
    <n v="5"/>
    <x v="431"/>
    <x v="98"/>
    <x v="72"/>
    <n v="76"/>
    <x v="1"/>
    <n v="2"/>
    <x v="1"/>
    <n v="0"/>
  </r>
  <r>
    <s v="C0433"/>
    <n v="33"/>
    <x v="0"/>
    <n v="1"/>
    <x v="0"/>
    <n v="2"/>
    <x v="7"/>
    <n v="3"/>
    <x v="432"/>
    <x v="87"/>
    <x v="79"/>
    <n v="95"/>
    <x v="1"/>
    <n v="2"/>
    <x v="1"/>
    <n v="0"/>
  </r>
  <r>
    <s v="C0434"/>
    <n v="49"/>
    <x v="0"/>
    <n v="1"/>
    <x v="2"/>
    <n v="1"/>
    <x v="11"/>
    <n v="3"/>
    <x v="433"/>
    <x v="0"/>
    <x v="85"/>
    <n v="100"/>
    <x v="1"/>
    <n v="2"/>
    <x v="1"/>
    <n v="0"/>
  </r>
  <r>
    <s v="C0435"/>
    <n v="25"/>
    <x v="0"/>
    <n v="1"/>
    <x v="0"/>
    <n v="2"/>
    <x v="9"/>
    <n v="5"/>
    <x v="434"/>
    <x v="12"/>
    <x v="38"/>
    <n v="3"/>
    <x v="1"/>
    <n v="2"/>
    <x v="1"/>
    <n v="0"/>
  </r>
  <r>
    <s v="C0436"/>
    <n v="25"/>
    <x v="1"/>
    <n v="0"/>
    <x v="1"/>
    <n v="4"/>
    <x v="5"/>
    <n v="4"/>
    <x v="435"/>
    <x v="86"/>
    <x v="45"/>
    <n v="12"/>
    <x v="2"/>
    <n v="3"/>
    <x v="1"/>
    <n v="0"/>
  </r>
  <r>
    <s v="C0437"/>
    <n v="32"/>
    <x v="1"/>
    <n v="0"/>
    <x v="3"/>
    <n v="3"/>
    <x v="11"/>
    <n v="5"/>
    <x v="436"/>
    <x v="87"/>
    <x v="96"/>
    <n v="72"/>
    <x v="0"/>
    <n v="1"/>
    <x v="0"/>
    <n v="1"/>
  </r>
  <r>
    <s v="C0438"/>
    <n v="38"/>
    <x v="0"/>
    <n v="1"/>
    <x v="3"/>
    <n v="3"/>
    <x v="0"/>
    <n v="3"/>
    <x v="437"/>
    <x v="43"/>
    <x v="46"/>
    <n v="56"/>
    <x v="0"/>
    <n v="1"/>
    <x v="0"/>
    <n v="1"/>
  </r>
  <r>
    <s v="C0439"/>
    <n v="41"/>
    <x v="1"/>
    <n v="0"/>
    <x v="1"/>
    <n v="4"/>
    <x v="1"/>
    <n v="4"/>
    <x v="438"/>
    <x v="3"/>
    <x v="23"/>
    <n v="97"/>
    <x v="0"/>
    <n v="1"/>
    <x v="0"/>
    <n v="1"/>
  </r>
  <r>
    <s v="C0440"/>
    <n v="27"/>
    <x v="1"/>
    <n v="0"/>
    <x v="0"/>
    <n v="2"/>
    <x v="10"/>
    <n v="1"/>
    <x v="439"/>
    <x v="31"/>
    <x v="9"/>
    <n v="36"/>
    <x v="1"/>
    <n v="2"/>
    <x v="1"/>
    <n v="0"/>
  </r>
  <r>
    <s v="C0441"/>
    <n v="46"/>
    <x v="1"/>
    <n v="0"/>
    <x v="0"/>
    <n v="2"/>
    <x v="10"/>
    <n v="5"/>
    <x v="440"/>
    <x v="82"/>
    <x v="74"/>
    <n v="47"/>
    <x v="2"/>
    <n v="3"/>
    <x v="1"/>
    <n v="0"/>
  </r>
  <r>
    <s v="C0442"/>
    <n v="46"/>
    <x v="1"/>
    <n v="0"/>
    <x v="1"/>
    <n v="4"/>
    <x v="7"/>
    <n v="5"/>
    <x v="441"/>
    <x v="42"/>
    <x v="18"/>
    <n v="70"/>
    <x v="0"/>
    <n v="1"/>
    <x v="0"/>
    <n v="1"/>
  </r>
  <r>
    <s v="C0443"/>
    <n v="21"/>
    <x v="1"/>
    <n v="0"/>
    <x v="2"/>
    <n v="1"/>
    <x v="1"/>
    <n v="4"/>
    <x v="442"/>
    <x v="32"/>
    <x v="47"/>
    <n v="0"/>
    <x v="1"/>
    <n v="2"/>
    <x v="1"/>
    <n v="0"/>
  </r>
  <r>
    <s v="C0444"/>
    <n v="40"/>
    <x v="0"/>
    <n v="1"/>
    <x v="3"/>
    <n v="3"/>
    <x v="3"/>
    <n v="1"/>
    <x v="443"/>
    <x v="9"/>
    <x v="20"/>
    <n v="59"/>
    <x v="1"/>
    <n v="2"/>
    <x v="1"/>
    <n v="0"/>
  </r>
  <r>
    <s v="C0445"/>
    <n v="49"/>
    <x v="1"/>
    <n v="0"/>
    <x v="0"/>
    <n v="2"/>
    <x v="0"/>
    <n v="1"/>
    <x v="444"/>
    <x v="46"/>
    <x v="99"/>
    <n v="11"/>
    <x v="1"/>
    <n v="2"/>
    <x v="1"/>
    <n v="0"/>
  </r>
  <r>
    <s v="C0446"/>
    <n v="20"/>
    <x v="1"/>
    <n v="0"/>
    <x v="0"/>
    <n v="2"/>
    <x v="10"/>
    <n v="4"/>
    <x v="445"/>
    <x v="65"/>
    <x v="38"/>
    <n v="20"/>
    <x v="1"/>
    <n v="2"/>
    <x v="1"/>
    <n v="0"/>
  </r>
  <r>
    <s v="C0447"/>
    <n v="47"/>
    <x v="1"/>
    <n v="0"/>
    <x v="0"/>
    <n v="2"/>
    <x v="1"/>
    <n v="2"/>
    <x v="446"/>
    <x v="1"/>
    <x v="100"/>
    <n v="10"/>
    <x v="2"/>
    <n v="3"/>
    <x v="1"/>
    <n v="0"/>
  </r>
  <r>
    <s v="C0448"/>
    <n v="34"/>
    <x v="1"/>
    <n v="0"/>
    <x v="1"/>
    <n v="4"/>
    <x v="8"/>
    <n v="5"/>
    <x v="447"/>
    <x v="1"/>
    <x v="54"/>
    <n v="43"/>
    <x v="0"/>
    <n v="1"/>
    <x v="0"/>
    <n v="1"/>
  </r>
  <r>
    <s v="C0449"/>
    <n v="20"/>
    <x v="0"/>
    <n v="1"/>
    <x v="3"/>
    <n v="3"/>
    <x v="5"/>
    <n v="5"/>
    <x v="448"/>
    <x v="69"/>
    <x v="40"/>
    <n v="57"/>
    <x v="1"/>
    <n v="2"/>
    <x v="1"/>
    <n v="0"/>
  </r>
  <r>
    <s v="C0450"/>
    <n v="24"/>
    <x v="0"/>
    <n v="1"/>
    <x v="2"/>
    <n v="1"/>
    <x v="1"/>
    <n v="3"/>
    <x v="449"/>
    <x v="41"/>
    <x v="29"/>
    <n v="43"/>
    <x v="0"/>
    <n v="1"/>
    <x v="0"/>
    <n v="1"/>
  </r>
  <r>
    <s v="C0451"/>
    <n v="47"/>
    <x v="0"/>
    <n v="1"/>
    <x v="3"/>
    <n v="3"/>
    <x v="8"/>
    <n v="4"/>
    <x v="450"/>
    <x v="45"/>
    <x v="61"/>
    <n v="77"/>
    <x v="1"/>
    <n v="2"/>
    <x v="0"/>
    <n v="1"/>
  </r>
  <r>
    <s v="C0452"/>
    <n v="48"/>
    <x v="0"/>
    <n v="1"/>
    <x v="0"/>
    <n v="2"/>
    <x v="0"/>
    <n v="3"/>
    <x v="451"/>
    <x v="1"/>
    <x v="99"/>
    <n v="97"/>
    <x v="2"/>
    <n v="3"/>
    <x v="1"/>
    <n v="0"/>
  </r>
  <r>
    <s v="C0453"/>
    <n v="35"/>
    <x v="1"/>
    <n v="0"/>
    <x v="0"/>
    <n v="2"/>
    <x v="13"/>
    <n v="3"/>
    <x v="452"/>
    <x v="75"/>
    <x v="54"/>
    <n v="33"/>
    <x v="0"/>
    <n v="1"/>
    <x v="1"/>
    <n v="0"/>
  </r>
  <r>
    <s v="C0454"/>
    <n v="38"/>
    <x v="0"/>
    <n v="1"/>
    <x v="0"/>
    <n v="2"/>
    <x v="8"/>
    <n v="1"/>
    <x v="453"/>
    <x v="79"/>
    <x v="87"/>
    <n v="24"/>
    <x v="0"/>
    <n v="1"/>
    <x v="0"/>
    <n v="1"/>
  </r>
  <r>
    <s v="C0455"/>
    <n v="23"/>
    <x v="1"/>
    <n v="0"/>
    <x v="0"/>
    <n v="2"/>
    <x v="1"/>
    <n v="5"/>
    <x v="454"/>
    <x v="76"/>
    <x v="55"/>
    <n v="3"/>
    <x v="1"/>
    <n v="2"/>
    <x v="1"/>
    <n v="0"/>
  </r>
  <r>
    <s v="C0456"/>
    <n v="22"/>
    <x v="1"/>
    <n v="0"/>
    <x v="0"/>
    <n v="2"/>
    <x v="1"/>
    <n v="3"/>
    <x v="455"/>
    <x v="18"/>
    <x v="25"/>
    <n v="63"/>
    <x v="1"/>
    <n v="2"/>
    <x v="1"/>
    <n v="0"/>
  </r>
  <r>
    <s v="C0457"/>
    <n v="36"/>
    <x v="1"/>
    <n v="0"/>
    <x v="1"/>
    <n v="4"/>
    <x v="4"/>
    <n v="1"/>
    <x v="456"/>
    <x v="32"/>
    <x v="95"/>
    <n v="89"/>
    <x v="1"/>
    <n v="2"/>
    <x v="1"/>
    <n v="0"/>
  </r>
  <r>
    <s v="C0458"/>
    <n v="36"/>
    <x v="1"/>
    <n v="0"/>
    <x v="3"/>
    <n v="3"/>
    <x v="8"/>
    <n v="4"/>
    <x v="457"/>
    <x v="28"/>
    <x v="37"/>
    <n v="15"/>
    <x v="0"/>
    <n v="1"/>
    <x v="0"/>
    <n v="1"/>
  </r>
  <r>
    <s v="C0459"/>
    <n v="31"/>
    <x v="1"/>
    <n v="0"/>
    <x v="0"/>
    <n v="2"/>
    <x v="9"/>
    <n v="3"/>
    <x v="458"/>
    <x v="60"/>
    <x v="50"/>
    <n v="9"/>
    <x v="0"/>
    <n v="1"/>
    <x v="0"/>
    <n v="1"/>
  </r>
  <r>
    <s v="C0460"/>
    <n v="47"/>
    <x v="0"/>
    <n v="1"/>
    <x v="2"/>
    <n v="1"/>
    <x v="11"/>
    <n v="5"/>
    <x v="459"/>
    <x v="83"/>
    <x v="31"/>
    <n v="65"/>
    <x v="1"/>
    <n v="2"/>
    <x v="0"/>
    <n v="1"/>
  </r>
  <r>
    <s v="C0461"/>
    <n v="49"/>
    <x v="0"/>
    <n v="1"/>
    <x v="1"/>
    <n v="4"/>
    <x v="0"/>
    <n v="3"/>
    <x v="460"/>
    <x v="28"/>
    <x v="34"/>
    <n v="34"/>
    <x v="0"/>
    <n v="1"/>
    <x v="0"/>
    <n v="1"/>
  </r>
  <r>
    <s v="C0462"/>
    <n v="48"/>
    <x v="0"/>
    <n v="1"/>
    <x v="1"/>
    <n v="4"/>
    <x v="4"/>
    <n v="4"/>
    <x v="461"/>
    <x v="86"/>
    <x v="30"/>
    <n v="82"/>
    <x v="2"/>
    <n v="3"/>
    <x v="1"/>
    <n v="0"/>
  </r>
  <r>
    <s v="C0463"/>
    <n v="33"/>
    <x v="0"/>
    <n v="1"/>
    <x v="3"/>
    <n v="3"/>
    <x v="1"/>
    <n v="3"/>
    <x v="462"/>
    <x v="89"/>
    <x v="2"/>
    <n v="5"/>
    <x v="0"/>
    <n v="1"/>
    <x v="0"/>
    <n v="1"/>
  </r>
  <r>
    <s v="C0464"/>
    <n v="40"/>
    <x v="1"/>
    <n v="0"/>
    <x v="2"/>
    <n v="1"/>
    <x v="13"/>
    <n v="5"/>
    <x v="463"/>
    <x v="25"/>
    <x v="22"/>
    <n v="18"/>
    <x v="1"/>
    <n v="2"/>
    <x v="1"/>
    <n v="0"/>
  </r>
  <r>
    <s v="C0465"/>
    <n v="25"/>
    <x v="0"/>
    <n v="1"/>
    <x v="2"/>
    <n v="1"/>
    <x v="11"/>
    <n v="1"/>
    <x v="464"/>
    <x v="35"/>
    <x v="10"/>
    <n v="58"/>
    <x v="0"/>
    <n v="1"/>
    <x v="1"/>
    <n v="0"/>
  </r>
  <r>
    <s v="C0466"/>
    <n v="22"/>
    <x v="1"/>
    <n v="0"/>
    <x v="0"/>
    <n v="2"/>
    <x v="0"/>
    <n v="5"/>
    <x v="465"/>
    <x v="55"/>
    <x v="76"/>
    <n v="52"/>
    <x v="0"/>
    <n v="1"/>
    <x v="0"/>
    <n v="1"/>
  </r>
  <r>
    <s v="C0467"/>
    <n v="47"/>
    <x v="0"/>
    <n v="1"/>
    <x v="2"/>
    <n v="1"/>
    <x v="7"/>
    <n v="1"/>
    <x v="466"/>
    <x v="51"/>
    <x v="6"/>
    <n v="7"/>
    <x v="1"/>
    <n v="2"/>
    <x v="1"/>
    <n v="0"/>
  </r>
  <r>
    <s v="C0468"/>
    <n v="28"/>
    <x v="1"/>
    <n v="0"/>
    <x v="0"/>
    <n v="2"/>
    <x v="4"/>
    <n v="2"/>
    <x v="467"/>
    <x v="26"/>
    <x v="89"/>
    <n v="77"/>
    <x v="1"/>
    <n v="2"/>
    <x v="1"/>
    <n v="0"/>
  </r>
  <r>
    <s v="C0469"/>
    <n v="24"/>
    <x v="1"/>
    <n v="0"/>
    <x v="1"/>
    <n v="4"/>
    <x v="11"/>
    <n v="5"/>
    <x v="468"/>
    <x v="55"/>
    <x v="22"/>
    <n v="9"/>
    <x v="0"/>
    <n v="1"/>
    <x v="0"/>
    <n v="1"/>
  </r>
  <r>
    <s v="C0470"/>
    <n v="43"/>
    <x v="0"/>
    <n v="1"/>
    <x v="0"/>
    <n v="2"/>
    <x v="0"/>
    <n v="5"/>
    <x v="469"/>
    <x v="91"/>
    <x v="18"/>
    <n v="66"/>
    <x v="0"/>
    <n v="1"/>
    <x v="0"/>
    <n v="1"/>
  </r>
  <r>
    <s v="C0471"/>
    <n v="48"/>
    <x v="1"/>
    <n v="0"/>
    <x v="2"/>
    <n v="1"/>
    <x v="4"/>
    <n v="4"/>
    <x v="470"/>
    <x v="26"/>
    <x v="18"/>
    <n v="37"/>
    <x v="0"/>
    <n v="1"/>
    <x v="0"/>
    <n v="1"/>
  </r>
  <r>
    <s v="C0472"/>
    <n v="36"/>
    <x v="1"/>
    <n v="0"/>
    <x v="0"/>
    <n v="2"/>
    <x v="13"/>
    <n v="3"/>
    <x v="471"/>
    <x v="2"/>
    <x v="83"/>
    <n v="28"/>
    <x v="1"/>
    <n v="2"/>
    <x v="1"/>
    <n v="0"/>
  </r>
  <r>
    <s v="C0473"/>
    <n v="33"/>
    <x v="0"/>
    <n v="1"/>
    <x v="2"/>
    <n v="1"/>
    <x v="0"/>
    <n v="1"/>
    <x v="472"/>
    <x v="48"/>
    <x v="4"/>
    <n v="14"/>
    <x v="1"/>
    <n v="2"/>
    <x v="1"/>
    <n v="0"/>
  </r>
  <r>
    <s v="C0474"/>
    <n v="40"/>
    <x v="1"/>
    <n v="0"/>
    <x v="2"/>
    <n v="1"/>
    <x v="0"/>
    <n v="1"/>
    <x v="473"/>
    <x v="34"/>
    <x v="55"/>
    <n v="86"/>
    <x v="0"/>
    <n v="1"/>
    <x v="0"/>
    <n v="1"/>
  </r>
  <r>
    <s v="C0475"/>
    <n v="50"/>
    <x v="0"/>
    <n v="1"/>
    <x v="0"/>
    <n v="2"/>
    <x v="6"/>
    <n v="4"/>
    <x v="474"/>
    <x v="62"/>
    <x v="50"/>
    <n v="22"/>
    <x v="1"/>
    <n v="2"/>
    <x v="1"/>
    <n v="0"/>
  </r>
  <r>
    <s v="C0476"/>
    <n v="22"/>
    <x v="0"/>
    <n v="1"/>
    <x v="0"/>
    <n v="2"/>
    <x v="0"/>
    <n v="4"/>
    <x v="475"/>
    <x v="87"/>
    <x v="45"/>
    <n v="81"/>
    <x v="1"/>
    <n v="2"/>
    <x v="1"/>
    <n v="0"/>
  </r>
  <r>
    <s v="C0477"/>
    <n v="47"/>
    <x v="0"/>
    <n v="1"/>
    <x v="3"/>
    <n v="3"/>
    <x v="15"/>
    <n v="3"/>
    <x v="476"/>
    <x v="44"/>
    <x v="48"/>
    <n v="45"/>
    <x v="2"/>
    <n v="3"/>
    <x v="1"/>
    <n v="0"/>
  </r>
  <r>
    <s v="C0478"/>
    <n v="20"/>
    <x v="1"/>
    <n v="0"/>
    <x v="1"/>
    <n v="4"/>
    <x v="12"/>
    <n v="3"/>
    <x v="477"/>
    <x v="92"/>
    <x v="76"/>
    <n v="82"/>
    <x v="2"/>
    <n v="3"/>
    <x v="0"/>
    <n v="1"/>
  </r>
  <r>
    <s v="C0479"/>
    <n v="39"/>
    <x v="1"/>
    <n v="0"/>
    <x v="0"/>
    <n v="2"/>
    <x v="15"/>
    <n v="5"/>
    <x v="478"/>
    <x v="51"/>
    <x v="9"/>
    <n v="27"/>
    <x v="1"/>
    <n v="2"/>
    <x v="1"/>
    <n v="0"/>
  </r>
  <r>
    <s v="C0480"/>
    <n v="50"/>
    <x v="1"/>
    <n v="0"/>
    <x v="0"/>
    <n v="2"/>
    <x v="1"/>
    <n v="2"/>
    <x v="479"/>
    <x v="80"/>
    <x v="18"/>
    <n v="25"/>
    <x v="0"/>
    <n v="1"/>
    <x v="0"/>
    <n v="1"/>
  </r>
  <r>
    <s v="C0481"/>
    <n v="48"/>
    <x v="0"/>
    <n v="1"/>
    <x v="3"/>
    <n v="3"/>
    <x v="7"/>
    <n v="3"/>
    <x v="480"/>
    <x v="29"/>
    <x v="21"/>
    <n v="9"/>
    <x v="0"/>
    <n v="1"/>
    <x v="1"/>
    <n v="0"/>
  </r>
  <r>
    <s v="C0482"/>
    <n v="40"/>
    <x v="1"/>
    <n v="0"/>
    <x v="0"/>
    <n v="2"/>
    <x v="5"/>
    <n v="4"/>
    <x v="481"/>
    <x v="75"/>
    <x v="12"/>
    <n v="46"/>
    <x v="1"/>
    <n v="2"/>
    <x v="1"/>
    <n v="0"/>
  </r>
  <r>
    <s v="C0483"/>
    <n v="42"/>
    <x v="0"/>
    <n v="1"/>
    <x v="2"/>
    <n v="1"/>
    <x v="1"/>
    <n v="3"/>
    <x v="482"/>
    <x v="64"/>
    <x v="92"/>
    <n v="3"/>
    <x v="2"/>
    <n v="3"/>
    <x v="1"/>
    <n v="0"/>
  </r>
  <r>
    <s v="C0484"/>
    <n v="20"/>
    <x v="0"/>
    <n v="1"/>
    <x v="3"/>
    <n v="3"/>
    <x v="13"/>
    <n v="1"/>
    <x v="483"/>
    <x v="82"/>
    <x v="59"/>
    <n v="54"/>
    <x v="1"/>
    <n v="2"/>
    <x v="1"/>
    <n v="0"/>
  </r>
  <r>
    <s v="C0485"/>
    <n v="22"/>
    <x v="1"/>
    <n v="0"/>
    <x v="2"/>
    <n v="1"/>
    <x v="15"/>
    <n v="2"/>
    <x v="484"/>
    <x v="44"/>
    <x v="29"/>
    <n v="65"/>
    <x v="1"/>
    <n v="2"/>
    <x v="1"/>
    <n v="0"/>
  </r>
  <r>
    <s v="C0486"/>
    <n v="37"/>
    <x v="0"/>
    <n v="1"/>
    <x v="0"/>
    <n v="2"/>
    <x v="8"/>
    <n v="5"/>
    <x v="485"/>
    <x v="51"/>
    <x v="98"/>
    <n v="66"/>
    <x v="1"/>
    <n v="2"/>
    <x v="1"/>
    <n v="0"/>
  </r>
  <r>
    <s v="C0487"/>
    <n v="44"/>
    <x v="1"/>
    <n v="0"/>
    <x v="0"/>
    <n v="2"/>
    <x v="11"/>
    <n v="1"/>
    <x v="486"/>
    <x v="95"/>
    <x v="27"/>
    <n v="6"/>
    <x v="1"/>
    <n v="2"/>
    <x v="1"/>
    <n v="0"/>
  </r>
  <r>
    <s v="C0488"/>
    <n v="29"/>
    <x v="1"/>
    <n v="0"/>
    <x v="0"/>
    <n v="2"/>
    <x v="14"/>
    <n v="1"/>
    <x v="487"/>
    <x v="52"/>
    <x v="55"/>
    <n v="54"/>
    <x v="0"/>
    <n v="1"/>
    <x v="0"/>
    <n v="1"/>
  </r>
  <r>
    <s v="C0489"/>
    <n v="50"/>
    <x v="1"/>
    <n v="0"/>
    <x v="0"/>
    <n v="2"/>
    <x v="8"/>
    <n v="2"/>
    <x v="488"/>
    <x v="48"/>
    <x v="5"/>
    <n v="79"/>
    <x v="1"/>
    <n v="2"/>
    <x v="1"/>
    <n v="0"/>
  </r>
  <r>
    <s v="C0490"/>
    <n v="41"/>
    <x v="1"/>
    <n v="0"/>
    <x v="3"/>
    <n v="3"/>
    <x v="12"/>
    <n v="5"/>
    <x v="489"/>
    <x v="38"/>
    <x v="97"/>
    <n v="30"/>
    <x v="0"/>
    <n v="1"/>
    <x v="0"/>
    <n v="1"/>
  </r>
  <r>
    <s v="C0491"/>
    <n v="45"/>
    <x v="1"/>
    <n v="0"/>
    <x v="2"/>
    <n v="1"/>
    <x v="3"/>
    <n v="4"/>
    <x v="490"/>
    <x v="91"/>
    <x v="47"/>
    <n v="73"/>
    <x v="0"/>
    <n v="1"/>
    <x v="1"/>
    <n v="0"/>
  </r>
  <r>
    <s v="C0492"/>
    <n v="22"/>
    <x v="0"/>
    <n v="1"/>
    <x v="0"/>
    <n v="2"/>
    <x v="14"/>
    <n v="5"/>
    <x v="491"/>
    <x v="61"/>
    <x v="14"/>
    <n v="18"/>
    <x v="1"/>
    <n v="2"/>
    <x v="1"/>
    <n v="0"/>
  </r>
  <r>
    <s v="C0493"/>
    <n v="27"/>
    <x v="0"/>
    <n v="1"/>
    <x v="3"/>
    <n v="3"/>
    <x v="12"/>
    <n v="3"/>
    <x v="492"/>
    <x v="28"/>
    <x v="96"/>
    <n v="27"/>
    <x v="0"/>
    <n v="1"/>
    <x v="0"/>
    <n v="1"/>
  </r>
  <r>
    <s v="C0494"/>
    <n v="33"/>
    <x v="0"/>
    <n v="1"/>
    <x v="0"/>
    <n v="2"/>
    <x v="9"/>
    <n v="1"/>
    <x v="493"/>
    <x v="34"/>
    <x v="86"/>
    <n v="80"/>
    <x v="0"/>
    <n v="1"/>
    <x v="0"/>
    <n v="1"/>
  </r>
  <r>
    <s v="C0495"/>
    <n v="43"/>
    <x v="1"/>
    <n v="0"/>
    <x v="2"/>
    <n v="1"/>
    <x v="9"/>
    <n v="3"/>
    <x v="494"/>
    <x v="76"/>
    <x v="32"/>
    <n v="27"/>
    <x v="0"/>
    <n v="1"/>
    <x v="1"/>
    <n v="0"/>
  </r>
  <r>
    <s v="C0496"/>
    <n v="37"/>
    <x v="1"/>
    <n v="0"/>
    <x v="3"/>
    <n v="3"/>
    <x v="0"/>
    <n v="4"/>
    <x v="495"/>
    <x v="94"/>
    <x v="28"/>
    <n v="18"/>
    <x v="2"/>
    <n v="3"/>
    <x v="1"/>
    <n v="0"/>
  </r>
  <r>
    <s v="C0497"/>
    <n v="34"/>
    <x v="1"/>
    <n v="0"/>
    <x v="0"/>
    <n v="2"/>
    <x v="1"/>
    <n v="3"/>
    <x v="496"/>
    <x v="23"/>
    <x v="98"/>
    <n v="100"/>
    <x v="1"/>
    <n v="2"/>
    <x v="1"/>
    <n v="0"/>
  </r>
  <r>
    <s v="C0498"/>
    <n v="41"/>
    <x v="0"/>
    <n v="1"/>
    <x v="3"/>
    <n v="3"/>
    <x v="12"/>
    <n v="5"/>
    <x v="497"/>
    <x v="58"/>
    <x v="96"/>
    <n v="86"/>
    <x v="0"/>
    <n v="1"/>
    <x v="0"/>
    <n v="1"/>
  </r>
  <r>
    <s v="C0499"/>
    <n v="42"/>
    <x v="1"/>
    <n v="0"/>
    <x v="3"/>
    <n v="3"/>
    <x v="3"/>
    <n v="3"/>
    <x v="498"/>
    <x v="82"/>
    <x v="42"/>
    <n v="19"/>
    <x v="1"/>
    <n v="2"/>
    <x v="1"/>
    <n v="0"/>
  </r>
  <r>
    <s v="C0500"/>
    <n v="21"/>
    <x v="0"/>
    <n v="1"/>
    <x v="0"/>
    <n v="2"/>
    <x v="8"/>
    <n v="4"/>
    <x v="499"/>
    <x v="22"/>
    <x v="33"/>
    <n v="12"/>
    <x v="0"/>
    <n v="1"/>
    <x v="1"/>
    <n v="0"/>
  </r>
  <r>
    <s v="C0501"/>
    <n v="50"/>
    <x v="0"/>
    <n v="1"/>
    <x v="0"/>
    <n v="2"/>
    <x v="12"/>
    <n v="4"/>
    <x v="500"/>
    <x v="65"/>
    <x v="57"/>
    <n v="76"/>
    <x v="1"/>
    <n v="2"/>
    <x v="1"/>
    <n v="0"/>
  </r>
  <r>
    <s v="C0502"/>
    <n v="46"/>
    <x v="1"/>
    <n v="0"/>
    <x v="1"/>
    <n v="4"/>
    <x v="7"/>
    <n v="4"/>
    <x v="501"/>
    <x v="13"/>
    <x v="85"/>
    <n v="42"/>
    <x v="1"/>
    <n v="2"/>
    <x v="1"/>
    <n v="0"/>
  </r>
  <r>
    <s v="C0503"/>
    <n v="29"/>
    <x v="1"/>
    <n v="0"/>
    <x v="2"/>
    <n v="1"/>
    <x v="14"/>
    <n v="5"/>
    <x v="502"/>
    <x v="76"/>
    <x v="91"/>
    <n v="10"/>
    <x v="2"/>
    <n v="3"/>
    <x v="1"/>
    <n v="0"/>
  </r>
  <r>
    <s v="C0504"/>
    <n v="21"/>
    <x v="0"/>
    <n v="1"/>
    <x v="3"/>
    <n v="3"/>
    <x v="7"/>
    <n v="4"/>
    <x v="503"/>
    <x v="89"/>
    <x v="57"/>
    <n v="47"/>
    <x v="1"/>
    <n v="2"/>
    <x v="1"/>
    <n v="0"/>
  </r>
  <r>
    <s v="C0505"/>
    <n v="45"/>
    <x v="1"/>
    <n v="0"/>
    <x v="2"/>
    <n v="1"/>
    <x v="3"/>
    <n v="1"/>
    <x v="504"/>
    <x v="100"/>
    <x v="5"/>
    <n v="14"/>
    <x v="2"/>
    <n v="3"/>
    <x v="1"/>
    <n v="0"/>
  </r>
  <r>
    <s v="C0506"/>
    <n v="36"/>
    <x v="0"/>
    <n v="1"/>
    <x v="0"/>
    <n v="2"/>
    <x v="12"/>
    <n v="4"/>
    <x v="505"/>
    <x v="74"/>
    <x v="45"/>
    <n v="16"/>
    <x v="2"/>
    <n v="3"/>
    <x v="1"/>
    <n v="0"/>
  </r>
  <r>
    <s v="C0507"/>
    <n v="27"/>
    <x v="1"/>
    <n v="0"/>
    <x v="0"/>
    <n v="2"/>
    <x v="4"/>
    <n v="3"/>
    <x v="506"/>
    <x v="44"/>
    <x v="90"/>
    <n v="53"/>
    <x v="2"/>
    <n v="3"/>
    <x v="1"/>
    <n v="0"/>
  </r>
  <r>
    <s v="C0508"/>
    <n v="20"/>
    <x v="1"/>
    <n v="0"/>
    <x v="1"/>
    <n v="4"/>
    <x v="6"/>
    <n v="3"/>
    <x v="507"/>
    <x v="81"/>
    <x v="71"/>
    <n v="49"/>
    <x v="1"/>
    <n v="2"/>
    <x v="1"/>
    <n v="0"/>
  </r>
  <r>
    <s v="C0509"/>
    <n v="28"/>
    <x v="0"/>
    <n v="1"/>
    <x v="1"/>
    <n v="4"/>
    <x v="1"/>
    <n v="3"/>
    <x v="508"/>
    <x v="31"/>
    <x v="2"/>
    <n v="27"/>
    <x v="1"/>
    <n v="2"/>
    <x v="1"/>
    <n v="0"/>
  </r>
  <r>
    <s v="C0510"/>
    <n v="30"/>
    <x v="1"/>
    <n v="0"/>
    <x v="2"/>
    <n v="1"/>
    <x v="7"/>
    <n v="5"/>
    <x v="509"/>
    <x v="8"/>
    <x v="85"/>
    <n v="82"/>
    <x v="1"/>
    <n v="2"/>
    <x v="1"/>
    <n v="0"/>
  </r>
  <r>
    <s v="C0511"/>
    <n v="41"/>
    <x v="0"/>
    <n v="1"/>
    <x v="2"/>
    <n v="1"/>
    <x v="7"/>
    <n v="3"/>
    <x v="510"/>
    <x v="14"/>
    <x v="75"/>
    <n v="3"/>
    <x v="0"/>
    <n v="1"/>
    <x v="0"/>
    <n v="1"/>
  </r>
  <r>
    <s v="C0512"/>
    <n v="35"/>
    <x v="1"/>
    <n v="0"/>
    <x v="3"/>
    <n v="3"/>
    <x v="10"/>
    <n v="5"/>
    <x v="511"/>
    <x v="51"/>
    <x v="83"/>
    <n v="21"/>
    <x v="0"/>
    <n v="1"/>
    <x v="1"/>
    <n v="0"/>
  </r>
  <r>
    <s v="C0513"/>
    <n v="26"/>
    <x v="0"/>
    <n v="1"/>
    <x v="0"/>
    <n v="2"/>
    <x v="12"/>
    <n v="5"/>
    <x v="512"/>
    <x v="41"/>
    <x v="29"/>
    <n v="85"/>
    <x v="1"/>
    <n v="2"/>
    <x v="1"/>
    <n v="0"/>
  </r>
  <r>
    <s v="C0514"/>
    <n v="48"/>
    <x v="0"/>
    <n v="1"/>
    <x v="2"/>
    <n v="1"/>
    <x v="1"/>
    <n v="4"/>
    <x v="513"/>
    <x v="2"/>
    <x v="84"/>
    <n v="100"/>
    <x v="1"/>
    <n v="2"/>
    <x v="1"/>
    <n v="0"/>
  </r>
  <r>
    <s v="C0515"/>
    <n v="29"/>
    <x v="1"/>
    <n v="0"/>
    <x v="0"/>
    <n v="2"/>
    <x v="5"/>
    <n v="1"/>
    <x v="514"/>
    <x v="38"/>
    <x v="61"/>
    <n v="38"/>
    <x v="2"/>
    <n v="3"/>
    <x v="1"/>
    <n v="0"/>
  </r>
  <r>
    <s v="C0516"/>
    <n v="42"/>
    <x v="0"/>
    <n v="1"/>
    <x v="0"/>
    <n v="2"/>
    <x v="7"/>
    <n v="4"/>
    <x v="515"/>
    <x v="96"/>
    <x v="18"/>
    <n v="33"/>
    <x v="0"/>
    <n v="1"/>
    <x v="1"/>
    <n v="0"/>
  </r>
  <r>
    <s v="C0517"/>
    <n v="45"/>
    <x v="1"/>
    <n v="0"/>
    <x v="1"/>
    <n v="4"/>
    <x v="15"/>
    <n v="4"/>
    <x v="516"/>
    <x v="84"/>
    <x v="59"/>
    <n v="96"/>
    <x v="0"/>
    <n v="1"/>
    <x v="0"/>
    <n v="1"/>
  </r>
  <r>
    <s v="C0518"/>
    <n v="22"/>
    <x v="1"/>
    <n v="0"/>
    <x v="0"/>
    <n v="2"/>
    <x v="13"/>
    <n v="5"/>
    <x v="517"/>
    <x v="93"/>
    <x v="35"/>
    <n v="43"/>
    <x v="1"/>
    <n v="2"/>
    <x v="1"/>
    <n v="0"/>
  </r>
  <r>
    <s v="C0519"/>
    <n v="37"/>
    <x v="1"/>
    <n v="0"/>
    <x v="0"/>
    <n v="2"/>
    <x v="6"/>
    <n v="5"/>
    <x v="518"/>
    <x v="43"/>
    <x v="29"/>
    <n v="41"/>
    <x v="1"/>
    <n v="2"/>
    <x v="1"/>
    <n v="0"/>
  </r>
  <r>
    <s v="C0520"/>
    <n v="44"/>
    <x v="0"/>
    <n v="1"/>
    <x v="0"/>
    <n v="2"/>
    <x v="6"/>
    <n v="3"/>
    <x v="519"/>
    <x v="47"/>
    <x v="19"/>
    <n v="39"/>
    <x v="0"/>
    <n v="1"/>
    <x v="0"/>
    <n v="1"/>
  </r>
  <r>
    <s v="C0521"/>
    <n v="43"/>
    <x v="0"/>
    <n v="1"/>
    <x v="3"/>
    <n v="3"/>
    <x v="12"/>
    <n v="3"/>
    <x v="520"/>
    <x v="94"/>
    <x v="47"/>
    <n v="96"/>
    <x v="2"/>
    <n v="3"/>
    <x v="0"/>
    <n v="1"/>
  </r>
  <r>
    <s v="C0522"/>
    <n v="32"/>
    <x v="1"/>
    <n v="0"/>
    <x v="0"/>
    <n v="2"/>
    <x v="9"/>
    <n v="4"/>
    <x v="521"/>
    <x v="58"/>
    <x v="3"/>
    <n v="11"/>
    <x v="1"/>
    <n v="2"/>
    <x v="1"/>
    <n v="0"/>
  </r>
  <r>
    <s v="C0523"/>
    <n v="47"/>
    <x v="1"/>
    <n v="0"/>
    <x v="0"/>
    <n v="2"/>
    <x v="10"/>
    <n v="2"/>
    <x v="522"/>
    <x v="30"/>
    <x v="75"/>
    <n v="1"/>
    <x v="1"/>
    <n v="2"/>
    <x v="1"/>
    <n v="0"/>
  </r>
  <r>
    <s v="C0524"/>
    <n v="45"/>
    <x v="0"/>
    <n v="1"/>
    <x v="0"/>
    <n v="2"/>
    <x v="7"/>
    <n v="2"/>
    <x v="523"/>
    <x v="92"/>
    <x v="30"/>
    <n v="27"/>
    <x v="2"/>
    <n v="3"/>
    <x v="1"/>
    <n v="0"/>
  </r>
  <r>
    <s v="C0525"/>
    <n v="26"/>
    <x v="1"/>
    <n v="0"/>
    <x v="3"/>
    <n v="3"/>
    <x v="8"/>
    <n v="3"/>
    <x v="524"/>
    <x v="75"/>
    <x v="69"/>
    <n v="73"/>
    <x v="1"/>
    <n v="2"/>
    <x v="1"/>
    <n v="0"/>
  </r>
  <r>
    <s v="C0526"/>
    <n v="44"/>
    <x v="1"/>
    <n v="0"/>
    <x v="0"/>
    <n v="2"/>
    <x v="8"/>
    <n v="2"/>
    <x v="525"/>
    <x v="14"/>
    <x v="52"/>
    <n v="85"/>
    <x v="1"/>
    <n v="2"/>
    <x v="1"/>
    <n v="0"/>
  </r>
  <r>
    <s v="C0527"/>
    <n v="23"/>
    <x v="0"/>
    <n v="1"/>
    <x v="2"/>
    <n v="1"/>
    <x v="10"/>
    <n v="3"/>
    <x v="526"/>
    <x v="33"/>
    <x v="37"/>
    <n v="80"/>
    <x v="2"/>
    <n v="3"/>
    <x v="1"/>
    <n v="0"/>
  </r>
  <r>
    <s v="C0528"/>
    <n v="32"/>
    <x v="1"/>
    <n v="0"/>
    <x v="0"/>
    <n v="2"/>
    <x v="8"/>
    <n v="5"/>
    <x v="527"/>
    <x v="3"/>
    <x v="11"/>
    <n v="89"/>
    <x v="0"/>
    <n v="1"/>
    <x v="0"/>
    <n v="1"/>
  </r>
  <r>
    <s v="C0529"/>
    <n v="39"/>
    <x v="0"/>
    <n v="1"/>
    <x v="0"/>
    <n v="2"/>
    <x v="9"/>
    <n v="4"/>
    <x v="528"/>
    <x v="91"/>
    <x v="29"/>
    <n v="66"/>
    <x v="1"/>
    <n v="2"/>
    <x v="1"/>
    <n v="0"/>
  </r>
  <r>
    <s v="C0530"/>
    <n v="20"/>
    <x v="1"/>
    <n v="0"/>
    <x v="2"/>
    <n v="1"/>
    <x v="3"/>
    <n v="1"/>
    <x v="529"/>
    <x v="62"/>
    <x v="18"/>
    <n v="70"/>
    <x v="0"/>
    <n v="1"/>
    <x v="0"/>
    <n v="1"/>
  </r>
  <r>
    <s v="C0531"/>
    <n v="27"/>
    <x v="0"/>
    <n v="1"/>
    <x v="3"/>
    <n v="3"/>
    <x v="3"/>
    <n v="4"/>
    <x v="530"/>
    <x v="19"/>
    <x v="5"/>
    <n v="71"/>
    <x v="0"/>
    <n v="1"/>
    <x v="0"/>
    <n v="1"/>
  </r>
  <r>
    <s v="C0532"/>
    <n v="33"/>
    <x v="1"/>
    <n v="0"/>
    <x v="0"/>
    <n v="2"/>
    <x v="14"/>
    <n v="3"/>
    <x v="531"/>
    <x v="95"/>
    <x v="86"/>
    <n v="83"/>
    <x v="2"/>
    <n v="3"/>
    <x v="1"/>
    <n v="0"/>
  </r>
  <r>
    <s v="C0533"/>
    <n v="35"/>
    <x v="1"/>
    <n v="0"/>
    <x v="3"/>
    <n v="3"/>
    <x v="5"/>
    <n v="3"/>
    <x v="532"/>
    <x v="6"/>
    <x v="97"/>
    <n v="75"/>
    <x v="1"/>
    <n v="2"/>
    <x v="1"/>
    <n v="0"/>
  </r>
  <r>
    <s v="C0534"/>
    <n v="33"/>
    <x v="0"/>
    <n v="1"/>
    <x v="0"/>
    <n v="2"/>
    <x v="12"/>
    <n v="4"/>
    <x v="533"/>
    <x v="68"/>
    <x v="40"/>
    <n v="98"/>
    <x v="1"/>
    <n v="2"/>
    <x v="1"/>
    <n v="0"/>
  </r>
  <r>
    <s v="C0535"/>
    <n v="31"/>
    <x v="1"/>
    <n v="0"/>
    <x v="3"/>
    <n v="3"/>
    <x v="9"/>
    <n v="3"/>
    <x v="534"/>
    <x v="98"/>
    <x v="98"/>
    <n v="80"/>
    <x v="2"/>
    <n v="3"/>
    <x v="0"/>
    <n v="1"/>
  </r>
  <r>
    <s v="C0536"/>
    <n v="38"/>
    <x v="0"/>
    <n v="1"/>
    <x v="2"/>
    <n v="1"/>
    <x v="2"/>
    <n v="2"/>
    <x v="535"/>
    <x v="60"/>
    <x v="88"/>
    <n v="91"/>
    <x v="2"/>
    <n v="3"/>
    <x v="1"/>
    <n v="0"/>
  </r>
  <r>
    <s v="C0537"/>
    <n v="42"/>
    <x v="1"/>
    <n v="0"/>
    <x v="0"/>
    <n v="2"/>
    <x v="5"/>
    <n v="2"/>
    <x v="536"/>
    <x v="80"/>
    <x v="27"/>
    <n v="9"/>
    <x v="2"/>
    <n v="3"/>
    <x v="1"/>
    <n v="0"/>
  </r>
  <r>
    <s v="C0538"/>
    <n v="34"/>
    <x v="0"/>
    <n v="1"/>
    <x v="1"/>
    <n v="4"/>
    <x v="14"/>
    <n v="3"/>
    <x v="537"/>
    <x v="83"/>
    <x v="98"/>
    <n v="85"/>
    <x v="1"/>
    <n v="2"/>
    <x v="0"/>
    <n v="1"/>
  </r>
  <r>
    <s v="C0539"/>
    <n v="47"/>
    <x v="0"/>
    <n v="1"/>
    <x v="3"/>
    <n v="3"/>
    <x v="2"/>
    <n v="3"/>
    <x v="538"/>
    <x v="70"/>
    <x v="81"/>
    <n v="56"/>
    <x v="1"/>
    <n v="2"/>
    <x v="1"/>
    <n v="0"/>
  </r>
  <r>
    <s v="C0540"/>
    <n v="21"/>
    <x v="0"/>
    <n v="1"/>
    <x v="0"/>
    <n v="2"/>
    <x v="12"/>
    <n v="2"/>
    <x v="539"/>
    <x v="29"/>
    <x v="46"/>
    <n v="96"/>
    <x v="0"/>
    <n v="1"/>
    <x v="0"/>
    <n v="1"/>
  </r>
  <r>
    <s v="C0541"/>
    <n v="21"/>
    <x v="0"/>
    <n v="1"/>
    <x v="0"/>
    <n v="2"/>
    <x v="0"/>
    <n v="3"/>
    <x v="540"/>
    <x v="77"/>
    <x v="99"/>
    <n v="85"/>
    <x v="1"/>
    <n v="2"/>
    <x v="1"/>
    <n v="0"/>
  </r>
  <r>
    <s v="C0542"/>
    <n v="42"/>
    <x v="1"/>
    <n v="0"/>
    <x v="3"/>
    <n v="3"/>
    <x v="1"/>
    <n v="3"/>
    <x v="541"/>
    <x v="70"/>
    <x v="93"/>
    <n v="36"/>
    <x v="1"/>
    <n v="2"/>
    <x v="0"/>
    <n v="1"/>
  </r>
  <r>
    <s v="C0543"/>
    <n v="50"/>
    <x v="1"/>
    <n v="0"/>
    <x v="0"/>
    <n v="2"/>
    <x v="10"/>
    <n v="4"/>
    <x v="542"/>
    <x v="10"/>
    <x v="83"/>
    <n v="76"/>
    <x v="1"/>
    <n v="2"/>
    <x v="1"/>
    <n v="0"/>
  </r>
  <r>
    <s v="C0544"/>
    <n v="41"/>
    <x v="0"/>
    <n v="1"/>
    <x v="3"/>
    <n v="3"/>
    <x v="10"/>
    <n v="1"/>
    <x v="543"/>
    <x v="71"/>
    <x v="99"/>
    <n v="90"/>
    <x v="1"/>
    <n v="2"/>
    <x v="1"/>
    <n v="0"/>
  </r>
  <r>
    <s v="C0545"/>
    <n v="38"/>
    <x v="0"/>
    <n v="1"/>
    <x v="3"/>
    <n v="3"/>
    <x v="1"/>
    <n v="2"/>
    <x v="544"/>
    <x v="43"/>
    <x v="74"/>
    <n v="63"/>
    <x v="2"/>
    <n v="3"/>
    <x v="0"/>
    <n v="1"/>
  </r>
  <r>
    <s v="C0546"/>
    <n v="44"/>
    <x v="0"/>
    <n v="1"/>
    <x v="2"/>
    <n v="1"/>
    <x v="1"/>
    <n v="4"/>
    <x v="545"/>
    <x v="33"/>
    <x v="42"/>
    <n v="78"/>
    <x v="1"/>
    <n v="2"/>
    <x v="1"/>
    <n v="0"/>
  </r>
  <r>
    <s v="C0547"/>
    <n v="45"/>
    <x v="1"/>
    <n v="0"/>
    <x v="2"/>
    <n v="1"/>
    <x v="3"/>
    <n v="1"/>
    <x v="546"/>
    <x v="10"/>
    <x v="25"/>
    <n v="85"/>
    <x v="1"/>
    <n v="2"/>
    <x v="1"/>
    <n v="0"/>
  </r>
  <r>
    <s v="C0548"/>
    <n v="50"/>
    <x v="1"/>
    <n v="0"/>
    <x v="0"/>
    <n v="2"/>
    <x v="5"/>
    <n v="3"/>
    <x v="547"/>
    <x v="36"/>
    <x v="81"/>
    <n v="93"/>
    <x v="1"/>
    <n v="2"/>
    <x v="1"/>
    <n v="0"/>
  </r>
  <r>
    <s v="C0549"/>
    <n v="49"/>
    <x v="1"/>
    <n v="0"/>
    <x v="2"/>
    <n v="1"/>
    <x v="2"/>
    <n v="3"/>
    <x v="548"/>
    <x v="97"/>
    <x v="27"/>
    <n v="39"/>
    <x v="0"/>
    <n v="1"/>
    <x v="1"/>
    <n v="0"/>
  </r>
  <r>
    <s v="C0550"/>
    <n v="48"/>
    <x v="1"/>
    <n v="0"/>
    <x v="0"/>
    <n v="2"/>
    <x v="8"/>
    <n v="4"/>
    <x v="549"/>
    <x v="37"/>
    <x v="48"/>
    <n v="100"/>
    <x v="0"/>
    <n v="1"/>
    <x v="0"/>
    <n v="1"/>
  </r>
  <r>
    <s v="C0551"/>
    <n v="41"/>
    <x v="0"/>
    <n v="1"/>
    <x v="1"/>
    <n v="4"/>
    <x v="1"/>
    <n v="3"/>
    <x v="550"/>
    <x v="83"/>
    <x v="71"/>
    <n v="97"/>
    <x v="1"/>
    <n v="2"/>
    <x v="0"/>
    <n v="1"/>
  </r>
  <r>
    <s v="C0552"/>
    <n v="45"/>
    <x v="0"/>
    <n v="1"/>
    <x v="0"/>
    <n v="2"/>
    <x v="15"/>
    <n v="5"/>
    <x v="551"/>
    <x v="91"/>
    <x v="24"/>
    <n v="59"/>
    <x v="0"/>
    <n v="1"/>
    <x v="0"/>
    <n v="1"/>
  </r>
  <r>
    <s v="C0553"/>
    <n v="45"/>
    <x v="0"/>
    <n v="1"/>
    <x v="3"/>
    <n v="3"/>
    <x v="11"/>
    <n v="4"/>
    <x v="552"/>
    <x v="85"/>
    <x v="27"/>
    <n v="97"/>
    <x v="1"/>
    <n v="2"/>
    <x v="0"/>
    <n v="1"/>
  </r>
  <r>
    <s v="C0554"/>
    <n v="41"/>
    <x v="1"/>
    <n v="0"/>
    <x v="0"/>
    <n v="2"/>
    <x v="1"/>
    <n v="1"/>
    <x v="553"/>
    <x v="75"/>
    <x v="13"/>
    <n v="47"/>
    <x v="1"/>
    <n v="2"/>
    <x v="1"/>
    <n v="0"/>
  </r>
  <r>
    <s v="C0555"/>
    <n v="36"/>
    <x v="1"/>
    <n v="0"/>
    <x v="0"/>
    <n v="2"/>
    <x v="7"/>
    <n v="4"/>
    <x v="554"/>
    <x v="84"/>
    <x v="59"/>
    <n v="98"/>
    <x v="0"/>
    <n v="1"/>
    <x v="0"/>
    <n v="1"/>
  </r>
  <r>
    <s v="C0556"/>
    <n v="39"/>
    <x v="1"/>
    <n v="0"/>
    <x v="2"/>
    <n v="1"/>
    <x v="7"/>
    <n v="2"/>
    <x v="555"/>
    <x v="22"/>
    <x v="79"/>
    <n v="18"/>
    <x v="0"/>
    <n v="1"/>
    <x v="1"/>
    <n v="0"/>
  </r>
  <r>
    <s v="C0557"/>
    <n v="29"/>
    <x v="0"/>
    <n v="1"/>
    <x v="0"/>
    <n v="2"/>
    <x v="7"/>
    <n v="4"/>
    <x v="556"/>
    <x v="34"/>
    <x v="61"/>
    <n v="71"/>
    <x v="1"/>
    <n v="2"/>
    <x v="1"/>
    <n v="0"/>
  </r>
  <r>
    <s v="C0558"/>
    <n v="25"/>
    <x v="0"/>
    <n v="1"/>
    <x v="0"/>
    <n v="2"/>
    <x v="3"/>
    <n v="3"/>
    <x v="557"/>
    <x v="59"/>
    <x v="100"/>
    <n v="32"/>
    <x v="1"/>
    <n v="2"/>
    <x v="1"/>
    <n v="0"/>
  </r>
  <r>
    <s v="C0559"/>
    <n v="34"/>
    <x v="1"/>
    <n v="0"/>
    <x v="0"/>
    <n v="2"/>
    <x v="6"/>
    <n v="3"/>
    <x v="558"/>
    <x v="39"/>
    <x v="33"/>
    <n v="43"/>
    <x v="1"/>
    <n v="2"/>
    <x v="1"/>
    <n v="0"/>
  </r>
  <r>
    <s v="C0560"/>
    <n v="41"/>
    <x v="0"/>
    <n v="1"/>
    <x v="3"/>
    <n v="3"/>
    <x v="8"/>
    <n v="5"/>
    <x v="559"/>
    <x v="41"/>
    <x v="75"/>
    <n v="91"/>
    <x v="1"/>
    <n v="2"/>
    <x v="0"/>
    <n v="1"/>
  </r>
  <r>
    <s v="C0561"/>
    <n v="30"/>
    <x v="1"/>
    <n v="0"/>
    <x v="0"/>
    <n v="2"/>
    <x v="9"/>
    <n v="5"/>
    <x v="560"/>
    <x v="70"/>
    <x v="66"/>
    <n v="36"/>
    <x v="1"/>
    <n v="2"/>
    <x v="1"/>
    <n v="0"/>
  </r>
  <r>
    <s v="C0562"/>
    <n v="47"/>
    <x v="1"/>
    <n v="0"/>
    <x v="0"/>
    <n v="2"/>
    <x v="15"/>
    <n v="5"/>
    <x v="561"/>
    <x v="67"/>
    <x v="38"/>
    <n v="88"/>
    <x v="2"/>
    <n v="3"/>
    <x v="1"/>
    <n v="0"/>
  </r>
  <r>
    <s v="C0563"/>
    <n v="24"/>
    <x v="0"/>
    <n v="1"/>
    <x v="0"/>
    <n v="2"/>
    <x v="4"/>
    <n v="1"/>
    <x v="562"/>
    <x v="93"/>
    <x v="45"/>
    <n v="35"/>
    <x v="1"/>
    <n v="2"/>
    <x v="1"/>
    <n v="0"/>
  </r>
  <r>
    <s v="C0564"/>
    <n v="20"/>
    <x v="1"/>
    <n v="0"/>
    <x v="2"/>
    <n v="1"/>
    <x v="6"/>
    <n v="5"/>
    <x v="563"/>
    <x v="40"/>
    <x v="51"/>
    <n v="80"/>
    <x v="2"/>
    <n v="3"/>
    <x v="1"/>
    <n v="0"/>
  </r>
  <r>
    <s v="C0565"/>
    <n v="27"/>
    <x v="0"/>
    <n v="1"/>
    <x v="0"/>
    <n v="2"/>
    <x v="2"/>
    <n v="1"/>
    <x v="564"/>
    <x v="88"/>
    <x v="68"/>
    <n v="87"/>
    <x v="0"/>
    <n v="1"/>
    <x v="0"/>
    <n v="1"/>
  </r>
  <r>
    <s v="C0566"/>
    <n v="40"/>
    <x v="1"/>
    <n v="0"/>
    <x v="2"/>
    <n v="1"/>
    <x v="15"/>
    <n v="5"/>
    <x v="565"/>
    <x v="13"/>
    <x v="7"/>
    <n v="20"/>
    <x v="1"/>
    <n v="2"/>
    <x v="1"/>
    <n v="0"/>
  </r>
  <r>
    <s v="C0567"/>
    <n v="47"/>
    <x v="0"/>
    <n v="1"/>
    <x v="2"/>
    <n v="1"/>
    <x v="14"/>
    <n v="1"/>
    <x v="566"/>
    <x v="77"/>
    <x v="97"/>
    <n v="1"/>
    <x v="1"/>
    <n v="2"/>
    <x v="1"/>
    <n v="0"/>
  </r>
  <r>
    <s v="C0568"/>
    <n v="31"/>
    <x v="0"/>
    <n v="1"/>
    <x v="2"/>
    <n v="1"/>
    <x v="2"/>
    <n v="4"/>
    <x v="567"/>
    <x v="92"/>
    <x v="86"/>
    <n v="30"/>
    <x v="0"/>
    <n v="1"/>
    <x v="1"/>
    <n v="0"/>
  </r>
  <r>
    <s v="C0569"/>
    <n v="31"/>
    <x v="0"/>
    <n v="1"/>
    <x v="0"/>
    <n v="2"/>
    <x v="15"/>
    <n v="4"/>
    <x v="568"/>
    <x v="92"/>
    <x v="32"/>
    <n v="96"/>
    <x v="0"/>
    <n v="1"/>
    <x v="0"/>
    <n v="1"/>
  </r>
  <r>
    <s v="C0570"/>
    <n v="24"/>
    <x v="1"/>
    <n v="0"/>
    <x v="3"/>
    <n v="3"/>
    <x v="11"/>
    <n v="3"/>
    <x v="569"/>
    <x v="2"/>
    <x v="57"/>
    <n v="29"/>
    <x v="1"/>
    <n v="2"/>
    <x v="1"/>
    <n v="0"/>
  </r>
  <r>
    <s v="C0571"/>
    <n v="26"/>
    <x v="1"/>
    <n v="0"/>
    <x v="0"/>
    <n v="2"/>
    <x v="5"/>
    <n v="1"/>
    <x v="570"/>
    <x v="55"/>
    <x v="51"/>
    <n v="75"/>
    <x v="0"/>
    <n v="1"/>
    <x v="0"/>
    <n v="1"/>
  </r>
  <r>
    <s v="C0572"/>
    <n v="23"/>
    <x v="0"/>
    <n v="1"/>
    <x v="0"/>
    <n v="2"/>
    <x v="15"/>
    <n v="2"/>
    <x v="571"/>
    <x v="21"/>
    <x v="66"/>
    <n v="43"/>
    <x v="0"/>
    <n v="1"/>
    <x v="1"/>
    <n v="0"/>
  </r>
  <r>
    <s v="C0573"/>
    <n v="25"/>
    <x v="0"/>
    <n v="1"/>
    <x v="0"/>
    <n v="2"/>
    <x v="8"/>
    <n v="3"/>
    <x v="572"/>
    <x v="84"/>
    <x v="10"/>
    <n v="11"/>
    <x v="2"/>
    <n v="3"/>
    <x v="1"/>
    <n v="0"/>
  </r>
  <r>
    <s v="C0574"/>
    <n v="32"/>
    <x v="1"/>
    <n v="0"/>
    <x v="2"/>
    <n v="1"/>
    <x v="15"/>
    <n v="4"/>
    <x v="573"/>
    <x v="70"/>
    <x v="34"/>
    <n v="50"/>
    <x v="2"/>
    <n v="3"/>
    <x v="1"/>
    <n v="0"/>
  </r>
  <r>
    <s v="C0575"/>
    <n v="39"/>
    <x v="1"/>
    <n v="0"/>
    <x v="3"/>
    <n v="3"/>
    <x v="6"/>
    <n v="1"/>
    <x v="574"/>
    <x v="82"/>
    <x v="80"/>
    <n v="48"/>
    <x v="1"/>
    <n v="2"/>
    <x v="0"/>
    <n v="1"/>
  </r>
  <r>
    <s v="C0576"/>
    <n v="49"/>
    <x v="1"/>
    <n v="0"/>
    <x v="0"/>
    <n v="2"/>
    <x v="15"/>
    <n v="5"/>
    <x v="575"/>
    <x v="45"/>
    <x v="76"/>
    <n v="23"/>
    <x v="1"/>
    <n v="2"/>
    <x v="1"/>
    <n v="0"/>
  </r>
  <r>
    <s v="C0577"/>
    <n v="34"/>
    <x v="0"/>
    <n v="1"/>
    <x v="0"/>
    <n v="2"/>
    <x v="10"/>
    <n v="2"/>
    <x v="576"/>
    <x v="47"/>
    <x v="23"/>
    <n v="23"/>
    <x v="2"/>
    <n v="3"/>
    <x v="1"/>
    <n v="0"/>
  </r>
  <r>
    <s v="C0578"/>
    <n v="22"/>
    <x v="1"/>
    <n v="0"/>
    <x v="0"/>
    <n v="2"/>
    <x v="6"/>
    <n v="4"/>
    <x v="577"/>
    <x v="14"/>
    <x v="32"/>
    <n v="59"/>
    <x v="1"/>
    <n v="2"/>
    <x v="1"/>
    <n v="0"/>
  </r>
  <r>
    <s v="C0579"/>
    <n v="42"/>
    <x v="1"/>
    <n v="0"/>
    <x v="2"/>
    <n v="1"/>
    <x v="8"/>
    <n v="3"/>
    <x v="578"/>
    <x v="31"/>
    <x v="46"/>
    <n v="10"/>
    <x v="0"/>
    <n v="1"/>
    <x v="0"/>
    <n v="1"/>
  </r>
  <r>
    <s v="C0580"/>
    <n v="27"/>
    <x v="0"/>
    <n v="1"/>
    <x v="0"/>
    <n v="2"/>
    <x v="0"/>
    <n v="1"/>
    <x v="579"/>
    <x v="89"/>
    <x v="23"/>
    <n v="12"/>
    <x v="2"/>
    <n v="3"/>
    <x v="1"/>
    <n v="0"/>
  </r>
  <r>
    <s v="C0581"/>
    <n v="39"/>
    <x v="1"/>
    <n v="0"/>
    <x v="0"/>
    <n v="2"/>
    <x v="12"/>
    <n v="2"/>
    <x v="580"/>
    <x v="18"/>
    <x v="33"/>
    <n v="90"/>
    <x v="1"/>
    <n v="2"/>
    <x v="1"/>
    <n v="0"/>
  </r>
  <r>
    <s v="C0582"/>
    <n v="35"/>
    <x v="1"/>
    <n v="0"/>
    <x v="3"/>
    <n v="3"/>
    <x v="14"/>
    <n v="1"/>
    <x v="581"/>
    <x v="44"/>
    <x v="95"/>
    <n v="71"/>
    <x v="1"/>
    <n v="2"/>
    <x v="1"/>
    <n v="0"/>
  </r>
  <r>
    <s v="C0583"/>
    <n v="32"/>
    <x v="1"/>
    <n v="0"/>
    <x v="2"/>
    <n v="1"/>
    <x v="5"/>
    <n v="5"/>
    <x v="582"/>
    <x v="44"/>
    <x v="15"/>
    <n v="73"/>
    <x v="1"/>
    <n v="2"/>
    <x v="1"/>
    <n v="0"/>
  </r>
  <r>
    <s v="C0584"/>
    <n v="37"/>
    <x v="0"/>
    <n v="1"/>
    <x v="0"/>
    <n v="2"/>
    <x v="14"/>
    <n v="3"/>
    <x v="583"/>
    <x v="43"/>
    <x v="9"/>
    <n v="71"/>
    <x v="1"/>
    <n v="2"/>
    <x v="1"/>
    <n v="0"/>
  </r>
  <r>
    <s v="C0585"/>
    <n v="47"/>
    <x v="0"/>
    <n v="1"/>
    <x v="0"/>
    <n v="2"/>
    <x v="10"/>
    <n v="1"/>
    <x v="584"/>
    <x v="56"/>
    <x v="22"/>
    <n v="63"/>
    <x v="2"/>
    <n v="3"/>
    <x v="1"/>
    <n v="0"/>
  </r>
  <r>
    <s v="C0586"/>
    <n v="29"/>
    <x v="0"/>
    <n v="1"/>
    <x v="2"/>
    <n v="1"/>
    <x v="1"/>
    <n v="4"/>
    <x v="585"/>
    <x v="18"/>
    <x v="37"/>
    <n v="19"/>
    <x v="1"/>
    <n v="2"/>
    <x v="1"/>
    <n v="0"/>
  </r>
  <r>
    <s v="C0587"/>
    <n v="49"/>
    <x v="0"/>
    <n v="1"/>
    <x v="0"/>
    <n v="2"/>
    <x v="9"/>
    <n v="3"/>
    <x v="586"/>
    <x v="72"/>
    <x v="68"/>
    <n v="71"/>
    <x v="2"/>
    <n v="3"/>
    <x v="0"/>
    <n v="1"/>
  </r>
  <r>
    <s v="C0588"/>
    <n v="38"/>
    <x v="0"/>
    <n v="1"/>
    <x v="3"/>
    <n v="3"/>
    <x v="5"/>
    <n v="4"/>
    <x v="587"/>
    <x v="58"/>
    <x v="48"/>
    <n v="72"/>
    <x v="2"/>
    <n v="3"/>
    <x v="1"/>
    <n v="0"/>
  </r>
  <r>
    <s v="C0589"/>
    <n v="36"/>
    <x v="0"/>
    <n v="1"/>
    <x v="3"/>
    <n v="3"/>
    <x v="8"/>
    <n v="1"/>
    <x v="588"/>
    <x v="40"/>
    <x v="15"/>
    <n v="70"/>
    <x v="1"/>
    <n v="2"/>
    <x v="1"/>
    <n v="0"/>
  </r>
  <r>
    <s v="C0590"/>
    <n v="43"/>
    <x v="0"/>
    <n v="1"/>
    <x v="0"/>
    <n v="2"/>
    <x v="12"/>
    <n v="3"/>
    <x v="589"/>
    <x v="86"/>
    <x v="78"/>
    <n v="77"/>
    <x v="1"/>
    <n v="2"/>
    <x v="1"/>
    <n v="0"/>
  </r>
  <r>
    <s v="C0591"/>
    <n v="50"/>
    <x v="1"/>
    <n v="0"/>
    <x v="3"/>
    <n v="3"/>
    <x v="2"/>
    <n v="4"/>
    <x v="590"/>
    <x v="43"/>
    <x v="66"/>
    <n v="27"/>
    <x v="1"/>
    <n v="2"/>
    <x v="1"/>
    <n v="0"/>
  </r>
  <r>
    <s v="C0592"/>
    <n v="38"/>
    <x v="1"/>
    <n v="0"/>
    <x v="1"/>
    <n v="4"/>
    <x v="9"/>
    <n v="5"/>
    <x v="591"/>
    <x v="17"/>
    <x v="63"/>
    <n v="1"/>
    <x v="0"/>
    <n v="1"/>
    <x v="0"/>
    <n v="1"/>
  </r>
  <r>
    <s v="C0593"/>
    <n v="47"/>
    <x v="0"/>
    <n v="1"/>
    <x v="3"/>
    <n v="3"/>
    <x v="12"/>
    <n v="5"/>
    <x v="592"/>
    <x v="9"/>
    <x v="98"/>
    <n v="42"/>
    <x v="0"/>
    <n v="1"/>
    <x v="0"/>
    <n v="1"/>
  </r>
  <r>
    <s v="C0594"/>
    <n v="45"/>
    <x v="1"/>
    <n v="0"/>
    <x v="2"/>
    <n v="1"/>
    <x v="11"/>
    <n v="1"/>
    <x v="593"/>
    <x v="30"/>
    <x v="59"/>
    <n v="7"/>
    <x v="1"/>
    <n v="2"/>
    <x v="1"/>
    <n v="0"/>
  </r>
  <r>
    <s v="C0595"/>
    <n v="42"/>
    <x v="1"/>
    <n v="0"/>
    <x v="3"/>
    <n v="3"/>
    <x v="11"/>
    <n v="3"/>
    <x v="594"/>
    <x v="28"/>
    <x v="75"/>
    <n v="12"/>
    <x v="1"/>
    <n v="2"/>
    <x v="0"/>
    <n v="1"/>
  </r>
  <r>
    <s v="C0596"/>
    <n v="45"/>
    <x v="0"/>
    <n v="1"/>
    <x v="0"/>
    <n v="2"/>
    <x v="13"/>
    <n v="2"/>
    <x v="595"/>
    <x v="47"/>
    <x v="26"/>
    <n v="84"/>
    <x v="0"/>
    <n v="1"/>
    <x v="0"/>
    <n v="1"/>
  </r>
  <r>
    <s v="C0597"/>
    <n v="24"/>
    <x v="1"/>
    <n v="0"/>
    <x v="1"/>
    <n v="4"/>
    <x v="8"/>
    <n v="3"/>
    <x v="596"/>
    <x v="6"/>
    <x v="88"/>
    <n v="91"/>
    <x v="0"/>
    <n v="1"/>
    <x v="0"/>
    <n v="1"/>
  </r>
  <r>
    <s v="C0598"/>
    <n v="45"/>
    <x v="1"/>
    <n v="0"/>
    <x v="0"/>
    <n v="2"/>
    <x v="1"/>
    <n v="5"/>
    <x v="597"/>
    <x v="30"/>
    <x v="52"/>
    <n v="34"/>
    <x v="2"/>
    <n v="3"/>
    <x v="1"/>
    <n v="0"/>
  </r>
  <r>
    <s v="C0599"/>
    <n v="40"/>
    <x v="1"/>
    <n v="0"/>
    <x v="2"/>
    <n v="1"/>
    <x v="6"/>
    <n v="4"/>
    <x v="598"/>
    <x v="11"/>
    <x v="45"/>
    <n v="22"/>
    <x v="1"/>
    <n v="2"/>
    <x v="1"/>
    <n v="0"/>
  </r>
  <r>
    <s v="C0600"/>
    <n v="49"/>
    <x v="1"/>
    <n v="0"/>
    <x v="3"/>
    <n v="3"/>
    <x v="4"/>
    <n v="2"/>
    <x v="599"/>
    <x v="45"/>
    <x v="10"/>
    <n v="45"/>
    <x v="2"/>
    <n v="3"/>
    <x v="1"/>
    <n v="0"/>
  </r>
  <r>
    <s v="C0601"/>
    <n v="42"/>
    <x v="1"/>
    <n v="0"/>
    <x v="0"/>
    <n v="2"/>
    <x v="8"/>
    <n v="1"/>
    <x v="600"/>
    <x v="66"/>
    <x v="96"/>
    <n v="14"/>
    <x v="1"/>
    <n v="2"/>
    <x v="1"/>
    <n v="0"/>
  </r>
  <r>
    <s v="C0602"/>
    <n v="50"/>
    <x v="0"/>
    <n v="1"/>
    <x v="1"/>
    <n v="4"/>
    <x v="11"/>
    <n v="2"/>
    <x v="601"/>
    <x v="71"/>
    <x v="73"/>
    <n v="1"/>
    <x v="1"/>
    <n v="2"/>
    <x v="1"/>
    <n v="0"/>
  </r>
  <r>
    <s v="C0603"/>
    <n v="28"/>
    <x v="0"/>
    <n v="1"/>
    <x v="1"/>
    <n v="4"/>
    <x v="2"/>
    <n v="1"/>
    <x v="602"/>
    <x v="63"/>
    <x v="48"/>
    <n v="60"/>
    <x v="0"/>
    <n v="1"/>
    <x v="0"/>
    <n v="1"/>
  </r>
  <r>
    <s v="C0604"/>
    <n v="31"/>
    <x v="0"/>
    <n v="1"/>
    <x v="0"/>
    <n v="2"/>
    <x v="0"/>
    <n v="2"/>
    <x v="603"/>
    <x v="40"/>
    <x v="12"/>
    <n v="75"/>
    <x v="1"/>
    <n v="2"/>
    <x v="1"/>
    <n v="0"/>
  </r>
  <r>
    <s v="C0605"/>
    <n v="40"/>
    <x v="1"/>
    <n v="0"/>
    <x v="2"/>
    <n v="1"/>
    <x v="7"/>
    <n v="1"/>
    <x v="604"/>
    <x v="31"/>
    <x v="22"/>
    <n v="63"/>
    <x v="1"/>
    <n v="2"/>
    <x v="1"/>
    <n v="0"/>
  </r>
  <r>
    <s v="C0606"/>
    <n v="20"/>
    <x v="0"/>
    <n v="1"/>
    <x v="0"/>
    <n v="2"/>
    <x v="13"/>
    <n v="1"/>
    <x v="605"/>
    <x v="45"/>
    <x v="48"/>
    <n v="51"/>
    <x v="0"/>
    <n v="1"/>
    <x v="1"/>
    <n v="0"/>
  </r>
  <r>
    <s v="C0607"/>
    <n v="45"/>
    <x v="1"/>
    <n v="0"/>
    <x v="2"/>
    <n v="1"/>
    <x v="7"/>
    <n v="2"/>
    <x v="606"/>
    <x v="89"/>
    <x v="71"/>
    <n v="35"/>
    <x v="1"/>
    <n v="2"/>
    <x v="1"/>
    <n v="0"/>
  </r>
  <r>
    <s v="C0608"/>
    <n v="45"/>
    <x v="1"/>
    <n v="0"/>
    <x v="2"/>
    <n v="1"/>
    <x v="8"/>
    <n v="2"/>
    <x v="607"/>
    <x v="42"/>
    <x v="66"/>
    <n v="66"/>
    <x v="1"/>
    <n v="2"/>
    <x v="1"/>
    <n v="0"/>
  </r>
  <r>
    <s v="C0609"/>
    <n v="20"/>
    <x v="1"/>
    <n v="0"/>
    <x v="3"/>
    <n v="3"/>
    <x v="14"/>
    <n v="1"/>
    <x v="608"/>
    <x v="19"/>
    <x v="36"/>
    <n v="68"/>
    <x v="1"/>
    <n v="2"/>
    <x v="0"/>
    <n v="1"/>
  </r>
  <r>
    <s v="C0610"/>
    <n v="34"/>
    <x v="1"/>
    <n v="0"/>
    <x v="0"/>
    <n v="2"/>
    <x v="1"/>
    <n v="5"/>
    <x v="609"/>
    <x v="23"/>
    <x v="14"/>
    <n v="66"/>
    <x v="1"/>
    <n v="2"/>
    <x v="1"/>
    <n v="0"/>
  </r>
  <r>
    <s v="C0611"/>
    <n v="21"/>
    <x v="0"/>
    <n v="1"/>
    <x v="0"/>
    <n v="2"/>
    <x v="15"/>
    <n v="2"/>
    <x v="610"/>
    <x v="90"/>
    <x v="47"/>
    <n v="46"/>
    <x v="1"/>
    <n v="2"/>
    <x v="1"/>
    <n v="0"/>
  </r>
  <r>
    <s v="C0612"/>
    <n v="49"/>
    <x v="0"/>
    <n v="1"/>
    <x v="1"/>
    <n v="4"/>
    <x v="4"/>
    <n v="3"/>
    <x v="611"/>
    <x v="22"/>
    <x v="45"/>
    <n v="82"/>
    <x v="1"/>
    <n v="2"/>
    <x v="0"/>
    <n v="1"/>
  </r>
  <r>
    <s v="C0613"/>
    <n v="41"/>
    <x v="1"/>
    <n v="0"/>
    <x v="0"/>
    <n v="2"/>
    <x v="14"/>
    <n v="4"/>
    <x v="612"/>
    <x v="63"/>
    <x v="25"/>
    <n v="1"/>
    <x v="2"/>
    <n v="3"/>
    <x v="1"/>
    <n v="0"/>
  </r>
  <r>
    <s v="C0614"/>
    <n v="35"/>
    <x v="0"/>
    <n v="1"/>
    <x v="0"/>
    <n v="2"/>
    <x v="12"/>
    <n v="1"/>
    <x v="613"/>
    <x v="36"/>
    <x v="6"/>
    <n v="43"/>
    <x v="2"/>
    <n v="3"/>
    <x v="1"/>
    <n v="0"/>
  </r>
  <r>
    <s v="C0615"/>
    <n v="44"/>
    <x v="1"/>
    <n v="0"/>
    <x v="1"/>
    <n v="4"/>
    <x v="5"/>
    <n v="1"/>
    <x v="614"/>
    <x v="36"/>
    <x v="20"/>
    <n v="100"/>
    <x v="2"/>
    <n v="3"/>
    <x v="1"/>
    <n v="0"/>
  </r>
  <r>
    <s v="C0616"/>
    <n v="27"/>
    <x v="0"/>
    <n v="1"/>
    <x v="2"/>
    <n v="1"/>
    <x v="14"/>
    <n v="4"/>
    <x v="615"/>
    <x v="37"/>
    <x v="31"/>
    <n v="63"/>
    <x v="1"/>
    <n v="2"/>
    <x v="1"/>
    <n v="0"/>
  </r>
  <r>
    <s v="C0617"/>
    <n v="32"/>
    <x v="0"/>
    <n v="1"/>
    <x v="3"/>
    <n v="3"/>
    <x v="3"/>
    <n v="5"/>
    <x v="616"/>
    <x v="14"/>
    <x v="62"/>
    <n v="80"/>
    <x v="1"/>
    <n v="2"/>
    <x v="0"/>
    <n v="1"/>
  </r>
  <r>
    <s v="C0618"/>
    <n v="40"/>
    <x v="1"/>
    <n v="0"/>
    <x v="1"/>
    <n v="4"/>
    <x v="1"/>
    <n v="4"/>
    <x v="617"/>
    <x v="76"/>
    <x v="41"/>
    <n v="77"/>
    <x v="1"/>
    <n v="2"/>
    <x v="0"/>
    <n v="1"/>
  </r>
  <r>
    <s v="C0619"/>
    <n v="20"/>
    <x v="0"/>
    <n v="1"/>
    <x v="1"/>
    <n v="4"/>
    <x v="11"/>
    <n v="2"/>
    <x v="618"/>
    <x v="38"/>
    <x v="3"/>
    <n v="27"/>
    <x v="0"/>
    <n v="1"/>
    <x v="0"/>
    <n v="1"/>
  </r>
  <r>
    <s v="C0620"/>
    <n v="35"/>
    <x v="1"/>
    <n v="0"/>
    <x v="0"/>
    <n v="2"/>
    <x v="0"/>
    <n v="4"/>
    <x v="619"/>
    <x v="16"/>
    <x v="59"/>
    <n v="90"/>
    <x v="2"/>
    <n v="3"/>
    <x v="1"/>
    <n v="0"/>
  </r>
  <r>
    <s v="C0621"/>
    <n v="48"/>
    <x v="0"/>
    <n v="1"/>
    <x v="0"/>
    <n v="2"/>
    <x v="8"/>
    <n v="1"/>
    <x v="620"/>
    <x v="42"/>
    <x v="59"/>
    <n v="53"/>
    <x v="1"/>
    <n v="2"/>
    <x v="1"/>
    <n v="0"/>
  </r>
  <r>
    <s v="C0622"/>
    <n v="26"/>
    <x v="1"/>
    <n v="0"/>
    <x v="0"/>
    <n v="2"/>
    <x v="4"/>
    <n v="4"/>
    <x v="621"/>
    <x v="38"/>
    <x v="57"/>
    <n v="73"/>
    <x v="0"/>
    <n v="1"/>
    <x v="0"/>
    <n v="1"/>
  </r>
  <r>
    <s v="C0623"/>
    <n v="50"/>
    <x v="1"/>
    <n v="0"/>
    <x v="3"/>
    <n v="3"/>
    <x v="5"/>
    <n v="3"/>
    <x v="622"/>
    <x v="31"/>
    <x v="51"/>
    <n v="66"/>
    <x v="0"/>
    <n v="1"/>
    <x v="0"/>
    <n v="1"/>
  </r>
  <r>
    <s v="C0624"/>
    <n v="24"/>
    <x v="0"/>
    <n v="1"/>
    <x v="3"/>
    <n v="3"/>
    <x v="7"/>
    <n v="2"/>
    <x v="623"/>
    <x v="79"/>
    <x v="34"/>
    <n v="35"/>
    <x v="2"/>
    <n v="3"/>
    <x v="1"/>
    <n v="0"/>
  </r>
  <r>
    <s v="C0625"/>
    <n v="41"/>
    <x v="0"/>
    <n v="1"/>
    <x v="0"/>
    <n v="2"/>
    <x v="13"/>
    <n v="4"/>
    <x v="624"/>
    <x v="97"/>
    <x v="54"/>
    <n v="62"/>
    <x v="0"/>
    <n v="1"/>
    <x v="0"/>
    <n v="1"/>
  </r>
  <r>
    <s v="C0626"/>
    <n v="48"/>
    <x v="1"/>
    <n v="0"/>
    <x v="0"/>
    <n v="2"/>
    <x v="8"/>
    <n v="1"/>
    <x v="625"/>
    <x v="95"/>
    <x v="53"/>
    <n v="24"/>
    <x v="0"/>
    <n v="1"/>
    <x v="1"/>
    <n v="0"/>
  </r>
  <r>
    <s v="C0627"/>
    <n v="42"/>
    <x v="0"/>
    <n v="1"/>
    <x v="2"/>
    <n v="1"/>
    <x v="11"/>
    <n v="2"/>
    <x v="626"/>
    <x v="82"/>
    <x v="69"/>
    <n v="85"/>
    <x v="1"/>
    <n v="2"/>
    <x v="1"/>
    <n v="0"/>
  </r>
  <r>
    <s v="C0628"/>
    <n v="22"/>
    <x v="0"/>
    <n v="1"/>
    <x v="2"/>
    <n v="1"/>
    <x v="2"/>
    <n v="1"/>
    <x v="627"/>
    <x v="85"/>
    <x v="1"/>
    <n v="47"/>
    <x v="0"/>
    <n v="1"/>
    <x v="0"/>
    <n v="1"/>
  </r>
  <r>
    <s v="C0629"/>
    <n v="31"/>
    <x v="1"/>
    <n v="0"/>
    <x v="3"/>
    <n v="3"/>
    <x v="11"/>
    <n v="5"/>
    <x v="628"/>
    <x v="96"/>
    <x v="40"/>
    <n v="38"/>
    <x v="2"/>
    <n v="3"/>
    <x v="1"/>
    <n v="0"/>
  </r>
  <r>
    <s v="C0630"/>
    <n v="45"/>
    <x v="1"/>
    <n v="0"/>
    <x v="0"/>
    <n v="2"/>
    <x v="13"/>
    <n v="3"/>
    <x v="629"/>
    <x v="42"/>
    <x v="55"/>
    <n v="46"/>
    <x v="1"/>
    <n v="2"/>
    <x v="1"/>
    <n v="0"/>
  </r>
  <r>
    <s v="C0631"/>
    <n v="35"/>
    <x v="0"/>
    <n v="1"/>
    <x v="1"/>
    <n v="4"/>
    <x v="13"/>
    <n v="5"/>
    <x v="630"/>
    <x v="36"/>
    <x v="10"/>
    <n v="93"/>
    <x v="1"/>
    <n v="2"/>
    <x v="1"/>
    <n v="0"/>
  </r>
  <r>
    <s v="C0632"/>
    <n v="38"/>
    <x v="1"/>
    <n v="0"/>
    <x v="3"/>
    <n v="3"/>
    <x v="3"/>
    <n v="3"/>
    <x v="631"/>
    <x v="100"/>
    <x v="93"/>
    <n v="20"/>
    <x v="2"/>
    <n v="3"/>
    <x v="1"/>
    <n v="0"/>
  </r>
  <r>
    <s v="C0633"/>
    <n v="24"/>
    <x v="1"/>
    <n v="0"/>
    <x v="2"/>
    <n v="1"/>
    <x v="6"/>
    <n v="4"/>
    <x v="632"/>
    <x v="95"/>
    <x v="1"/>
    <n v="29"/>
    <x v="1"/>
    <n v="2"/>
    <x v="1"/>
    <n v="0"/>
  </r>
  <r>
    <s v="C0634"/>
    <n v="41"/>
    <x v="1"/>
    <n v="0"/>
    <x v="0"/>
    <n v="2"/>
    <x v="11"/>
    <n v="2"/>
    <x v="633"/>
    <x v="78"/>
    <x v="37"/>
    <n v="91"/>
    <x v="1"/>
    <n v="2"/>
    <x v="1"/>
    <n v="0"/>
  </r>
  <r>
    <s v="C0635"/>
    <n v="44"/>
    <x v="0"/>
    <n v="1"/>
    <x v="0"/>
    <n v="2"/>
    <x v="14"/>
    <n v="4"/>
    <x v="634"/>
    <x v="76"/>
    <x v="60"/>
    <n v="30"/>
    <x v="1"/>
    <n v="2"/>
    <x v="1"/>
    <n v="0"/>
  </r>
  <r>
    <s v="C0636"/>
    <n v="48"/>
    <x v="0"/>
    <n v="1"/>
    <x v="0"/>
    <n v="2"/>
    <x v="11"/>
    <n v="3"/>
    <x v="635"/>
    <x v="3"/>
    <x v="74"/>
    <n v="25"/>
    <x v="1"/>
    <n v="2"/>
    <x v="1"/>
    <n v="0"/>
  </r>
  <r>
    <s v="C0637"/>
    <n v="33"/>
    <x v="1"/>
    <n v="0"/>
    <x v="3"/>
    <n v="3"/>
    <x v="1"/>
    <n v="3"/>
    <x v="636"/>
    <x v="48"/>
    <x v="74"/>
    <n v="21"/>
    <x v="1"/>
    <n v="2"/>
    <x v="1"/>
    <n v="0"/>
  </r>
  <r>
    <s v="C0638"/>
    <n v="47"/>
    <x v="0"/>
    <n v="1"/>
    <x v="3"/>
    <n v="3"/>
    <x v="1"/>
    <n v="3"/>
    <x v="637"/>
    <x v="70"/>
    <x v="72"/>
    <n v="20"/>
    <x v="1"/>
    <n v="2"/>
    <x v="1"/>
    <n v="0"/>
  </r>
  <r>
    <s v="C0639"/>
    <n v="24"/>
    <x v="1"/>
    <n v="0"/>
    <x v="3"/>
    <n v="3"/>
    <x v="15"/>
    <n v="1"/>
    <x v="638"/>
    <x v="5"/>
    <x v="13"/>
    <n v="0"/>
    <x v="2"/>
    <n v="3"/>
    <x v="1"/>
    <n v="0"/>
  </r>
  <r>
    <s v="C0640"/>
    <n v="34"/>
    <x v="0"/>
    <n v="1"/>
    <x v="0"/>
    <n v="2"/>
    <x v="3"/>
    <n v="2"/>
    <x v="639"/>
    <x v="62"/>
    <x v="52"/>
    <n v="36"/>
    <x v="1"/>
    <n v="2"/>
    <x v="1"/>
    <n v="0"/>
  </r>
  <r>
    <s v="C0641"/>
    <n v="36"/>
    <x v="1"/>
    <n v="0"/>
    <x v="2"/>
    <n v="1"/>
    <x v="8"/>
    <n v="4"/>
    <x v="640"/>
    <x v="74"/>
    <x v="92"/>
    <n v="76"/>
    <x v="2"/>
    <n v="3"/>
    <x v="1"/>
    <n v="0"/>
  </r>
  <r>
    <s v="C0642"/>
    <n v="49"/>
    <x v="1"/>
    <n v="0"/>
    <x v="3"/>
    <n v="3"/>
    <x v="9"/>
    <n v="4"/>
    <x v="641"/>
    <x v="51"/>
    <x v="41"/>
    <n v="84"/>
    <x v="1"/>
    <n v="2"/>
    <x v="0"/>
    <n v="1"/>
  </r>
  <r>
    <s v="C0643"/>
    <n v="33"/>
    <x v="0"/>
    <n v="1"/>
    <x v="2"/>
    <n v="1"/>
    <x v="9"/>
    <n v="5"/>
    <x v="642"/>
    <x v="90"/>
    <x v="39"/>
    <n v="45"/>
    <x v="1"/>
    <n v="2"/>
    <x v="1"/>
    <n v="0"/>
  </r>
  <r>
    <s v="C0644"/>
    <n v="49"/>
    <x v="1"/>
    <n v="0"/>
    <x v="0"/>
    <n v="2"/>
    <x v="15"/>
    <n v="3"/>
    <x v="643"/>
    <x v="30"/>
    <x v="45"/>
    <n v="8"/>
    <x v="2"/>
    <n v="3"/>
    <x v="1"/>
    <n v="0"/>
  </r>
  <r>
    <s v="C0645"/>
    <n v="39"/>
    <x v="0"/>
    <n v="1"/>
    <x v="2"/>
    <n v="1"/>
    <x v="12"/>
    <n v="3"/>
    <x v="644"/>
    <x v="65"/>
    <x v="13"/>
    <n v="16"/>
    <x v="0"/>
    <n v="1"/>
    <x v="1"/>
    <n v="0"/>
  </r>
  <r>
    <s v="C0646"/>
    <n v="24"/>
    <x v="0"/>
    <n v="1"/>
    <x v="0"/>
    <n v="2"/>
    <x v="9"/>
    <n v="3"/>
    <x v="645"/>
    <x v="88"/>
    <x v="54"/>
    <n v="46"/>
    <x v="1"/>
    <n v="2"/>
    <x v="1"/>
    <n v="0"/>
  </r>
  <r>
    <s v="C0647"/>
    <n v="31"/>
    <x v="1"/>
    <n v="0"/>
    <x v="2"/>
    <n v="1"/>
    <x v="1"/>
    <n v="4"/>
    <x v="646"/>
    <x v="15"/>
    <x v="24"/>
    <n v="84"/>
    <x v="1"/>
    <n v="2"/>
    <x v="1"/>
    <n v="0"/>
  </r>
  <r>
    <s v="C0648"/>
    <n v="35"/>
    <x v="1"/>
    <n v="0"/>
    <x v="0"/>
    <n v="2"/>
    <x v="15"/>
    <n v="5"/>
    <x v="647"/>
    <x v="99"/>
    <x v="11"/>
    <n v="94"/>
    <x v="1"/>
    <n v="2"/>
    <x v="1"/>
    <n v="0"/>
  </r>
  <r>
    <s v="C0649"/>
    <n v="45"/>
    <x v="0"/>
    <n v="1"/>
    <x v="1"/>
    <n v="4"/>
    <x v="10"/>
    <n v="1"/>
    <x v="648"/>
    <x v="58"/>
    <x v="60"/>
    <n v="58"/>
    <x v="0"/>
    <n v="1"/>
    <x v="1"/>
    <n v="0"/>
  </r>
  <r>
    <s v="C0650"/>
    <n v="45"/>
    <x v="1"/>
    <n v="0"/>
    <x v="2"/>
    <n v="1"/>
    <x v="6"/>
    <n v="2"/>
    <x v="649"/>
    <x v="28"/>
    <x v="37"/>
    <n v="53"/>
    <x v="1"/>
    <n v="2"/>
    <x v="1"/>
    <n v="0"/>
  </r>
  <r>
    <s v="C0651"/>
    <n v="35"/>
    <x v="1"/>
    <n v="0"/>
    <x v="2"/>
    <n v="1"/>
    <x v="6"/>
    <n v="1"/>
    <x v="650"/>
    <x v="16"/>
    <x v="19"/>
    <n v="85"/>
    <x v="1"/>
    <n v="2"/>
    <x v="1"/>
    <n v="0"/>
  </r>
  <r>
    <s v="C0652"/>
    <n v="40"/>
    <x v="1"/>
    <n v="0"/>
    <x v="0"/>
    <n v="2"/>
    <x v="14"/>
    <n v="4"/>
    <x v="651"/>
    <x v="36"/>
    <x v="84"/>
    <n v="11"/>
    <x v="1"/>
    <n v="2"/>
    <x v="1"/>
    <n v="0"/>
  </r>
  <r>
    <s v="C0653"/>
    <n v="26"/>
    <x v="1"/>
    <n v="0"/>
    <x v="3"/>
    <n v="3"/>
    <x v="11"/>
    <n v="3"/>
    <x v="652"/>
    <x v="30"/>
    <x v="54"/>
    <n v="63"/>
    <x v="2"/>
    <n v="3"/>
    <x v="0"/>
    <n v="1"/>
  </r>
  <r>
    <s v="C0654"/>
    <n v="23"/>
    <x v="1"/>
    <n v="0"/>
    <x v="0"/>
    <n v="2"/>
    <x v="14"/>
    <n v="2"/>
    <x v="653"/>
    <x v="42"/>
    <x v="58"/>
    <n v="5"/>
    <x v="2"/>
    <n v="3"/>
    <x v="1"/>
    <n v="0"/>
  </r>
  <r>
    <s v="C0655"/>
    <n v="20"/>
    <x v="0"/>
    <n v="1"/>
    <x v="0"/>
    <n v="2"/>
    <x v="15"/>
    <n v="4"/>
    <x v="654"/>
    <x v="54"/>
    <x v="27"/>
    <n v="52"/>
    <x v="1"/>
    <n v="2"/>
    <x v="1"/>
    <n v="0"/>
  </r>
  <r>
    <s v="C0656"/>
    <n v="49"/>
    <x v="0"/>
    <n v="1"/>
    <x v="2"/>
    <n v="1"/>
    <x v="5"/>
    <n v="4"/>
    <x v="655"/>
    <x v="35"/>
    <x v="70"/>
    <n v="15"/>
    <x v="2"/>
    <n v="3"/>
    <x v="1"/>
    <n v="0"/>
  </r>
  <r>
    <s v="C0657"/>
    <n v="49"/>
    <x v="1"/>
    <n v="0"/>
    <x v="3"/>
    <n v="3"/>
    <x v="8"/>
    <n v="4"/>
    <x v="656"/>
    <x v="50"/>
    <x v="65"/>
    <n v="89"/>
    <x v="1"/>
    <n v="2"/>
    <x v="0"/>
    <n v="1"/>
  </r>
  <r>
    <s v="C0658"/>
    <n v="24"/>
    <x v="1"/>
    <n v="0"/>
    <x v="0"/>
    <n v="2"/>
    <x v="0"/>
    <n v="2"/>
    <x v="657"/>
    <x v="92"/>
    <x v="13"/>
    <n v="4"/>
    <x v="1"/>
    <n v="2"/>
    <x v="1"/>
    <n v="0"/>
  </r>
  <r>
    <s v="C0659"/>
    <n v="42"/>
    <x v="1"/>
    <n v="0"/>
    <x v="3"/>
    <n v="3"/>
    <x v="11"/>
    <n v="2"/>
    <x v="658"/>
    <x v="65"/>
    <x v="7"/>
    <n v="72"/>
    <x v="1"/>
    <n v="2"/>
    <x v="1"/>
    <n v="0"/>
  </r>
  <r>
    <s v="C0660"/>
    <n v="45"/>
    <x v="0"/>
    <n v="1"/>
    <x v="1"/>
    <n v="4"/>
    <x v="10"/>
    <n v="5"/>
    <x v="659"/>
    <x v="29"/>
    <x v="67"/>
    <n v="45"/>
    <x v="1"/>
    <n v="2"/>
    <x v="1"/>
    <n v="0"/>
  </r>
  <r>
    <s v="C0661"/>
    <n v="29"/>
    <x v="1"/>
    <n v="0"/>
    <x v="0"/>
    <n v="2"/>
    <x v="10"/>
    <n v="5"/>
    <x v="660"/>
    <x v="0"/>
    <x v="58"/>
    <n v="13"/>
    <x v="0"/>
    <n v="1"/>
    <x v="1"/>
    <n v="0"/>
  </r>
  <r>
    <s v="C0662"/>
    <n v="41"/>
    <x v="0"/>
    <n v="1"/>
    <x v="3"/>
    <n v="3"/>
    <x v="14"/>
    <n v="1"/>
    <x v="661"/>
    <x v="95"/>
    <x v="68"/>
    <n v="43"/>
    <x v="1"/>
    <n v="2"/>
    <x v="1"/>
    <n v="0"/>
  </r>
  <r>
    <s v="C0663"/>
    <n v="24"/>
    <x v="0"/>
    <n v="1"/>
    <x v="2"/>
    <n v="1"/>
    <x v="7"/>
    <n v="2"/>
    <x v="662"/>
    <x v="31"/>
    <x v="76"/>
    <n v="62"/>
    <x v="1"/>
    <n v="2"/>
    <x v="1"/>
    <n v="0"/>
  </r>
  <r>
    <s v="C0664"/>
    <n v="23"/>
    <x v="0"/>
    <n v="1"/>
    <x v="3"/>
    <n v="3"/>
    <x v="11"/>
    <n v="2"/>
    <x v="663"/>
    <x v="46"/>
    <x v="41"/>
    <n v="93"/>
    <x v="1"/>
    <n v="2"/>
    <x v="0"/>
    <n v="1"/>
  </r>
  <r>
    <s v="C0665"/>
    <n v="21"/>
    <x v="1"/>
    <n v="0"/>
    <x v="0"/>
    <n v="2"/>
    <x v="4"/>
    <n v="2"/>
    <x v="664"/>
    <x v="89"/>
    <x v="89"/>
    <n v="51"/>
    <x v="2"/>
    <n v="3"/>
    <x v="1"/>
    <n v="0"/>
  </r>
  <r>
    <s v="C0666"/>
    <n v="39"/>
    <x v="0"/>
    <n v="1"/>
    <x v="3"/>
    <n v="3"/>
    <x v="10"/>
    <n v="5"/>
    <x v="665"/>
    <x v="46"/>
    <x v="93"/>
    <n v="25"/>
    <x v="1"/>
    <n v="2"/>
    <x v="1"/>
    <n v="0"/>
  </r>
  <r>
    <s v="C0667"/>
    <n v="50"/>
    <x v="1"/>
    <n v="0"/>
    <x v="2"/>
    <n v="1"/>
    <x v="6"/>
    <n v="4"/>
    <x v="666"/>
    <x v="55"/>
    <x v="15"/>
    <n v="52"/>
    <x v="0"/>
    <n v="1"/>
    <x v="0"/>
    <n v="1"/>
  </r>
  <r>
    <s v="C0668"/>
    <n v="29"/>
    <x v="0"/>
    <n v="1"/>
    <x v="2"/>
    <n v="1"/>
    <x v="8"/>
    <n v="3"/>
    <x v="667"/>
    <x v="47"/>
    <x v="44"/>
    <n v="28"/>
    <x v="1"/>
    <n v="2"/>
    <x v="1"/>
    <n v="0"/>
  </r>
  <r>
    <s v="C0669"/>
    <n v="45"/>
    <x v="1"/>
    <n v="0"/>
    <x v="0"/>
    <n v="2"/>
    <x v="0"/>
    <n v="5"/>
    <x v="668"/>
    <x v="6"/>
    <x v="27"/>
    <n v="18"/>
    <x v="1"/>
    <n v="2"/>
    <x v="1"/>
    <n v="0"/>
  </r>
  <r>
    <s v="C0670"/>
    <n v="38"/>
    <x v="0"/>
    <n v="1"/>
    <x v="0"/>
    <n v="2"/>
    <x v="8"/>
    <n v="2"/>
    <x v="669"/>
    <x v="17"/>
    <x v="52"/>
    <n v="46"/>
    <x v="1"/>
    <n v="2"/>
    <x v="1"/>
    <n v="0"/>
  </r>
  <r>
    <s v="C0671"/>
    <n v="45"/>
    <x v="1"/>
    <n v="0"/>
    <x v="0"/>
    <n v="2"/>
    <x v="6"/>
    <n v="5"/>
    <x v="670"/>
    <x v="40"/>
    <x v="2"/>
    <n v="7"/>
    <x v="0"/>
    <n v="1"/>
    <x v="0"/>
    <n v="1"/>
  </r>
  <r>
    <s v="C0672"/>
    <n v="20"/>
    <x v="0"/>
    <n v="1"/>
    <x v="0"/>
    <n v="2"/>
    <x v="3"/>
    <n v="1"/>
    <x v="671"/>
    <x v="85"/>
    <x v="88"/>
    <n v="22"/>
    <x v="1"/>
    <n v="2"/>
    <x v="1"/>
    <n v="0"/>
  </r>
  <r>
    <s v="C0673"/>
    <n v="43"/>
    <x v="1"/>
    <n v="0"/>
    <x v="2"/>
    <n v="1"/>
    <x v="12"/>
    <n v="2"/>
    <x v="672"/>
    <x v="20"/>
    <x v="33"/>
    <n v="34"/>
    <x v="2"/>
    <n v="3"/>
    <x v="1"/>
    <n v="0"/>
  </r>
  <r>
    <s v="C0674"/>
    <n v="24"/>
    <x v="1"/>
    <n v="0"/>
    <x v="0"/>
    <n v="2"/>
    <x v="5"/>
    <n v="1"/>
    <x v="673"/>
    <x v="41"/>
    <x v="86"/>
    <n v="94"/>
    <x v="1"/>
    <n v="2"/>
    <x v="1"/>
    <n v="0"/>
  </r>
  <r>
    <s v="C0675"/>
    <n v="32"/>
    <x v="1"/>
    <n v="0"/>
    <x v="3"/>
    <n v="3"/>
    <x v="7"/>
    <n v="2"/>
    <x v="674"/>
    <x v="94"/>
    <x v="87"/>
    <n v="52"/>
    <x v="2"/>
    <n v="3"/>
    <x v="1"/>
    <n v="0"/>
  </r>
  <r>
    <s v="C0676"/>
    <n v="23"/>
    <x v="1"/>
    <n v="0"/>
    <x v="0"/>
    <n v="2"/>
    <x v="3"/>
    <n v="5"/>
    <x v="675"/>
    <x v="68"/>
    <x v="18"/>
    <n v="98"/>
    <x v="2"/>
    <n v="3"/>
    <x v="1"/>
    <n v="0"/>
  </r>
  <r>
    <s v="C0677"/>
    <n v="35"/>
    <x v="0"/>
    <n v="1"/>
    <x v="2"/>
    <n v="1"/>
    <x v="7"/>
    <n v="4"/>
    <x v="676"/>
    <x v="54"/>
    <x v="6"/>
    <n v="95"/>
    <x v="0"/>
    <n v="1"/>
    <x v="1"/>
    <n v="0"/>
  </r>
  <r>
    <s v="C0678"/>
    <n v="43"/>
    <x v="0"/>
    <n v="1"/>
    <x v="0"/>
    <n v="2"/>
    <x v="6"/>
    <n v="3"/>
    <x v="677"/>
    <x v="60"/>
    <x v="42"/>
    <n v="57"/>
    <x v="1"/>
    <n v="2"/>
    <x v="1"/>
    <n v="0"/>
  </r>
  <r>
    <s v="C0679"/>
    <n v="35"/>
    <x v="1"/>
    <n v="0"/>
    <x v="2"/>
    <n v="1"/>
    <x v="1"/>
    <n v="1"/>
    <x v="678"/>
    <x v="8"/>
    <x v="70"/>
    <n v="4"/>
    <x v="1"/>
    <n v="2"/>
    <x v="1"/>
    <n v="0"/>
  </r>
  <r>
    <s v="C0680"/>
    <n v="42"/>
    <x v="0"/>
    <n v="1"/>
    <x v="1"/>
    <n v="4"/>
    <x v="0"/>
    <n v="5"/>
    <x v="679"/>
    <x v="19"/>
    <x v="10"/>
    <n v="15"/>
    <x v="0"/>
    <n v="1"/>
    <x v="0"/>
    <n v="1"/>
  </r>
  <r>
    <s v="C0681"/>
    <n v="21"/>
    <x v="1"/>
    <n v="0"/>
    <x v="2"/>
    <n v="1"/>
    <x v="6"/>
    <n v="4"/>
    <x v="680"/>
    <x v="58"/>
    <x v="14"/>
    <n v="16"/>
    <x v="1"/>
    <n v="2"/>
    <x v="1"/>
    <n v="0"/>
  </r>
  <r>
    <s v="C0682"/>
    <n v="36"/>
    <x v="1"/>
    <n v="0"/>
    <x v="3"/>
    <n v="3"/>
    <x v="1"/>
    <n v="5"/>
    <x v="681"/>
    <x v="65"/>
    <x v="20"/>
    <n v="31"/>
    <x v="1"/>
    <n v="2"/>
    <x v="1"/>
    <n v="0"/>
  </r>
  <r>
    <s v="C0683"/>
    <n v="47"/>
    <x v="0"/>
    <n v="1"/>
    <x v="1"/>
    <n v="4"/>
    <x v="8"/>
    <n v="1"/>
    <x v="682"/>
    <x v="98"/>
    <x v="37"/>
    <n v="95"/>
    <x v="0"/>
    <n v="1"/>
    <x v="0"/>
    <n v="1"/>
  </r>
  <r>
    <s v="C0684"/>
    <n v="46"/>
    <x v="1"/>
    <n v="0"/>
    <x v="3"/>
    <n v="3"/>
    <x v="14"/>
    <n v="3"/>
    <x v="683"/>
    <x v="32"/>
    <x v="71"/>
    <n v="51"/>
    <x v="2"/>
    <n v="3"/>
    <x v="1"/>
    <n v="0"/>
  </r>
  <r>
    <s v="C0685"/>
    <n v="39"/>
    <x v="1"/>
    <n v="0"/>
    <x v="0"/>
    <n v="2"/>
    <x v="13"/>
    <n v="5"/>
    <x v="684"/>
    <x v="10"/>
    <x v="80"/>
    <n v="19"/>
    <x v="1"/>
    <n v="2"/>
    <x v="1"/>
    <n v="0"/>
  </r>
  <r>
    <s v="C0686"/>
    <n v="43"/>
    <x v="0"/>
    <n v="1"/>
    <x v="3"/>
    <n v="3"/>
    <x v="11"/>
    <n v="2"/>
    <x v="685"/>
    <x v="2"/>
    <x v="16"/>
    <n v="65"/>
    <x v="2"/>
    <n v="3"/>
    <x v="0"/>
    <n v="1"/>
  </r>
  <r>
    <s v="C0687"/>
    <n v="31"/>
    <x v="1"/>
    <n v="0"/>
    <x v="1"/>
    <n v="4"/>
    <x v="6"/>
    <n v="4"/>
    <x v="686"/>
    <x v="83"/>
    <x v="7"/>
    <n v="83"/>
    <x v="1"/>
    <n v="2"/>
    <x v="0"/>
    <n v="1"/>
  </r>
  <r>
    <s v="C0688"/>
    <n v="37"/>
    <x v="1"/>
    <n v="0"/>
    <x v="0"/>
    <n v="2"/>
    <x v="1"/>
    <n v="5"/>
    <x v="687"/>
    <x v="3"/>
    <x v="50"/>
    <n v="81"/>
    <x v="2"/>
    <n v="3"/>
    <x v="1"/>
    <n v="0"/>
  </r>
  <r>
    <s v="C0689"/>
    <n v="22"/>
    <x v="1"/>
    <n v="0"/>
    <x v="0"/>
    <n v="2"/>
    <x v="15"/>
    <n v="4"/>
    <x v="688"/>
    <x v="100"/>
    <x v="80"/>
    <n v="0"/>
    <x v="1"/>
    <n v="2"/>
    <x v="1"/>
    <n v="0"/>
  </r>
  <r>
    <s v="C0690"/>
    <n v="47"/>
    <x v="1"/>
    <n v="0"/>
    <x v="0"/>
    <n v="2"/>
    <x v="2"/>
    <n v="2"/>
    <x v="689"/>
    <x v="13"/>
    <x v="15"/>
    <n v="57"/>
    <x v="0"/>
    <n v="1"/>
    <x v="1"/>
    <n v="0"/>
  </r>
  <r>
    <s v="C0691"/>
    <n v="20"/>
    <x v="0"/>
    <n v="1"/>
    <x v="0"/>
    <n v="2"/>
    <x v="4"/>
    <n v="3"/>
    <x v="690"/>
    <x v="92"/>
    <x v="66"/>
    <n v="92"/>
    <x v="1"/>
    <n v="2"/>
    <x v="1"/>
    <n v="0"/>
  </r>
  <r>
    <s v="C0692"/>
    <n v="20"/>
    <x v="0"/>
    <n v="1"/>
    <x v="0"/>
    <n v="2"/>
    <x v="3"/>
    <n v="3"/>
    <x v="691"/>
    <x v="16"/>
    <x v="15"/>
    <n v="92"/>
    <x v="1"/>
    <n v="2"/>
    <x v="1"/>
    <n v="0"/>
  </r>
  <r>
    <s v="C0693"/>
    <n v="48"/>
    <x v="0"/>
    <n v="1"/>
    <x v="0"/>
    <n v="2"/>
    <x v="11"/>
    <n v="2"/>
    <x v="692"/>
    <x v="59"/>
    <x v="38"/>
    <n v="82"/>
    <x v="1"/>
    <n v="2"/>
    <x v="1"/>
    <n v="0"/>
  </r>
  <r>
    <s v="C0694"/>
    <n v="38"/>
    <x v="1"/>
    <n v="0"/>
    <x v="0"/>
    <n v="2"/>
    <x v="4"/>
    <n v="4"/>
    <x v="693"/>
    <x v="90"/>
    <x v="84"/>
    <n v="43"/>
    <x v="1"/>
    <n v="2"/>
    <x v="1"/>
    <n v="0"/>
  </r>
  <r>
    <s v="C0695"/>
    <n v="30"/>
    <x v="1"/>
    <n v="0"/>
    <x v="2"/>
    <n v="1"/>
    <x v="13"/>
    <n v="5"/>
    <x v="694"/>
    <x v="30"/>
    <x v="11"/>
    <n v="5"/>
    <x v="0"/>
    <n v="1"/>
    <x v="0"/>
    <n v="1"/>
  </r>
  <r>
    <s v="C0696"/>
    <n v="24"/>
    <x v="0"/>
    <n v="1"/>
    <x v="2"/>
    <n v="1"/>
    <x v="5"/>
    <n v="2"/>
    <x v="695"/>
    <x v="53"/>
    <x v="55"/>
    <n v="49"/>
    <x v="1"/>
    <n v="2"/>
    <x v="1"/>
    <n v="0"/>
  </r>
  <r>
    <s v="C0697"/>
    <n v="31"/>
    <x v="1"/>
    <n v="0"/>
    <x v="0"/>
    <n v="2"/>
    <x v="5"/>
    <n v="1"/>
    <x v="696"/>
    <x v="41"/>
    <x v="5"/>
    <n v="71"/>
    <x v="1"/>
    <n v="2"/>
    <x v="1"/>
    <n v="0"/>
  </r>
  <r>
    <s v="C0698"/>
    <n v="22"/>
    <x v="1"/>
    <n v="0"/>
    <x v="2"/>
    <n v="1"/>
    <x v="2"/>
    <n v="4"/>
    <x v="697"/>
    <x v="62"/>
    <x v="76"/>
    <n v="87"/>
    <x v="1"/>
    <n v="2"/>
    <x v="1"/>
    <n v="0"/>
  </r>
  <r>
    <s v="C0699"/>
    <n v="20"/>
    <x v="1"/>
    <n v="0"/>
    <x v="0"/>
    <n v="2"/>
    <x v="8"/>
    <n v="3"/>
    <x v="698"/>
    <x v="73"/>
    <x v="53"/>
    <n v="19"/>
    <x v="1"/>
    <n v="2"/>
    <x v="1"/>
    <n v="0"/>
  </r>
  <r>
    <s v="C0700"/>
    <n v="20"/>
    <x v="1"/>
    <n v="0"/>
    <x v="0"/>
    <n v="2"/>
    <x v="4"/>
    <n v="2"/>
    <x v="699"/>
    <x v="39"/>
    <x v="13"/>
    <n v="13"/>
    <x v="2"/>
    <n v="3"/>
    <x v="1"/>
    <n v="0"/>
  </r>
  <r>
    <s v="C0701"/>
    <n v="27"/>
    <x v="0"/>
    <n v="1"/>
    <x v="3"/>
    <n v="3"/>
    <x v="4"/>
    <n v="3"/>
    <x v="700"/>
    <x v="78"/>
    <x v="73"/>
    <n v="4"/>
    <x v="1"/>
    <n v="2"/>
    <x v="1"/>
    <n v="0"/>
  </r>
  <r>
    <s v="C0702"/>
    <n v="29"/>
    <x v="0"/>
    <n v="1"/>
    <x v="2"/>
    <n v="1"/>
    <x v="3"/>
    <n v="4"/>
    <x v="701"/>
    <x v="90"/>
    <x v="78"/>
    <n v="40"/>
    <x v="1"/>
    <n v="2"/>
    <x v="1"/>
    <n v="0"/>
  </r>
  <r>
    <s v="C0703"/>
    <n v="30"/>
    <x v="0"/>
    <n v="1"/>
    <x v="0"/>
    <n v="2"/>
    <x v="9"/>
    <n v="3"/>
    <x v="702"/>
    <x v="10"/>
    <x v="99"/>
    <n v="39"/>
    <x v="2"/>
    <n v="3"/>
    <x v="1"/>
    <n v="0"/>
  </r>
  <r>
    <s v="C0704"/>
    <n v="31"/>
    <x v="1"/>
    <n v="0"/>
    <x v="3"/>
    <n v="3"/>
    <x v="2"/>
    <n v="2"/>
    <x v="703"/>
    <x v="39"/>
    <x v="40"/>
    <n v="33"/>
    <x v="1"/>
    <n v="2"/>
    <x v="1"/>
    <n v="0"/>
  </r>
  <r>
    <s v="C0705"/>
    <n v="48"/>
    <x v="0"/>
    <n v="1"/>
    <x v="0"/>
    <n v="2"/>
    <x v="11"/>
    <n v="4"/>
    <x v="704"/>
    <x v="75"/>
    <x v="89"/>
    <n v="79"/>
    <x v="0"/>
    <n v="1"/>
    <x v="0"/>
    <n v="1"/>
  </r>
  <r>
    <s v="C0706"/>
    <n v="32"/>
    <x v="0"/>
    <n v="1"/>
    <x v="2"/>
    <n v="1"/>
    <x v="13"/>
    <n v="1"/>
    <x v="705"/>
    <x v="57"/>
    <x v="81"/>
    <n v="44"/>
    <x v="0"/>
    <n v="1"/>
    <x v="1"/>
    <n v="0"/>
  </r>
  <r>
    <s v="C0707"/>
    <n v="31"/>
    <x v="1"/>
    <n v="0"/>
    <x v="3"/>
    <n v="3"/>
    <x v="2"/>
    <n v="2"/>
    <x v="706"/>
    <x v="79"/>
    <x v="73"/>
    <n v="70"/>
    <x v="1"/>
    <n v="2"/>
    <x v="1"/>
    <n v="0"/>
  </r>
  <r>
    <s v="C0708"/>
    <n v="50"/>
    <x v="1"/>
    <n v="0"/>
    <x v="3"/>
    <n v="3"/>
    <x v="14"/>
    <n v="5"/>
    <x v="707"/>
    <x v="53"/>
    <x v="100"/>
    <n v="79"/>
    <x v="0"/>
    <n v="1"/>
    <x v="0"/>
    <n v="1"/>
  </r>
  <r>
    <s v="C0709"/>
    <n v="33"/>
    <x v="0"/>
    <n v="1"/>
    <x v="0"/>
    <n v="2"/>
    <x v="0"/>
    <n v="2"/>
    <x v="708"/>
    <x v="52"/>
    <x v="45"/>
    <n v="70"/>
    <x v="1"/>
    <n v="2"/>
    <x v="1"/>
    <n v="0"/>
  </r>
  <r>
    <s v="C0710"/>
    <n v="21"/>
    <x v="0"/>
    <n v="1"/>
    <x v="0"/>
    <n v="2"/>
    <x v="14"/>
    <n v="4"/>
    <x v="709"/>
    <x v="18"/>
    <x v="96"/>
    <n v="26"/>
    <x v="0"/>
    <n v="1"/>
    <x v="1"/>
    <n v="0"/>
  </r>
  <r>
    <s v="C0711"/>
    <n v="48"/>
    <x v="0"/>
    <n v="1"/>
    <x v="1"/>
    <n v="4"/>
    <x v="9"/>
    <n v="2"/>
    <x v="710"/>
    <x v="13"/>
    <x v="22"/>
    <n v="77"/>
    <x v="0"/>
    <n v="1"/>
    <x v="0"/>
    <n v="1"/>
  </r>
  <r>
    <s v="C0712"/>
    <n v="38"/>
    <x v="0"/>
    <n v="1"/>
    <x v="0"/>
    <n v="2"/>
    <x v="0"/>
    <n v="1"/>
    <x v="711"/>
    <x v="38"/>
    <x v="21"/>
    <n v="77"/>
    <x v="1"/>
    <n v="2"/>
    <x v="1"/>
    <n v="0"/>
  </r>
  <r>
    <s v="C0713"/>
    <n v="37"/>
    <x v="1"/>
    <n v="0"/>
    <x v="0"/>
    <n v="2"/>
    <x v="13"/>
    <n v="1"/>
    <x v="712"/>
    <x v="14"/>
    <x v="98"/>
    <n v="43"/>
    <x v="2"/>
    <n v="3"/>
    <x v="1"/>
    <n v="0"/>
  </r>
  <r>
    <s v="C0714"/>
    <n v="22"/>
    <x v="0"/>
    <n v="1"/>
    <x v="3"/>
    <n v="3"/>
    <x v="5"/>
    <n v="5"/>
    <x v="713"/>
    <x v="62"/>
    <x v="57"/>
    <n v="32"/>
    <x v="1"/>
    <n v="2"/>
    <x v="1"/>
    <n v="0"/>
  </r>
  <r>
    <s v="C0715"/>
    <n v="42"/>
    <x v="0"/>
    <n v="1"/>
    <x v="0"/>
    <n v="2"/>
    <x v="3"/>
    <n v="3"/>
    <x v="714"/>
    <x v="83"/>
    <x v="55"/>
    <n v="32"/>
    <x v="2"/>
    <n v="3"/>
    <x v="1"/>
    <n v="0"/>
  </r>
  <r>
    <s v="C0716"/>
    <n v="36"/>
    <x v="1"/>
    <n v="0"/>
    <x v="0"/>
    <n v="2"/>
    <x v="3"/>
    <n v="4"/>
    <x v="715"/>
    <x v="14"/>
    <x v="18"/>
    <n v="43"/>
    <x v="2"/>
    <n v="3"/>
    <x v="1"/>
    <n v="0"/>
  </r>
  <r>
    <s v="C0717"/>
    <n v="45"/>
    <x v="0"/>
    <n v="1"/>
    <x v="0"/>
    <n v="2"/>
    <x v="1"/>
    <n v="4"/>
    <x v="716"/>
    <x v="38"/>
    <x v="61"/>
    <n v="19"/>
    <x v="0"/>
    <n v="1"/>
    <x v="0"/>
    <n v="1"/>
  </r>
  <r>
    <s v="C0718"/>
    <n v="27"/>
    <x v="1"/>
    <n v="0"/>
    <x v="3"/>
    <n v="3"/>
    <x v="13"/>
    <n v="3"/>
    <x v="717"/>
    <x v="75"/>
    <x v="11"/>
    <n v="35"/>
    <x v="1"/>
    <n v="2"/>
    <x v="1"/>
    <n v="0"/>
  </r>
  <r>
    <s v="C0719"/>
    <n v="48"/>
    <x v="1"/>
    <n v="0"/>
    <x v="0"/>
    <n v="2"/>
    <x v="8"/>
    <n v="1"/>
    <x v="718"/>
    <x v="45"/>
    <x v="52"/>
    <n v="6"/>
    <x v="1"/>
    <n v="2"/>
    <x v="1"/>
    <n v="0"/>
  </r>
  <r>
    <s v="C0720"/>
    <n v="45"/>
    <x v="1"/>
    <n v="0"/>
    <x v="0"/>
    <n v="2"/>
    <x v="7"/>
    <n v="1"/>
    <x v="719"/>
    <x v="38"/>
    <x v="51"/>
    <n v="31"/>
    <x v="2"/>
    <n v="3"/>
    <x v="1"/>
    <n v="0"/>
  </r>
  <r>
    <s v="C0721"/>
    <n v="29"/>
    <x v="0"/>
    <n v="1"/>
    <x v="0"/>
    <n v="2"/>
    <x v="5"/>
    <n v="2"/>
    <x v="720"/>
    <x v="26"/>
    <x v="94"/>
    <n v="66"/>
    <x v="1"/>
    <n v="2"/>
    <x v="1"/>
    <n v="0"/>
  </r>
  <r>
    <s v="C0722"/>
    <n v="45"/>
    <x v="0"/>
    <n v="1"/>
    <x v="0"/>
    <n v="2"/>
    <x v="13"/>
    <n v="5"/>
    <x v="721"/>
    <x v="20"/>
    <x v="74"/>
    <n v="38"/>
    <x v="2"/>
    <n v="3"/>
    <x v="1"/>
    <n v="0"/>
  </r>
  <r>
    <s v="C0723"/>
    <n v="49"/>
    <x v="1"/>
    <n v="0"/>
    <x v="0"/>
    <n v="2"/>
    <x v="14"/>
    <n v="5"/>
    <x v="722"/>
    <x v="46"/>
    <x v="86"/>
    <n v="92"/>
    <x v="0"/>
    <n v="1"/>
    <x v="0"/>
    <n v="1"/>
  </r>
  <r>
    <s v="C0724"/>
    <n v="21"/>
    <x v="0"/>
    <n v="1"/>
    <x v="3"/>
    <n v="3"/>
    <x v="9"/>
    <n v="5"/>
    <x v="723"/>
    <x v="40"/>
    <x v="9"/>
    <n v="23"/>
    <x v="0"/>
    <n v="1"/>
    <x v="0"/>
    <n v="1"/>
  </r>
  <r>
    <s v="C0725"/>
    <n v="38"/>
    <x v="0"/>
    <n v="1"/>
    <x v="0"/>
    <n v="2"/>
    <x v="6"/>
    <n v="2"/>
    <x v="724"/>
    <x v="27"/>
    <x v="13"/>
    <n v="85"/>
    <x v="1"/>
    <n v="2"/>
    <x v="1"/>
    <n v="0"/>
  </r>
  <r>
    <s v="C0726"/>
    <n v="28"/>
    <x v="1"/>
    <n v="0"/>
    <x v="2"/>
    <n v="1"/>
    <x v="10"/>
    <n v="5"/>
    <x v="725"/>
    <x v="24"/>
    <x v="2"/>
    <n v="69"/>
    <x v="1"/>
    <n v="2"/>
    <x v="1"/>
    <n v="0"/>
  </r>
  <r>
    <s v="C0727"/>
    <n v="26"/>
    <x v="1"/>
    <n v="0"/>
    <x v="3"/>
    <n v="3"/>
    <x v="8"/>
    <n v="3"/>
    <x v="726"/>
    <x v="38"/>
    <x v="82"/>
    <n v="87"/>
    <x v="0"/>
    <n v="1"/>
    <x v="0"/>
    <n v="1"/>
  </r>
  <r>
    <s v="C0728"/>
    <n v="23"/>
    <x v="0"/>
    <n v="1"/>
    <x v="2"/>
    <n v="1"/>
    <x v="3"/>
    <n v="2"/>
    <x v="727"/>
    <x v="38"/>
    <x v="73"/>
    <n v="86"/>
    <x v="1"/>
    <n v="2"/>
    <x v="1"/>
    <n v="0"/>
  </r>
  <r>
    <s v="C0729"/>
    <n v="45"/>
    <x v="1"/>
    <n v="0"/>
    <x v="1"/>
    <n v="4"/>
    <x v="12"/>
    <n v="3"/>
    <x v="728"/>
    <x v="46"/>
    <x v="90"/>
    <n v="53"/>
    <x v="0"/>
    <n v="1"/>
    <x v="0"/>
    <n v="1"/>
  </r>
  <r>
    <s v="C0730"/>
    <n v="40"/>
    <x v="0"/>
    <n v="1"/>
    <x v="2"/>
    <n v="1"/>
    <x v="9"/>
    <n v="2"/>
    <x v="729"/>
    <x v="76"/>
    <x v="16"/>
    <n v="37"/>
    <x v="1"/>
    <n v="2"/>
    <x v="1"/>
    <n v="0"/>
  </r>
  <r>
    <s v="C0731"/>
    <n v="37"/>
    <x v="0"/>
    <n v="1"/>
    <x v="0"/>
    <n v="2"/>
    <x v="6"/>
    <n v="5"/>
    <x v="730"/>
    <x v="36"/>
    <x v="73"/>
    <n v="73"/>
    <x v="2"/>
    <n v="3"/>
    <x v="1"/>
    <n v="0"/>
  </r>
  <r>
    <s v="C0732"/>
    <n v="32"/>
    <x v="0"/>
    <n v="1"/>
    <x v="2"/>
    <n v="1"/>
    <x v="15"/>
    <n v="3"/>
    <x v="731"/>
    <x v="51"/>
    <x v="40"/>
    <n v="79"/>
    <x v="2"/>
    <n v="3"/>
    <x v="1"/>
    <n v="0"/>
  </r>
  <r>
    <s v="C0733"/>
    <n v="30"/>
    <x v="0"/>
    <n v="1"/>
    <x v="1"/>
    <n v="4"/>
    <x v="9"/>
    <n v="3"/>
    <x v="732"/>
    <x v="60"/>
    <x v="96"/>
    <n v="74"/>
    <x v="1"/>
    <n v="2"/>
    <x v="0"/>
    <n v="1"/>
  </r>
  <r>
    <s v="C0734"/>
    <n v="48"/>
    <x v="1"/>
    <n v="0"/>
    <x v="0"/>
    <n v="2"/>
    <x v="9"/>
    <n v="3"/>
    <x v="733"/>
    <x v="38"/>
    <x v="20"/>
    <n v="31"/>
    <x v="1"/>
    <n v="2"/>
    <x v="1"/>
    <n v="0"/>
  </r>
  <r>
    <s v="C0735"/>
    <n v="43"/>
    <x v="1"/>
    <n v="0"/>
    <x v="2"/>
    <n v="1"/>
    <x v="5"/>
    <n v="2"/>
    <x v="734"/>
    <x v="46"/>
    <x v="7"/>
    <n v="44"/>
    <x v="1"/>
    <n v="2"/>
    <x v="1"/>
    <n v="0"/>
  </r>
  <r>
    <s v="C0736"/>
    <n v="23"/>
    <x v="1"/>
    <n v="0"/>
    <x v="0"/>
    <n v="2"/>
    <x v="1"/>
    <n v="4"/>
    <x v="735"/>
    <x v="14"/>
    <x v="98"/>
    <n v="60"/>
    <x v="0"/>
    <n v="1"/>
    <x v="0"/>
    <n v="1"/>
  </r>
  <r>
    <s v="C0737"/>
    <n v="44"/>
    <x v="1"/>
    <n v="0"/>
    <x v="2"/>
    <n v="1"/>
    <x v="4"/>
    <n v="5"/>
    <x v="736"/>
    <x v="12"/>
    <x v="0"/>
    <n v="69"/>
    <x v="1"/>
    <n v="2"/>
    <x v="0"/>
    <n v="1"/>
  </r>
  <r>
    <s v="C0738"/>
    <n v="40"/>
    <x v="0"/>
    <n v="1"/>
    <x v="2"/>
    <n v="1"/>
    <x v="9"/>
    <n v="3"/>
    <x v="737"/>
    <x v="65"/>
    <x v="28"/>
    <n v="87"/>
    <x v="0"/>
    <n v="1"/>
    <x v="0"/>
    <n v="1"/>
  </r>
  <r>
    <s v="C0739"/>
    <n v="48"/>
    <x v="0"/>
    <n v="1"/>
    <x v="1"/>
    <n v="4"/>
    <x v="1"/>
    <n v="4"/>
    <x v="738"/>
    <x v="52"/>
    <x v="62"/>
    <n v="96"/>
    <x v="2"/>
    <n v="3"/>
    <x v="0"/>
    <n v="1"/>
  </r>
  <r>
    <s v="C0740"/>
    <n v="44"/>
    <x v="1"/>
    <n v="0"/>
    <x v="0"/>
    <n v="2"/>
    <x v="3"/>
    <n v="5"/>
    <x v="739"/>
    <x v="34"/>
    <x v="32"/>
    <n v="52"/>
    <x v="2"/>
    <n v="3"/>
    <x v="1"/>
    <n v="0"/>
  </r>
  <r>
    <s v="C0741"/>
    <n v="23"/>
    <x v="0"/>
    <n v="1"/>
    <x v="3"/>
    <n v="3"/>
    <x v="10"/>
    <n v="5"/>
    <x v="740"/>
    <x v="100"/>
    <x v="6"/>
    <n v="50"/>
    <x v="1"/>
    <n v="2"/>
    <x v="1"/>
    <n v="0"/>
  </r>
  <r>
    <s v="C0742"/>
    <n v="29"/>
    <x v="0"/>
    <n v="1"/>
    <x v="0"/>
    <n v="2"/>
    <x v="10"/>
    <n v="3"/>
    <x v="741"/>
    <x v="64"/>
    <x v="94"/>
    <n v="75"/>
    <x v="1"/>
    <n v="2"/>
    <x v="1"/>
    <n v="0"/>
  </r>
  <r>
    <s v="C0743"/>
    <n v="24"/>
    <x v="0"/>
    <n v="1"/>
    <x v="0"/>
    <n v="2"/>
    <x v="9"/>
    <n v="3"/>
    <x v="742"/>
    <x v="58"/>
    <x v="42"/>
    <n v="55"/>
    <x v="0"/>
    <n v="1"/>
    <x v="1"/>
    <n v="0"/>
  </r>
  <r>
    <s v="C0744"/>
    <n v="28"/>
    <x v="1"/>
    <n v="0"/>
    <x v="2"/>
    <n v="1"/>
    <x v="15"/>
    <n v="2"/>
    <x v="743"/>
    <x v="4"/>
    <x v="39"/>
    <n v="26"/>
    <x v="1"/>
    <n v="2"/>
    <x v="1"/>
    <n v="0"/>
  </r>
  <r>
    <s v="C0745"/>
    <n v="43"/>
    <x v="1"/>
    <n v="0"/>
    <x v="0"/>
    <n v="2"/>
    <x v="0"/>
    <n v="4"/>
    <x v="744"/>
    <x v="47"/>
    <x v="44"/>
    <n v="37"/>
    <x v="1"/>
    <n v="2"/>
    <x v="1"/>
    <n v="0"/>
  </r>
  <r>
    <s v="C0746"/>
    <n v="22"/>
    <x v="1"/>
    <n v="0"/>
    <x v="3"/>
    <n v="3"/>
    <x v="3"/>
    <n v="4"/>
    <x v="745"/>
    <x v="32"/>
    <x v="29"/>
    <n v="61"/>
    <x v="1"/>
    <n v="2"/>
    <x v="1"/>
    <n v="0"/>
  </r>
  <r>
    <s v="C0747"/>
    <n v="36"/>
    <x v="0"/>
    <n v="1"/>
    <x v="1"/>
    <n v="4"/>
    <x v="1"/>
    <n v="3"/>
    <x v="746"/>
    <x v="22"/>
    <x v="7"/>
    <n v="17"/>
    <x v="0"/>
    <n v="1"/>
    <x v="0"/>
    <n v="1"/>
  </r>
  <r>
    <s v="C0748"/>
    <n v="22"/>
    <x v="1"/>
    <n v="0"/>
    <x v="0"/>
    <n v="2"/>
    <x v="8"/>
    <n v="5"/>
    <x v="747"/>
    <x v="32"/>
    <x v="43"/>
    <n v="63"/>
    <x v="2"/>
    <n v="3"/>
    <x v="1"/>
    <n v="0"/>
  </r>
  <r>
    <s v="C0749"/>
    <n v="35"/>
    <x v="1"/>
    <n v="0"/>
    <x v="0"/>
    <n v="2"/>
    <x v="3"/>
    <n v="3"/>
    <x v="748"/>
    <x v="90"/>
    <x v="74"/>
    <n v="76"/>
    <x v="1"/>
    <n v="2"/>
    <x v="1"/>
    <n v="0"/>
  </r>
  <r>
    <s v="C0750"/>
    <n v="23"/>
    <x v="1"/>
    <n v="0"/>
    <x v="0"/>
    <n v="2"/>
    <x v="8"/>
    <n v="5"/>
    <x v="749"/>
    <x v="37"/>
    <x v="41"/>
    <n v="29"/>
    <x v="2"/>
    <n v="3"/>
    <x v="1"/>
    <n v="0"/>
  </r>
  <r>
    <s v="C0751"/>
    <n v="37"/>
    <x v="1"/>
    <n v="0"/>
    <x v="1"/>
    <n v="4"/>
    <x v="15"/>
    <n v="5"/>
    <x v="750"/>
    <x v="36"/>
    <x v="60"/>
    <n v="48"/>
    <x v="2"/>
    <n v="3"/>
    <x v="1"/>
    <n v="0"/>
  </r>
  <r>
    <s v="C0752"/>
    <n v="36"/>
    <x v="1"/>
    <n v="0"/>
    <x v="0"/>
    <n v="2"/>
    <x v="2"/>
    <n v="3"/>
    <x v="751"/>
    <x v="8"/>
    <x v="55"/>
    <n v="40"/>
    <x v="2"/>
    <n v="3"/>
    <x v="1"/>
    <n v="0"/>
  </r>
  <r>
    <s v="C0753"/>
    <n v="26"/>
    <x v="1"/>
    <n v="0"/>
    <x v="0"/>
    <n v="2"/>
    <x v="14"/>
    <n v="1"/>
    <x v="752"/>
    <x v="100"/>
    <x v="15"/>
    <n v="12"/>
    <x v="0"/>
    <n v="1"/>
    <x v="0"/>
    <n v="1"/>
  </r>
  <r>
    <s v="C0754"/>
    <n v="43"/>
    <x v="0"/>
    <n v="1"/>
    <x v="3"/>
    <n v="3"/>
    <x v="15"/>
    <n v="4"/>
    <x v="753"/>
    <x v="77"/>
    <x v="53"/>
    <n v="33"/>
    <x v="0"/>
    <n v="1"/>
    <x v="0"/>
    <n v="1"/>
  </r>
  <r>
    <s v="C0755"/>
    <n v="42"/>
    <x v="0"/>
    <n v="1"/>
    <x v="2"/>
    <n v="1"/>
    <x v="1"/>
    <n v="5"/>
    <x v="754"/>
    <x v="41"/>
    <x v="0"/>
    <n v="99"/>
    <x v="1"/>
    <n v="2"/>
    <x v="1"/>
    <n v="0"/>
  </r>
  <r>
    <s v="C0756"/>
    <n v="49"/>
    <x v="1"/>
    <n v="0"/>
    <x v="2"/>
    <n v="1"/>
    <x v="5"/>
    <n v="5"/>
    <x v="755"/>
    <x v="68"/>
    <x v="13"/>
    <n v="93"/>
    <x v="0"/>
    <n v="1"/>
    <x v="0"/>
    <n v="1"/>
  </r>
  <r>
    <s v="C0757"/>
    <n v="24"/>
    <x v="1"/>
    <n v="0"/>
    <x v="0"/>
    <n v="2"/>
    <x v="15"/>
    <n v="1"/>
    <x v="756"/>
    <x v="15"/>
    <x v="37"/>
    <n v="24"/>
    <x v="1"/>
    <n v="2"/>
    <x v="1"/>
    <n v="0"/>
  </r>
  <r>
    <s v="C0758"/>
    <n v="31"/>
    <x v="0"/>
    <n v="1"/>
    <x v="1"/>
    <n v="4"/>
    <x v="8"/>
    <n v="2"/>
    <x v="757"/>
    <x v="52"/>
    <x v="80"/>
    <n v="65"/>
    <x v="1"/>
    <n v="2"/>
    <x v="0"/>
    <n v="1"/>
  </r>
  <r>
    <s v="C0759"/>
    <n v="36"/>
    <x v="0"/>
    <n v="1"/>
    <x v="0"/>
    <n v="2"/>
    <x v="1"/>
    <n v="1"/>
    <x v="758"/>
    <x v="37"/>
    <x v="92"/>
    <n v="99"/>
    <x v="1"/>
    <n v="2"/>
    <x v="1"/>
    <n v="0"/>
  </r>
  <r>
    <s v="C0760"/>
    <n v="42"/>
    <x v="1"/>
    <n v="0"/>
    <x v="0"/>
    <n v="2"/>
    <x v="11"/>
    <n v="1"/>
    <x v="759"/>
    <x v="56"/>
    <x v="15"/>
    <n v="17"/>
    <x v="0"/>
    <n v="1"/>
    <x v="0"/>
    <n v="1"/>
  </r>
  <r>
    <s v="C0761"/>
    <n v="32"/>
    <x v="1"/>
    <n v="0"/>
    <x v="0"/>
    <n v="2"/>
    <x v="7"/>
    <n v="5"/>
    <x v="760"/>
    <x v="28"/>
    <x v="78"/>
    <n v="4"/>
    <x v="2"/>
    <n v="3"/>
    <x v="1"/>
    <n v="0"/>
  </r>
  <r>
    <s v="C0762"/>
    <n v="42"/>
    <x v="1"/>
    <n v="0"/>
    <x v="0"/>
    <n v="2"/>
    <x v="1"/>
    <n v="4"/>
    <x v="761"/>
    <x v="96"/>
    <x v="15"/>
    <n v="18"/>
    <x v="0"/>
    <n v="1"/>
    <x v="1"/>
    <n v="0"/>
  </r>
  <r>
    <s v="C0763"/>
    <n v="44"/>
    <x v="1"/>
    <n v="0"/>
    <x v="0"/>
    <n v="2"/>
    <x v="15"/>
    <n v="1"/>
    <x v="762"/>
    <x v="0"/>
    <x v="3"/>
    <n v="41"/>
    <x v="1"/>
    <n v="2"/>
    <x v="1"/>
    <n v="0"/>
  </r>
  <r>
    <s v="C0764"/>
    <n v="22"/>
    <x v="0"/>
    <n v="1"/>
    <x v="0"/>
    <n v="2"/>
    <x v="7"/>
    <n v="2"/>
    <x v="763"/>
    <x v="17"/>
    <x v="83"/>
    <n v="17"/>
    <x v="1"/>
    <n v="2"/>
    <x v="1"/>
    <n v="0"/>
  </r>
  <r>
    <s v="C0765"/>
    <n v="28"/>
    <x v="1"/>
    <n v="0"/>
    <x v="0"/>
    <n v="2"/>
    <x v="5"/>
    <n v="3"/>
    <x v="764"/>
    <x v="32"/>
    <x v="93"/>
    <n v="31"/>
    <x v="1"/>
    <n v="2"/>
    <x v="1"/>
    <n v="0"/>
  </r>
  <r>
    <s v="C0766"/>
    <n v="49"/>
    <x v="1"/>
    <n v="0"/>
    <x v="0"/>
    <n v="2"/>
    <x v="5"/>
    <n v="1"/>
    <x v="765"/>
    <x v="0"/>
    <x v="100"/>
    <n v="20"/>
    <x v="1"/>
    <n v="2"/>
    <x v="1"/>
    <n v="0"/>
  </r>
  <r>
    <s v="C0767"/>
    <n v="36"/>
    <x v="1"/>
    <n v="0"/>
    <x v="0"/>
    <n v="2"/>
    <x v="8"/>
    <n v="1"/>
    <x v="766"/>
    <x v="86"/>
    <x v="36"/>
    <n v="9"/>
    <x v="0"/>
    <n v="1"/>
    <x v="1"/>
    <n v="0"/>
  </r>
  <r>
    <s v="C0768"/>
    <n v="36"/>
    <x v="1"/>
    <n v="0"/>
    <x v="0"/>
    <n v="2"/>
    <x v="1"/>
    <n v="2"/>
    <x v="767"/>
    <x v="64"/>
    <x v="62"/>
    <n v="36"/>
    <x v="1"/>
    <n v="2"/>
    <x v="1"/>
    <n v="0"/>
  </r>
  <r>
    <s v="C0769"/>
    <n v="49"/>
    <x v="0"/>
    <n v="1"/>
    <x v="3"/>
    <n v="3"/>
    <x v="1"/>
    <n v="4"/>
    <x v="768"/>
    <x v="47"/>
    <x v="15"/>
    <n v="48"/>
    <x v="0"/>
    <n v="1"/>
    <x v="0"/>
    <n v="1"/>
  </r>
  <r>
    <s v="C0770"/>
    <n v="39"/>
    <x v="0"/>
    <n v="1"/>
    <x v="2"/>
    <n v="1"/>
    <x v="0"/>
    <n v="1"/>
    <x v="769"/>
    <x v="96"/>
    <x v="54"/>
    <n v="85"/>
    <x v="0"/>
    <n v="1"/>
    <x v="0"/>
    <n v="1"/>
  </r>
  <r>
    <s v="C0771"/>
    <n v="35"/>
    <x v="0"/>
    <n v="1"/>
    <x v="3"/>
    <n v="3"/>
    <x v="7"/>
    <n v="1"/>
    <x v="770"/>
    <x v="83"/>
    <x v="5"/>
    <n v="12"/>
    <x v="1"/>
    <n v="2"/>
    <x v="1"/>
    <n v="0"/>
  </r>
  <r>
    <s v="C0772"/>
    <n v="44"/>
    <x v="1"/>
    <n v="0"/>
    <x v="3"/>
    <n v="3"/>
    <x v="2"/>
    <n v="4"/>
    <x v="771"/>
    <x v="34"/>
    <x v="22"/>
    <n v="54"/>
    <x v="1"/>
    <n v="2"/>
    <x v="1"/>
    <n v="0"/>
  </r>
  <r>
    <s v="C0773"/>
    <n v="41"/>
    <x v="1"/>
    <n v="0"/>
    <x v="0"/>
    <n v="2"/>
    <x v="15"/>
    <n v="2"/>
    <x v="772"/>
    <x v="55"/>
    <x v="57"/>
    <n v="16"/>
    <x v="1"/>
    <n v="2"/>
    <x v="1"/>
    <n v="0"/>
  </r>
  <r>
    <s v="C0774"/>
    <n v="32"/>
    <x v="0"/>
    <n v="1"/>
    <x v="0"/>
    <n v="2"/>
    <x v="15"/>
    <n v="1"/>
    <x v="773"/>
    <x v="20"/>
    <x v="34"/>
    <n v="8"/>
    <x v="1"/>
    <n v="2"/>
    <x v="1"/>
    <n v="0"/>
  </r>
  <r>
    <s v="C0775"/>
    <n v="46"/>
    <x v="1"/>
    <n v="0"/>
    <x v="0"/>
    <n v="2"/>
    <x v="13"/>
    <n v="4"/>
    <x v="774"/>
    <x v="23"/>
    <x v="55"/>
    <n v="87"/>
    <x v="2"/>
    <n v="3"/>
    <x v="1"/>
    <n v="0"/>
  </r>
  <r>
    <s v="C0776"/>
    <n v="38"/>
    <x v="1"/>
    <n v="0"/>
    <x v="0"/>
    <n v="2"/>
    <x v="7"/>
    <n v="1"/>
    <x v="775"/>
    <x v="56"/>
    <x v="52"/>
    <n v="43"/>
    <x v="2"/>
    <n v="3"/>
    <x v="1"/>
    <n v="0"/>
  </r>
  <r>
    <s v="C0777"/>
    <n v="36"/>
    <x v="0"/>
    <n v="1"/>
    <x v="0"/>
    <n v="2"/>
    <x v="3"/>
    <n v="3"/>
    <x v="776"/>
    <x v="10"/>
    <x v="46"/>
    <n v="77"/>
    <x v="1"/>
    <n v="2"/>
    <x v="1"/>
    <n v="0"/>
  </r>
  <r>
    <s v="C0778"/>
    <n v="23"/>
    <x v="0"/>
    <n v="1"/>
    <x v="2"/>
    <n v="1"/>
    <x v="15"/>
    <n v="5"/>
    <x v="777"/>
    <x v="12"/>
    <x v="28"/>
    <n v="45"/>
    <x v="0"/>
    <n v="1"/>
    <x v="0"/>
    <n v="1"/>
  </r>
  <r>
    <s v="C0779"/>
    <n v="31"/>
    <x v="0"/>
    <n v="1"/>
    <x v="0"/>
    <n v="2"/>
    <x v="6"/>
    <n v="3"/>
    <x v="778"/>
    <x v="99"/>
    <x v="43"/>
    <n v="7"/>
    <x v="1"/>
    <n v="2"/>
    <x v="1"/>
    <n v="0"/>
  </r>
  <r>
    <s v="C0780"/>
    <n v="48"/>
    <x v="0"/>
    <n v="1"/>
    <x v="3"/>
    <n v="3"/>
    <x v="5"/>
    <n v="1"/>
    <x v="779"/>
    <x v="32"/>
    <x v="61"/>
    <n v="36"/>
    <x v="0"/>
    <n v="1"/>
    <x v="0"/>
    <n v="1"/>
  </r>
  <r>
    <s v="C0781"/>
    <n v="28"/>
    <x v="1"/>
    <n v="0"/>
    <x v="0"/>
    <n v="2"/>
    <x v="14"/>
    <n v="2"/>
    <x v="780"/>
    <x v="69"/>
    <x v="88"/>
    <n v="18"/>
    <x v="1"/>
    <n v="2"/>
    <x v="1"/>
    <n v="0"/>
  </r>
  <r>
    <s v="C0782"/>
    <n v="38"/>
    <x v="1"/>
    <n v="0"/>
    <x v="3"/>
    <n v="3"/>
    <x v="8"/>
    <n v="5"/>
    <x v="781"/>
    <x v="11"/>
    <x v="34"/>
    <n v="62"/>
    <x v="1"/>
    <n v="2"/>
    <x v="0"/>
    <n v="1"/>
  </r>
  <r>
    <s v="C0783"/>
    <n v="31"/>
    <x v="0"/>
    <n v="1"/>
    <x v="0"/>
    <n v="2"/>
    <x v="13"/>
    <n v="3"/>
    <x v="782"/>
    <x v="34"/>
    <x v="74"/>
    <n v="91"/>
    <x v="1"/>
    <n v="2"/>
    <x v="1"/>
    <n v="0"/>
  </r>
  <r>
    <s v="C0784"/>
    <n v="28"/>
    <x v="1"/>
    <n v="0"/>
    <x v="3"/>
    <n v="3"/>
    <x v="7"/>
    <n v="4"/>
    <x v="783"/>
    <x v="67"/>
    <x v="10"/>
    <n v="45"/>
    <x v="1"/>
    <n v="2"/>
    <x v="1"/>
    <n v="0"/>
  </r>
  <r>
    <s v="C0785"/>
    <n v="26"/>
    <x v="0"/>
    <n v="1"/>
    <x v="0"/>
    <n v="2"/>
    <x v="3"/>
    <n v="2"/>
    <x v="784"/>
    <x v="81"/>
    <x v="61"/>
    <n v="93"/>
    <x v="0"/>
    <n v="1"/>
    <x v="0"/>
    <n v="1"/>
  </r>
  <r>
    <s v="C0786"/>
    <n v="47"/>
    <x v="0"/>
    <n v="1"/>
    <x v="2"/>
    <n v="1"/>
    <x v="3"/>
    <n v="3"/>
    <x v="785"/>
    <x v="67"/>
    <x v="11"/>
    <n v="70"/>
    <x v="1"/>
    <n v="2"/>
    <x v="1"/>
    <n v="0"/>
  </r>
  <r>
    <s v="C0787"/>
    <n v="33"/>
    <x v="1"/>
    <n v="0"/>
    <x v="0"/>
    <n v="2"/>
    <x v="5"/>
    <n v="4"/>
    <x v="786"/>
    <x v="66"/>
    <x v="42"/>
    <n v="25"/>
    <x v="1"/>
    <n v="2"/>
    <x v="1"/>
    <n v="0"/>
  </r>
  <r>
    <s v="C0788"/>
    <n v="50"/>
    <x v="0"/>
    <n v="1"/>
    <x v="2"/>
    <n v="1"/>
    <x v="6"/>
    <n v="1"/>
    <x v="787"/>
    <x v="39"/>
    <x v="44"/>
    <n v="45"/>
    <x v="1"/>
    <n v="2"/>
    <x v="1"/>
    <n v="0"/>
  </r>
  <r>
    <s v="C0789"/>
    <n v="39"/>
    <x v="1"/>
    <n v="0"/>
    <x v="0"/>
    <n v="2"/>
    <x v="9"/>
    <n v="4"/>
    <x v="788"/>
    <x v="30"/>
    <x v="8"/>
    <n v="45"/>
    <x v="1"/>
    <n v="2"/>
    <x v="1"/>
    <n v="0"/>
  </r>
  <r>
    <s v="C0790"/>
    <n v="38"/>
    <x v="1"/>
    <n v="0"/>
    <x v="1"/>
    <n v="4"/>
    <x v="10"/>
    <n v="3"/>
    <x v="789"/>
    <x v="35"/>
    <x v="100"/>
    <n v="74"/>
    <x v="1"/>
    <n v="2"/>
    <x v="1"/>
    <n v="0"/>
  </r>
  <r>
    <s v="C0791"/>
    <n v="45"/>
    <x v="1"/>
    <n v="0"/>
    <x v="2"/>
    <n v="1"/>
    <x v="0"/>
    <n v="3"/>
    <x v="790"/>
    <x v="94"/>
    <x v="14"/>
    <n v="13"/>
    <x v="1"/>
    <n v="2"/>
    <x v="1"/>
    <n v="0"/>
  </r>
  <r>
    <s v="C0792"/>
    <n v="34"/>
    <x v="1"/>
    <n v="0"/>
    <x v="0"/>
    <n v="2"/>
    <x v="8"/>
    <n v="1"/>
    <x v="791"/>
    <x v="32"/>
    <x v="73"/>
    <n v="84"/>
    <x v="1"/>
    <n v="2"/>
    <x v="1"/>
    <n v="0"/>
  </r>
  <r>
    <s v="C0793"/>
    <n v="35"/>
    <x v="0"/>
    <n v="1"/>
    <x v="3"/>
    <n v="3"/>
    <x v="2"/>
    <n v="4"/>
    <x v="792"/>
    <x v="63"/>
    <x v="14"/>
    <n v="62"/>
    <x v="0"/>
    <n v="1"/>
    <x v="0"/>
    <n v="1"/>
  </r>
  <r>
    <s v="C0794"/>
    <n v="40"/>
    <x v="1"/>
    <n v="0"/>
    <x v="3"/>
    <n v="3"/>
    <x v="8"/>
    <n v="4"/>
    <x v="793"/>
    <x v="53"/>
    <x v="49"/>
    <n v="71"/>
    <x v="0"/>
    <n v="1"/>
    <x v="0"/>
    <n v="1"/>
  </r>
  <r>
    <s v="C0795"/>
    <n v="24"/>
    <x v="0"/>
    <n v="1"/>
    <x v="0"/>
    <n v="2"/>
    <x v="4"/>
    <n v="1"/>
    <x v="794"/>
    <x v="95"/>
    <x v="65"/>
    <n v="2"/>
    <x v="1"/>
    <n v="2"/>
    <x v="1"/>
    <n v="0"/>
  </r>
  <r>
    <s v="C0796"/>
    <n v="22"/>
    <x v="0"/>
    <n v="1"/>
    <x v="0"/>
    <n v="2"/>
    <x v="5"/>
    <n v="4"/>
    <x v="795"/>
    <x v="27"/>
    <x v="82"/>
    <n v="27"/>
    <x v="0"/>
    <n v="1"/>
    <x v="0"/>
    <n v="1"/>
  </r>
  <r>
    <s v="C0797"/>
    <n v="31"/>
    <x v="0"/>
    <n v="1"/>
    <x v="0"/>
    <n v="2"/>
    <x v="8"/>
    <n v="1"/>
    <x v="796"/>
    <x v="21"/>
    <x v="23"/>
    <n v="28"/>
    <x v="1"/>
    <n v="2"/>
    <x v="1"/>
    <n v="0"/>
  </r>
  <r>
    <s v="C0798"/>
    <n v="44"/>
    <x v="0"/>
    <n v="1"/>
    <x v="0"/>
    <n v="2"/>
    <x v="15"/>
    <n v="2"/>
    <x v="797"/>
    <x v="24"/>
    <x v="39"/>
    <n v="86"/>
    <x v="1"/>
    <n v="2"/>
    <x v="1"/>
    <n v="0"/>
  </r>
  <r>
    <s v="C0799"/>
    <n v="39"/>
    <x v="1"/>
    <n v="0"/>
    <x v="3"/>
    <n v="3"/>
    <x v="11"/>
    <n v="3"/>
    <x v="798"/>
    <x v="36"/>
    <x v="34"/>
    <n v="17"/>
    <x v="2"/>
    <n v="3"/>
    <x v="1"/>
    <n v="0"/>
  </r>
  <r>
    <s v="C0800"/>
    <n v="46"/>
    <x v="1"/>
    <n v="0"/>
    <x v="1"/>
    <n v="4"/>
    <x v="7"/>
    <n v="2"/>
    <x v="799"/>
    <x v="71"/>
    <x v="78"/>
    <n v="34"/>
    <x v="2"/>
    <n v="3"/>
    <x v="1"/>
    <n v="0"/>
  </r>
  <r>
    <s v="C0801"/>
    <n v="40"/>
    <x v="0"/>
    <n v="1"/>
    <x v="3"/>
    <n v="3"/>
    <x v="7"/>
    <n v="5"/>
    <x v="800"/>
    <x v="92"/>
    <x v="28"/>
    <n v="76"/>
    <x v="0"/>
    <n v="1"/>
    <x v="0"/>
    <n v="1"/>
  </r>
  <r>
    <s v="C0802"/>
    <n v="23"/>
    <x v="0"/>
    <n v="1"/>
    <x v="3"/>
    <n v="3"/>
    <x v="8"/>
    <n v="5"/>
    <x v="801"/>
    <x v="64"/>
    <x v="54"/>
    <n v="75"/>
    <x v="2"/>
    <n v="3"/>
    <x v="0"/>
    <n v="1"/>
  </r>
  <r>
    <s v="C0803"/>
    <n v="40"/>
    <x v="1"/>
    <n v="0"/>
    <x v="2"/>
    <n v="1"/>
    <x v="13"/>
    <n v="5"/>
    <x v="802"/>
    <x v="85"/>
    <x v="68"/>
    <n v="46"/>
    <x v="1"/>
    <n v="2"/>
    <x v="1"/>
    <n v="0"/>
  </r>
  <r>
    <s v="C0804"/>
    <n v="42"/>
    <x v="0"/>
    <n v="1"/>
    <x v="3"/>
    <n v="3"/>
    <x v="13"/>
    <n v="1"/>
    <x v="803"/>
    <x v="6"/>
    <x v="56"/>
    <n v="4"/>
    <x v="1"/>
    <n v="2"/>
    <x v="1"/>
    <n v="0"/>
  </r>
  <r>
    <s v="C0805"/>
    <n v="35"/>
    <x v="1"/>
    <n v="0"/>
    <x v="3"/>
    <n v="3"/>
    <x v="1"/>
    <n v="4"/>
    <x v="804"/>
    <x v="67"/>
    <x v="18"/>
    <n v="74"/>
    <x v="0"/>
    <n v="1"/>
    <x v="0"/>
    <n v="1"/>
  </r>
  <r>
    <s v="C0806"/>
    <n v="44"/>
    <x v="0"/>
    <n v="1"/>
    <x v="2"/>
    <n v="1"/>
    <x v="11"/>
    <n v="2"/>
    <x v="805"/>
    <x v="14"/>
    <x v="86"/>
    <n v="58"/>
    <x v="2"/>
    <n v="3"/>
    <x v="1"/>
    <n v="0"/>
  </r>
  <r>
    <s v="C0807"/>
    <n v="26"/>
    <x v="1"/>
    <n v="0"/>
    <x v="3"/>
    <n v="3"/>
    <x v="7"/>
    <n v="2"/>
    <x v="806"/>
    <x v="82"/>
    <x v="77"/>
    <n v="74"/>
    <x v="0"/>
    <n v="1"/>
    <x v="0"/>
    <n v="1"/>
  </r>
  <r>
    <s v="C0808"/>
    <n v="32"/>
    <x v="0"/>
    <n v="1"/>
    <x v="0"/>
    <n v="2"/>
    <x v="12"/>
    <n v="2"/>
    <x v="807"/>
    <x v="21"/>
    <x v="5"/>
    <n v="58"/>
    <x v="2"/>
    <n v="3"/>
    <x v="1"/>
    <n v="0"/>
  </r>
  <r>
    <s v="C0809"/>
    <n v="40"/>
    <x v="0"/>
    <n v="1"/>
    <x v="0"/>
    <n v="2"/>
    <x v="2"/>
    <n v="2"/>
    <x v="808"/>
    <x v="80"/>
    <x v="91"/>
    <n v="46"/>
    <x v="0"/>
    <n v="1"/>
    <x v="0"/>
    <n v="1"/>
  </r>
  <r>
    <s v="C0810"/>
    <n v="29"/>
    <x v="1"/>
    <n v="0"/>
    <x v="3"/>
    <n v="3"/>
    <x v="1"/>
    <n v="5"/>
    <x v="809"/>
    <x v="61"/>
    <x v="99"/>
    <n v="94"/>
    <x v="1"/>
    <n v="2"/>
    <x v="1"/>
    <n v="0"/>
  </r>
  <r>
    <s v="C0811"/>
    <n v="45"/>
    <x v="0"/>
    <n v="1"/>
    <x v="0"/>
    <n v="2"/>
    <x v="1"/>
    <n v="2"/>
    <x v="810"/>
    <x v="5"/>
    <x v="8"/>
    <n v="94"/>
    <x v="1"/>
    <n v="2"/>
    <x v="1"/>
    <n v="0"/>
  </r>
  <r>
    <s v="C0812"/>
    <n v="26"/>
    <x v="0"/>
    <n v="1"/>
    <x v="2"/>
    <n v="1"/>
    <x v="5"/>
    <n v="4"/>
    <x v="811"/>
    <x v="44"/>
    <x v="14"/>
    <n v="12"/>
    <x v="0"/>
    <n v="1"/>
    <x v="1"/>
    <n v="0"/>
  </r>
  <r>
    <s v="C0813"/>
    <n v="33"/>
    <x v="1"/>
    <n v="0"/>
    <x v="0"/>
    <n v="2"/>
    <x v="7"/>
    <n v="5"/>
    <x v="812"/>
    <x v="63"/>
    <x v="92"/>
    <n v="77"/>
    <x v="0"/>
    <n v="1"/>
    <x v="0"/>
    <n v="1"/>
  </r>
  <r>
    <s v="C0814"/>
    <n v="50"/>
    <x v="0"/>
    <n v="1"/>
    <x v="0"/>
    <n v="2"/>
    <x v="15"/>
    <n v="2"/>
    <x v="813"/>
    <x v="41"/>
    <x v="96"/>
    <n v="88"/>
    <x v="1"/>
    <n v="2"/>
    <x v="1"/>
    <n v="0"/>
  </r>
  <r>
    <s v="C0815"/>
    <n v="45"/>
    <x v="1"/>
    <n v="0"/>
    <x v="1"/>
    <n v="4"/>
    <x v="10"/>
    <n v="1"/>
    <x v="814"/>
    <x v="37"/>
    <x v="54"/>
    <n v="32"/>
    <x v="0"/>
    <n v="1"/>
    <x v="0"/>
    <n v="1"/>
  </r>
  <r>
    <s v="C0816"/>
    <n v="24"/>
    <x v="1"/>
    <n v="0"/>
    <x v="0"/>
    <n v="2"/>
    <x v="11"/>
    <n v="3"/>
    <x v="815"/>
    <x v="75"/>
    <x v="87"/>
    <n v="96"/>
    <x v="1"/>
    <n v="2"/>
    <x v="1"/>
    <n v="0"/>
  </r>
  <r>
    <s v="C0817"/>
    <n v="22"/>
    <x v="0"/>
    <n v="1"/>
    <x v="0"/>
    <n v="2"/>
    <x v="1"/>
    <n v="3"/>
    <x v="816"/>
    <x v="44"/>
    <x v="30"/>
    <n v="61"/>
    <x v="1"/>
    <n v="2"/>
    <x v="1"/>
    <n v="0"/>
  </r>
  <r>
    <s v="C0818"/>
    <n v="42"/>
    <x v="0"/>
    <n v="1"/>
    <x v="3"/>
    <n v="3"/>
    <x v="15"/>
    <n v="3"/>
    <x v="817"/>
    <x v="34"/>
    <x v="26"/>
    <n v="78"/>
    <x v="2"/>
    <n v="3"/>
    <x v="0"/>
    <n v="1"/>
  </r>
  <r>
    <s v="C0819"/>
    <n v="48"/>
    <x v="0"/>
    <n v="1"/>
    <x v="0"/>
    <n v="2"/>
    <x v="12"/>
    <n v="5"/>
    <x v="818"/>
    <x v="48"/>
    <x v="1"/>
    <n v="15"/>
    <x v="1"/>
    <n v="2"/>
    <x v="1"/>
    <n v="0"/>
  </r>
  <r>
    <s v="C0820"/>
    <n v="30"/>
    <x v="0"/>
    <n v="1"/>
    <x v="0"/>
    <n v="2"/>
    <x v="2"/>
    <n v="2"/>
    <x v="819"/>
    <x v="71"/>
    <x v="34"/>
    <n v="43"/>
    <x v="0"/>
    <n v="1"/>
    <x v="1"/>
    <n v="0"/>
  </r>
  <r>
    <s v="C0821"/>
    <n v="30"/>
    <x v="0"/>
    <n v="1"/>
    <x v="0"/>
    <n v="2"/>
    <x v="8"/>
    <n v="5"/>
    <x v="820"/>
    <x v="68"/>
    <x v="0"/>
    <n v="57"/>
    <x v="1"/>
    <n v="2"/>
    <x v="1"/>
    <n v="0"/>
  </r>
  <r>
    <s v="C0822"/>
    <n v="37"/>
    <x v="0"/>
    <n v="1"/>
    <x v="3"/>
    <n v="3"/>
    <x v="7"/>
    <n v="4"/>
    <x v="821"/>
    <x v="95"/>
    <x v="94"/>
    <n v="5"/>
    <x v="0"/>
    <n v="1"/>
    <x v="1"/>
    <n v="0"/>
  </r>
  <r>
    <s v="C0823"/>
    <n v="34"/>
    <x v="0"/>
    <n v="1"/>
    <x v="0"/>
    <n v="2"/>
    <x v="4"/>
    <n v="1"/>
    <x v="822"/>
    <x v="65"/>
    <x v="25"/>
    <n v="88"/>
    <x v="2"/>
    <n v="3"/>
    <x v="1"/>
    <n v="0"/>
  </r>
  <r>
    <s v="C0824"/>
    <n v="31"/>
    <x v="1"/>
    <n v="0"/>
    <x v="0"/>
    <n v="2"/>
    <x v="9"/>
    <n v="1"/>
    <x v="823"/>
    <x v="1"/>
    <x v="57"/>
    <n v="14"/>
    <x v="2"/>
    <n v="3"/>
    <x v="1"/>
    <n v="0"/>
  </r>
  <r>
    <s v="C0825"/>
    <n v="28"/>
    <x v="0"/>
    <n v="1"/>
    <x v="2"/>
    <n v="1"/>
    <x v="15"/>
    <n v="3"/>
    <x v="824"/>
    <x v="55"/>
    <x v="47"/>
    <n v="3"/>
    <x v="1"/>
    <n v="2"/>
    <x v="1"/>
    <n v="0"/>
  </r>
  <r>
    <s v="C0826"/>
    <n v="29"/>
    <x v="1"/>
    <n v="0"/>
    <x v="2"/>
    <n v="1"/>
    <x v="6"/>
    <n v="3"/>
    <x v="825"/>
    <x v="55"/>
    <x v="55"/>
    <n v="55"/>
    <x v="0"/>
    <n v="1"/>
    <x v="0"/>
    <n v="1"/>
  </r>
  <r>
    <s v="C0827"/>
    <n v="45"/>
    <x v="0"/>
    <n v="1"/>
    <x v="2"/>
    <n v="1"/>
    <x v="10"/>
    <n v="3"/>
    <x v="826"/>
    <x v="54"/>
    <x v="23"/>
    <n v="63"/>
    <x v="2"/>
    <n v="3"/>
    <x v="1"/>
    <n v="0"/>
  </r>
  <r>
    <s v="C0828"/>
    <n v="31"/>
    <x v="0"/>
    <n v="1"/>
    <x v="2"/>
    <n v="1"/>
    <x v="4"/>
    <n v="2"/>
    <x v="827"/>
    <x v="51"/>
    <x v="27"/>
    <n v="67"/>
    <x v="2"/>
    <n v="3"/>
    <x v="1"/>
    <n v="0"/>
  </r>
  <r>
    <s v="C0829"/>
    <n v="36"/>
    <x v="1"/>
    <n v="0"/>
    <x v="0"/>
    <n v="2"/>
    <x v="14"/>
    <n v="4"/>
    <x v="828"/>
    <x v="0"/>
    <x v="59"/>
    <n v="93"/>
    <x v="2"/>
    <n v="3"/>
    <x v="1"/>
    <n v="0"/>
  </r>
  <r>
    <s v="C0830"/>
    <n v="48"/>
    <x v="0"/>
    <n v="1"/>
    <x v="3"/>
    <n v="3"/>
    <x v="13"/>
    <n v="4"/>
    <x v="829"/>
    <x v="48"/>
    <x v="0"/>
    <n v="33"/>
    <x v="2"/>
    <n v="3"/>
    <x v="1"/>
    <n v="0"/>
  </r>
  <r>
    <s v="C0831"/>
    <n v="25"/>
    <x v="0"/>
    <n v="1"/>
    <x v="0"/>
    <n v="2"/>
    <x v="5"/>
    <n v="4"/>
    <x v="830"/>
    <x v="57"/>
    <x v="61"/>
    <n v="90"/>
    <x v="1"/>
    <n v="2"/>
    <x v="0"/>
    <n v="1"/>
  </r>
  <r>
    <s v="C0832"/>
    <n v="26"/>
    <x v="1"/>
    <n v="0"/>
    <x v="3"/>
    <n v="3"/>
    <x v="15"/>
    <n v="4"/>
    <x v="831"/>
    <x v="21"/>
    <x v="69"/>
    <n v="94"/>
    <x v="0"/>
    <n v="1"/>
    <x v="0"/>
    <n v="1"/>
  </r>
  <r>
    <s v="C0833"/>
    <n v="33"/>
    <x v="0"/>
    <n v="1"/>
    <x v="1"/>
    <n v="4"/>
    <x v="13"/>
    <n v="3"/>
    <x v="832"/>
    <x v="73"/>
    <x v="12"/>
    <n v="55"/>
    <x v="1"/>
    <n v="2"/>
    <x v="1"/>
    <n v="0"/>
  </r>
  <r>
    <s v="C0834"/>
    <n v="32"/>
    <x v="0"/>
    <n v="1"/>
    <x v="3"/>
    <n v="3"/>
    <x v="7"/>
    <n v="1"/>
    <x v="833"/>
    <x v="30"/>
    <x v="63"/>
    <n v="31"/>
    <x v="1"/>
    <n v="2"/>
    <x v="1"/>
    <n v="0"/>
  </r>
  <r>
    <s v="C0835"/>
    <n v="27"/>
    <x v="0"/>
    <n v="1"/>
    <x v="0"/>
    <n v="2"/>
    <x v="13"/>
    <n v="3"/>
    <x v="834"/>
    <x v="61"/>
    <x v="76"/>
    <n v="8"/>
    <x v="1"/>
    <n v="2"/>
    <x v="1"/>
    <n v="0"/>
  </r>
  <r>
    <s v="C0836"/>
    <n v="29"/>
    <x v="1"/>
    <n v="0"/>
    <x v="0"/>
    <n v="2"/>
    <x v="14"/>
    <n v="4"/>
    <x v="835"/>
    <x v="11"/>
    <x v="40"/>
    <n v="62"/>
    <x v="1"/>
    <n v="2"/>
    <x v="1"/>
    <n v="0"/>
  </r>
  <r>
    <s v="C0837"/>
    <n v="28"/>
    <x v="0"/>
    <n v="1"/>
    <x v="0"/>
    <n v="2"/>
    <x v="10"/>
    <n v="3"/>
    <x v="836"/>
    <x v="24"/>
    <x v="49"/>
    <n v="71"/>
    <x v="0"/>
    <n v="1"/>
    <x v="0"/>
    <n v="1"/>
  </r>
  <r>
    <s v="C0838"/>
    <n v="37"/>
    <x v="0"/>
    <n v="1"/>
    <x v="2"/>
    <n v="1"/>
    <x v="2"/>
    <n v="4"/>
    <x v="837"/>
    <x v="21"/>
    <x v="7"/>
    <n v="77"/>
    <x v="1"/>
    <n v="2"/>
    <x v="1"/>
    <n v="0"/>
  </r>
  <r>
    <s v="C0839"/>
    <n v="46"/>
    <x v="0"/>
    <n v="1"/>
    <x v="0"/>
    <n v="2"/>
    <x v="3"/>
    <n v="5"/>
    <x v="838"/>
    <x v="9"/>
    <x v="11"/>
    <n v="32"/>
    <x v="1"/>
    <n v="2"/>
    <x v="1"/>
    <n v="0"/>
  </r>
  <r>
    <s v="C0840"/>
    <n v="45"/>
    <x v="0"/>
    <n v="1"/>
    <x v="1"/>
    <n v="4"/>
    <x v="0"/>
    <n v="1"/>
    <x v="839"/>
    <x v="34"/>
    <x v="78"/>
    <n v="86"/>
    <x v="0"/>
    <n v="1"/>
    <x v="0"/>
    <n v="1"/>
  </r>
  <r>
    <s v="C0841"/>
    <n v="21"/>
    <x v="1"/>
    <n v="0"/>
    <x v="3"/>
    <n v="3"/>
    <x v="11"/>
    <n v="5"/>
    <x v="840"/>
    <x v="74"/>
    <x v="72"/>
    <n v="20"/>
    <x v="1"/>
    <n v="2"/>
    <x v="1"/>
    <n v="0"/>
  </r>
  <r>
    <s v="C0842"/>
    <n v="24"/>
    <x v="1"/>
    <n v="0"/>
    <x v="0"/>
    <n v="2"/>
    <x v="2"/>
    <n v="2"/>
    <x v="841"/>
    <x v="25"/>
    <x v="52"/>
    <n v="54"/>
    <x v="2"/>
    <n v="3"/>
    <x v="1"/>
    <n v="0"/>
  </r>
  <r>
    <s v="C0843"/>
    <n v="48"/>
    <x v="0"/>
    <n v="1"/>
    <x v="0"/>
    <n v="2"/>
    <x v="3"/>
    <n v="3"/>
    <x v="842"/>
    <x v="83"/>
    <x v="9"/>
    <n v="75"/>
    <x v="2"/>
    <n v="3"/>
    <x v="1"/>
    <n v="0"/>
  </r>
  <r>
    <s v="C0844"/>
    <n v="24"/>
    <x v="0"/>
    <n v="1"/>
    <x v="3"/>
    <n v="3"/>
    <x v="12"/>
    <n v="2"/>
    <x v="843"/>
    <x v="47"/>
    <x v="57"/>
    <n v="56"/>
    <x v="1"/>
    <n v="2"/>
    <x v="1"/>
    <n v="0"/>
  </r>
  <r>
    <s v="C0845"/>
    <n v="25"/>
    <x v="1"/>
    <n v="0"/>
    <x v="2"/>
    <n v="1"/>
    <x v="6"/>
    <n v="3"/>
    <x v="844"/>
    <x v="92"/>
    <x v="47"/>
    <n v="1"/>
    <x v="1"/>
    <n v="2"/>
    <x v="1"/>
    <n v="0"/>
  </r>
  <r>
    <s v="C0846"/>
    <n v="38"/>
    <x v="1"/>
    <n v="0"/>
    <x v="0"/>
    <n v="2"/>
    <x v="15"/>
    <n v="5"/>
    <x v="845"/>
    <x v="3"/>
    <x v="23"/>
    <n v="12"/>
    <x v="0"/>
    <n v="1"/>
    <x v="1"/>
    <n v="0"/>
  </r>
  <r>
    <s v="C0847"/>
    <n v="27"/>
    <x v="0"/>
    <n v="1"/>
    <x v="3"/>
    <n v="3"/>
    <x v="8"/>
    <n v="4"/>
    <x v="846"/>
    <x v="68"/>
    <x v="84"/>
    <n v="3"/>
    <x v="1"/>
    <n v="2"/>
    <x v="1"/>
    <n v="0"/>
  </r>
  <r>
    <s v="C0848"/>
    <n v="35"/>
    <x v="1"/>
    <n v="0"/>
    <x v="0"/>
    <n v="2"/>
    <x v="15"/>
    <n v="4"/>
    <x v="847"/>
    <x v="14"/>
    <x v="99"/>
    <n v="83"/>
    <x v="1"/>
    <n v="2"/>
    <x v="1"/>
    <n v="0"/>
  </r>
  <r>
    <s v="C0849"/>
    <n v="32"/>
    <x v="0"/>
    <n v="1"/>
    <x v="2"/>
    <n v="1"/>
    <x v="1"/>
    <n v="3"/>
    <x v="848"/>
    <x v="42"/>
    <x v="47"/>
    <n v="49"/>
    <x v="1"/>
    <n v="2"/>
    <x v="1"/>
    <n v="0"/>
  </r>
  <r>
    <s v="C0850"/>
    <n v="20"/>
    <x v="1"/>
    <n v="0"/>
    <x v="0"/>
    <n v="2"/>
    <x v="10"/>
    <n v="4"/>
    <x v="849"/>
    <x v="26"/>
    <x v="73"/>
    <n v="47"/>
    <x v="2"/>
    <n v="3"/>
    <x v="1"/>
    <n v="0"/>
  </r>
  <r>
    <s v="C0851"/>
    <n v="41"/>
    <x v="1"/>
    <n v="0"/>
    <x v="3"/>
    <n v="3"/>
    <x v="15"/>
    <n v="5"/>
    <x v="850"/>
    <x v="45"/>
    <x v="39"/>
    <n v="77"/>
    <x v="1"/>
    <n v="2"/>
    <x v="1"/>
    <n v="0"/>
  </r>
  <r>
    <s v="C0852"/>
    <n v="39"/>
    <x v="1"/>
    <n v="0"/>
    <x v="0"/>
    <n v="2"/>
    <x v="4"/>
    <n v="4"/>
    <x v="851"/>
    <x v="33"/>
    <x v="0"/>
    <n v="29"/>
    <x v="0"/>
    <n v="1"/>
    <x v="0"/>
    <n v="1"/>
  </r>
  <r>
    <s v="C0853"/>
    <n v="36"/>
    <x v="1"/>
    <n v="0"/>
    <x v="0"/>
    <n v="2"/>
    <x v="3"/>
    <n v="5"/>
    <x v="852"/>
    <x v="23"/>
    <x v="42"/>
    <n v="28"/>
    <x v="0"/>
    <n v="1"/>
    <x v="1"/>
    <n v="0"/>
  </r>
  <r>
    <s v="C0854"/>
    <n v="50"/>
    <x v="0"/>
    <n v="1"/>
    <x v="0"/>
    <n v="2"/>
    <x v="10"/>
    <n v="2"/>
    <x v="853"/>
    <x v="23"/>
    <x v="20"/>
    <n v="7"/>
    <x v="1"/>
    <n v="2"/>
    <x v="1"/>
    <n v="0"/>
  </r>
  <r>
    <s v="C0855"/>
    <n v="26"/>
    <x v="1"/>
    <n v="0"/>
    <x v="0"/>
    <n v="2"/>
    <x v="9"/>
    <n v="5"/>
    <x v="854"/>
    <x v="79"/>
    <x v="61"/>
    <n v="11"/>
    <x v="1"/>
    <n v="2"/>
    <x v="1"/>
    <n v="0"/>
  </r>
  <r>
    <s v="C0856"/>
    <n v="44"/>
    <x v="1"/>
    <n v="0"/>
    <x v="0"/>
    <n v="2"/>
    <x v="4"/>
    <n v="1"/>
    <x v="855"/>
    <x v="37"/>
    <x v="98"/>
    <n v="40"/>
    <x v="2"/>
    <n v="3"/>
    <x v="1"/>
    <n v="0"/>
  </r>
  <r>
    <s v="C0857"/>
    <n v="32"/>
    <x v="0"/>
    <n v="1"/>
    <x v="3"/>
    <n v="3"/>
    <x v="15"/>
    <n v="1"/>
    <x v="856"/>
    <x v="98"/>
    <x v="18"/>
    <n v="25"/>
    <x v="1"/>
    <n v="2"/>
    <x v="1"/>
    <n v="0"/>
  </r>
  <r>
    <s v="C0858"/>
    <n v="23"/>
    <x v="1"/>
    <n v="0"/>
    <x v="2"/>
    <n v="1"/>
    <x v="13"/>
    <n v="1"/>
    <x v="857"/>
    <x v="22"/>
    <x v="74"/>
    <n v="49"/>
    <x v="1"/>
    <n v="2"/>
    <x v="1"/>
    <n v="0"/>
  </r>
  <r>
    <s v="C0859"/>
    <n v="23"/>
    <x v="1"/>
    <n v="0"/>
    <x v="3"/>
    <n v="3"/>
    <x v="14"/>
    <n v="3"/>
    <x v="858"/>
    <x v="76"/>
    <x v="68"/>
    <n v="1"/>
    <x v="1"/>
    <n v="2"/>
    <x v="1"/>
    <n v="0"/>
  </r>
  <r>
    <s v="C0860"/>
    <n v="25"/>
    <x v="0"/>
    <n v="1"/>
    <x v="2"/>
    <n v="1"/>
    <x v="13"/>
    <n v="3"/>
    <x v="859"/>
    <x v="73"/>
    <x v="89"/>
    <n v="54"/>
    <x v="1"/>
    <n v="2"/>
    <x v="1"/>
    <n v="0"/>
  </r>
  <r>
    <s v="C0861"/>
    <n v="47"/>
    <x v="1"/>
    <n v="0"/>
    <x v="0"/>
    <n v="2"/>
    <x v="4"/>
    <n v="3"/>
    <x v="860"/>
    <x v="86"/>
    <x v="38"/>
    <n v="55"/>
    <x v="1"/>
    <n v="2"/>
    <x v="1"/>
    <n v="0"/>
  </r>
  <r>
    <s v="C0862"/>
    <n v="50"/>
    <x v="0"/>
    <n v="1"/>
    <x v="2"/>
    <n v="1"/>
    <x v="12"/>
    <n v="5"/>
    <x v="861"/>
    <x v="81"/>
    <x v="80"/>
    <n v="13"/>
    <x v="1"/>
    <n v="2"/>
    <x v="1"/>
    <n v="0"/>
  </r>
  <r>
    <s v="C0863"/>
    <n v="38"/>
    <x v="0"/>
    <n v="1"/>
    <x v="0"/>
    <n v="2"/>
    <x v="15"/>
    <n v="3"/>
    <x v="862"/>
    <x v="53"/>
    <x v="68"/>
    <n v="5"/>
    <x v="1"/>
    <n v="2"/>
    <x v="1"/>
    <n v="0"/>
  </r>
  <r>
    <s v="C0864"/>
    <n v="48"/>
    <x v="0"/>
    <n v="1"/>
    <x v="0"/>
    <n v="2"/>
    <x v="5"/>
    <n v="2"/>
    <x v="863"/>
    <x v="8"/>
    <x v="26"/>
    <n v="94"/>
    <x v="0"/>
    <n v="1"/>
    <x v="0"/>
    <n v="1"/>
  </r>
  <r>
    <s v="C0865"/>
    <n v="31"/>
    <x v="0"/>
    <n v="1"/>
    <x v="0"/>
    <n v="2"/>
    <x v="12"/>
    <n v="1"/>
    <x v="864"/>
    <x v="88"/>
    <x v="28"/>
    <n v="80"/>
    <x v="2"/>
    <n v="3"/>
    <x v="1"/>
    <n v="0"/>
  </r>
  <r>
    <s v="C0866"/>
    <n v="41"/>
    <x v="1"/>
    <n v="0"/>
    <x v="2"/>
    <n v="1"/>
    <x v="12"/>
    <n v="5"/>
    <x v="865"/>
    <x v="19"/>
    <x v="69"/>
    <n v="88"/>
    <x v="1"/>
    <n v="2"/>
    <x v="1"/>
    <n v="0"/>
  </r>
  <r>
    <s v="C0867"/>
    <n v="26"/>
    <x v="0"/>
    <n v="1"/>
    <x v="0"/>
    <n v="2"/>
    <x v="3"/>
    <n v="1"/>
    <x v="866"/>
    <x v="48"/>
    <x v="58"/>
    <n v="60"/>
    <x v="0"/>
    <n v="1"/>
    <x v="1"/>
    <n v="0"/>
  </r>
  <r>
    <s v="C0868"/>
    <n v="46"/>
    <x v="1"/>
    <n v="0"/>
    <x v="2"/>
    <n v="1"/>
    <x v="11"/>
    <n v="3"/>
    <x v="867"/>
    <x v="50"/>
    <x v="2"/>
    <n v="95"/>
    <x v="0"/>
    <n v="1"/>
    <x v="0"/>
    <n v="1"/>
  </r>
  <r>
    <s v="C0869"/>
    <n v="29"/>
    <x v="1"/>
    <n v="0"/>
    <x v="3"/>
    <n v="3"/>
    <x v="3"/>
    <n v="5"/>
    <x v="868"/>
    <x v="17"/>
    <x v="28"/>
    <n v="11"/>
    <x v="0"/>
    <n v="1"/>
    <x v="0"/>
    <n v="1"/>
  </r>
  <r>
    <s v="C0870"/>
    <n v="45"/>
    <x v="1"/>
    <n v="0"/>
    <x v="1"/>
    <n v="4"/>
    <x v="7"/>
    <n v="4"/>
    <x v="869"/>
    <x v="86"/>
    <x v="52"/>
    <n v="12"/>
    <x v="1"/>
    <n v="2"/>
    <x v="1"/>
    <n v="0"/>
  </r>
  <r>
    <s v="C0871"/>
    <n v="38"/>
    <x v="1"/>
    <n v="0"/>
    <x v="0"/>
    <n v="2"/>
    <x v="0"/>
    <n v="2"/>
    <x v="870"/>
    <x v="98"/>
    <x v="95"/>
    <n v="18"/>
    <x v="0"/>
    <n v="1"/>
    <x v="1"/>
    <n v="0"/>
  </r>
  <r>
    <s v="C0872"/>
    <n v="26"/>
    <x v="1"/>
    <n v="0"/>
    <x v="0"/>
    <n v="2"/>
    <x v="8"/>
    <n v="3"/>
    <x v="871"/>
    <x v="22"/>
    <x v="57"/>
    <n v="43"/>
    <x v="0"/>
    <n v="1"/>
    <x v="0"/>
    <n v="1"/>
  </r>
  <r>
    <s v="C0873"/>
    <n v="49"/>
    <x v="1"/>
    <n v="0"/>
    <x v="0"/>
    <n v="2"/>
    <x v="4"/>
    <n v="3"/>
    <x v="872"/>
    <x v="78"/>
    <x v="28"/>
    <n v="88"/>
    <x v="1"/>
    <n v="2"/>
    <x v="1"/>
    <n v="0"/>
  </r>
  <r>
    <s v="C0874"/>
    <n v="22"/>
    <x v="1"/>
    <n v="0"/>
    <x v="2"/>
    <n v="1"/>
    <x v="2"/>
    <n v="2"/>
    <x v="873"/>
    <x v="5"/>
    <x v="72"/>
    <n v="94"/>
    <x v="1"/>
    <n v="2"/>
    <x v="1"/>
    <n v="0"/>
  </r>
  <r>
    <s v="C0875"/>
    <n v="32"/>
    <x v="1"/>
    <n v="0"/>
    <x v="0"/>
    <n v="2"/>
    <x v="0"/>
    <n v="2"/>
    <x v="874"/>
    <x v="69"/>
    <x v="23"/>
    <n v="58"/>
    <x v="0"/>
    <n v="1"/>
    <x v="1"/>
    <n v="0"/>
  </r>
  <r>
    <s v="C0876"/>
    <n v="32"/>
    <x v="1"/>
    <n v="0"/>
    <x v="3"/>
    <n v="3"/>
    <x v="5"/>
    <n v="4"/>
    <x v="875"/>
    <x v="77"/>
    <x v="39"/>
    <n v="36"/>
    <x v="1"/>
    <n v="2"/>
    <x v="1"/>
    <n v="0"/>
  </r>
  <r>
    <s v="C0877"/>
    <n v="37"/>
    <x v="1"/>
    <n v="0"/>
    <x v="0"/>
    <n v="2"/>
    <x v="9"/>
    <n v="3"/>
    <x v="876"/>
    <x v="39"/>
    <x v="22"/>
    <n v="24"/>
    <x v="1"/>
    <n v="2"/>
    <x v="1"/>
    <n v="0"/>
  </r>
  <r>
    <s v="C0878"/>
    <n v="47"/>
    <x v="0"/>
    <n v="1"/>
    <x v="2"/>
    <n v="1"/>
    <x v="14"/>
    <n v="3"/>
    <x v="877"/>
    <x v="18"/>
    <x v="39"/>
    <n v="15"/>
    <x v="2"/>
    <n v="3"/>
    <x v="1"/>
    <n v="0"/>
  </r>
  <r>
    <s v="C0879"/>
    <n v="49"/>
    <x v="0"/>
    <n v="1"/>
    <x v="3"/>
    <n v="3"/>
    <x v="3"/>
    <n v="1"/>
    <x v="878"/>
    <x v="64"/>
    <x v="21"/>
    <n v="37"/>
    <x v="1"/>
    <n v="2"/>
    <x v="1"/>
    <n v="0"/>
  </r>
  <r>
    <s v="C0880"/>
    <n v="45"/>
    <x v="0"/>
    <n v="1"/>
    <x v="0"/>
    <n v="2"/>
    <x v="3"/>
    <n v="5"/>
    <x v="879"/>
    <x v="4"/>
    <x v="31"/>
    <n v="42"/>
    <x v="0"/>
    <n v="1"/>
    <x v="1"/>
    <n v="0"/>
  </r>
  <r>
    <s v="C0881"/>
    <n v="39"/>
    <x v="1"/>
    <n v="0"/>
    <x v="3"/>
    <n v="3"/>
    <x v="10"/>
    <n v="5"/>
    <x v="880"/>
    <x v="1"/>
    <x v="89"/>
    <n v="86"/>
    <x v="1"/>
    <n v="2"/>
    <x v="1"/>
    <n v="0"/>
  </r>
  <r>
    <s v="C0882"/>
    <n v="47"/>
    <x v="0"/>
    <n v="1"/>
    <x v="0"/>
    <n v="2"/>
    <x v="5"/>
    <n v="1"/>
    <x v="881"/>
    <x v="51"/>
    <x v="4"/>
    <n v="13"/>
    <x v="1"/>
    <n v="2"/>
    <x v="1"/>
    <n v="0"/>
  </r>
  <r>
    <s v="C0883"/>
    <n v="27"/>
    <x v="0"/>
    <n v="1"/>
    <x v="0"/>
    <n v="2"/>
    <x v="0"/>
    <n v="5"/>
    <x v="882"/>
    <x v="19"/>
    <x v="72"/>
    <n v="5"/>
    <x v="0"/>
    <n v="1"/>
    <x v="1"/>
    <n v="0"/>
  </r>
  <r>
    <s v="C0884"/>
    <n v="48"/>
    <x v="0"/>
    <n v="1"/>
    <x v="2"/>
    <n v="1"/>
    <x v="1"/>
    <n v="2"/>
    <x v="883"/>
    <x v="92"/>
    <x v="20"/>
    <n v="88"/>
    <x v="2"/>
    <n v="3"/>
    <x v="1"/>
    <n v="0"/>
  </r>
  <r>
    <s v="C0885"/>
    <n v="50"/>
    <x v="1"/>
    <n v="0"/>
    <x v="2"/>
    <n v="1"/>
    <x v="6"/>
    <n v="5"/>
    <x v="884"/>
    <x v="30"/>
    <x v="38"/>
    <n v="22"/>
    <x v="1"/>
    <n v="2"/>
    <x v="1"/>
    <n v="0"/>
  </r>
  <r>
    <s v="C0886"/>
    <n v="28"/>
    <x v="1"/>
    <n v="0"/>
    <x v="1"/>
    <n v="4"/>
    <x v="6"/>
    <n v="5"/>
    <x v="885"/>
    <x v="15"/>
    <x v="73"/>
    <n v="59"/>
    <x v="2"/>
    <n v="3"/>
    <x v="1"/>
    <n v="0"/>
  </r>
  <r>
    <s v="C0887"/>
    <n v="26"/>
    <x v="1"/>
    <n v="0"/>
    <x v="0"/>
    <n v="2"/>
    <x v="10"/>
    <n v="1"/>
    <x v="886"/>
    <x v="32"/>
    <x v="49"/>
    <n v="11"/>
    <x v="1"/>
    <n v="2"/>
    <x v="1"/>
    <n v="0"/>
  </r>
  <r>
    <s v="C0888"/>
    <n v="20"/>
    <x v="1"/>
    <n v="0"/>
    <x v="1"/>
    <n v="4"/>
    <x v="2"/>
    <n v="4"/>
    <x v="887"/>
    <x v="50"/>
    <x v="82"/>
    <n v="12"/>
    <x v="1"/>
    <n v="2"/>
    <x v="1"/>
    <n v="0"/>
  </r>
  <r>
    <s v="C0889"/>
    <n v="22"/>
    <x v="0"/>
    <n v="1"/>
    <x v="0"/>
    <n v="2"/>
    <x v="10"/>
    <n v="5"/>
    <x v="888"/>
    <x v="10"/>
    <x v="40"/>
    <n v="99"/>
    <x v="1"/>
    <n v="2"/>
    <x v="1"/>
    <n v="0"/>
  </r>
  <r>
    <s v="C0890"/>
    <n v="32"/>
    <x v="0"/>
    <n v="1"/>
    <x v="2"/>
    <n v="1"/>
    <x v="8"/>
    <n v="5"/>
    <x v="889"/>
    <x v="25"/>
    <x v="55"/>
    <n v="97"/>
    <x v="1"/>
    <n v="2"/>
    <x v="0"/>
    <n v="1"/>
  </r>
  <r>
    <s v="C0891"/>
    <n v="47"/>
    <x v="0"/>
    <n v="1"/>
    <x v="2"/>
    <n v="1"/>
    <x v="0"/>
    <n v="4"/>
    <x v="890"/>
    <x v="17"/>
    <x v="0"/>
    <n v="5"/>
    <x v="1"/>
    <n v="2"/>
    <x v="1"/>
    <n v="0"/>
  </r>
  <r>
    <s v="C0892"/>
    <n v="49"/>
    <x v="0"/>
    <n v="1"/>
    <x v="0"/>
    <n v="2"/>
    <x v="4"/>
    <n v="1"/>
    <x v="891"/>
    <x v="52"/>
    <x v="76"/>
    <n v="62"/>
    <x v="2"/>
    <n v="3"/>
    <x v="0"/>
    <n v="1"/>
  </r>
  <r>
    <s v="C0893"/>
    <n v="44"/>
    <x v="1"/>
    <n v="0"/>
    <x v="1"/>
    <n v="4"/>
    <x v="15"/>
    <n v="4"/>
    <x v="892"/>
    <x v="6"/>
    <x v="1"/>
    <n v="37"/>
    <x v="1"/>
    <n v="2"/>
    <x v="1"/>
    <n v="0"/>
  </r>
  <r>
    <s v="C0894"/>
    <n v="50"/>
    <x v="1"/>
    <n v="0"/>
    <x v="0"/>
    <n v="2"/>
    <x v="15"/>
    <n v="1"/>
    <x v="893"/>
    <x v="15"/>
    <x v="28"/>
    <n v="49"/>
    <x v="2"/>
    <n v="3"/>
    <x v="1"/>
    <n v="0"/>
  </r>
  <r>
    <s v="C0895"/>
    <n v="47"/>
    <x v="1"/>
    <n v="0"/>
    <x v="0"/>
    <n v="2"/>
    <x v="5"/>
    <n v="2"/>
    <x v="894"/>
    <x v="2"/>
    <x v="41"/>
    <n v="51"/>
    <x v="2"/>
    <n v="3"/>
    <x v="1"/>
    <n v="0"/>
  </r>
  <r>
    <s v="C0896"/>
    <n v="36"/>
    <x v="0"/>
    <n v="1"/>
    <x v="0"/>
    <n v="2"/>
    <x v="14"/>
    <n v="1"/>
    <x v="895"/>
    <x v="6"/>
    <x v="31"/>
    <n v="39"/>
    <x v="2"/>
    <n v="3"/>
    <x v="1"/>
    <n v="0"/>
  </r>
  <r>
    <s v="C0897"/>
    <n v="44"/>
    <x v="1"/>
    <n v="0"/>
    <x v="2"/>
    <n v="1"/>
    <x v="9"/>
    <n v="2"/>
    <x v="896"/>
    <x v="13"/>
    <x v="92"/>
    <n v="7"/>
    <x v="1"/>
    <n v="2"/>
    <x v="1"/>
    <n v="0"/>
  </r>
  <r>
    <s v="C0898"/>
    <n v="43"/>
    <x v="1"/>
    <n v="0"/>
    <x v="0"/>
    <n v="2"/>
    <x v="3"/>
    <n v="2"/>
    <x v="897"/>
    <x v="81"/>
    <x v="90"/>
    <n v="60"/>
    <x v="1"/>
    <n v="2"/>
    <x v="1"/>
    <n v="0"/>
  </r>
  <r>
    <s v="C0899"/>
    <n v="20"/>
    <x v="0"/>
    <n v="1"/>
    <x v="2"/>
    <n v="1"/>
    <x v="2"/>
    <n v="1"/>
    <x v="898"/>
    <x v="14"/>
    <x v="86"/>
    <n v="7"/>
    <x v="0"/>
    <n v="1"/>
    <x v="1"/>
    <n v="0"/>
  </r>
  <r>
    <s v="C0900"/>
    <n v="25"/>
    <x v="0"/>
    <n v="1"/>
    <x v="3"/>
    <n v="3"/>
    <x v="6"/>
    <n v="3"/>
    <x v="899"/>
    <x v="84"/>
    <x v="87"/>
    <n v="96"/>
    <x v="1"/>
    <n v="2"/>
    <x v="0"/>
    <n v="1"/>
  </r>
  <r>
    <s v="C0901"/>
    <n v="40"/>
    <x v="1"/>
    <n v="0"/>
    <x v="0"/>
    <n v="2"/>
    <x v="3"/>
    <n v="1"/>
    <x v="900"/>
    <x v="32"/>
    <x v="16"/>
    <n v="33"/>
    <x v="0"/>
    <n v="1"/>
    <x v="1"/>
    <n v="0"/>
  </r>
  <r>
    <s v="C0902"/>
    <n v="25"/>
    <x v="1"/>
    <n v="0"/>
    <x v="0"/>
    <n v="2"/>
    <x v="7"/>
    <n v="5"/>
    <x v="901"/>
    <x v="63"/>
    <x v="63"/>
    <n v="78"/>
    <x v="0"/>
    <n v="1"/>
    <x v="0"/>
    <n v="1"/>
  </r>
  <r>
    <s v="C0903"/>
    <n v="45"/>
    <x v="1"/>
    <n v="0"/>
    <x v="0"/>
    <n v="2"/>
    <x v="14"/>
    <n v="5"/>
    <x v="902"/>
    <x v="74"/>
    <x v="66"/>
    <n v="99"/>
    <x v="0"/>
    <n v="1"/>
    <x v="0"/>
    <n v="1"/>
  </r>
  <r>
    <s v="C0904"/>
    <n v="31"/>
    <x v="1"/>
    <n v="0"/>
    <x v="0"/>
    <n v="2"/>
    <x v="9"/>
    <n v="3"/>
    <x v="903"/>
    <x v="100"/>
    <x v="70"/>
    <n v="59"/>
    <x v="2"/>
    <n v="3"/>
    <x v="1"/>
    <n v="0"/>
  </r>
  <r>
    <s v="C0905"/>
    <n v="32"/>
    <x v="1"/>
    <n v="0"/>
    <x v="1"/>
    <n v="4"/>
    <x v="11"/>
    <n v="2"/>
    <x v="904"/>
    <x v="0"/>
    <x v="28"/>
    <n v="56"/>
    <x v="2"/>
    <n v="3"/>
    <x v="1"/>
    <n v="0"/>
  </r>
  <r>
    <s v="C0906"/>
    <n v="32"/>
    <x v="1"/>
    <n v="0"/>
    <x v="0"/>
    <n v="2"/>
    <x v="6"/>
    <n v="3"/>
    <x v="905"/>
    <x v="65"/>
    <x v="15"/>
    <n v="98"/>
    <x v="1"/>
    <n v="2"/>
    <x v="1"/>
    <n v="0"/>
  </r>
  <r>
    <s v="C0907"/>
    <n v="48"/>
    <x v="0"/>
    <n v="1"/>
    <x v="2"/>
    <n v="1"/>
    <x v="1"/>
    <n v="5"/>
    <x v="906"/>
    <x v="91"/>
    <x v="27"/>
    <n v="45"/>
    <x v="1"/>
    <n v="2"/>
    <x v="1"/>
    <n v="0"/>
  </r>
  <r>
    <s v="C0908"/>
    <n v="34"/>
    <x v="0"/>
    <n v="1"/>
    <x v="0"/>
    <n v="2"/>
    <x v="1"/>
    <n v="3"/>
    <x v="907"/>
    <x v="8"/>
    <x v="76"/>
    <n v="21"/>
    <x v="1"/>
    <n v="2"/>
    <x v="1"/>
    <n v="0"/>
  </r>
  <r>
    <s v="C0909"/>
    <n v="40"/>
    <x v="0"/>
    <n v="1"/>
    <x v="2"/>
    <n v="1"/>
    <x v="10"/>
    <n v="1"/>
    <x v="908"/>
    <x v="6"/>
    <x v="90"/>
    <n v="86"/>
    <x v="1"/>
    <n v="2"/>
    <x v="1"/>
    <n v="0"/>
  </r>
  <r>
    <s v="C0910"/>
    <n v="35"/>
    <x v="1"/>
    <n v="0"/>
    <x v="2"/>
    <n v="1"/>
    <x v="13"/>
    <n v="3"/>
    <x v="909"/>
    <x v="96"/>
    <x v="23"/>
    <n v="39"/>
    <x v="1"/>
    <n v="2"/>
    <x v="1"/>
    <n v="0"/>
  </r>
  <r>
    <s v="C0911"/>
    <n v="41"/>
    <x v="0"/>
    <n v="1"/>
    <x v="1"/>
    <n v="4"/>
    <x v="0"/>
    <n v="2"/>
    <x v="910"/>
    <x v="85"/>
    <x v="18"/>
    <n v="44"/>
    <x v="1"/>
    <n v="2"/>
    <x v="1"/>
    <n v="0"/>
  </r>
  <r>
    <s v="C0912"/>
    <n v="40"/>
    <x v="1"/>
    <n v="0"/>
    <x v="3"/>
    <n v="3"/>
    <x v="3"/>
    <n v="1"/>
    <x v="911"/>
    <x v="93"/>
    <x v="40"/>
    <n v="54"/>
    <x v="1"/>
    <n v="2"/>
    <x v="1"/>
    <n v="0"/>
  </r>
  <r>
    <s v="C0913"/>
    <n v="30"/>
    <x v="1"/>
    <n v="0"/>
    <x v="1"/>
    <n v="4"/>
    <x v="10"/>
    <n v="4"/>
    <x v="912"/>
    <x v="61"/>
    <x v="72"/>
    <n v="50"/>
    <x v="1"/>
    <n v="2"/>
    <x v="1"/>
    <n v="0"/>
  </r>
  <r>
    <s v="C0914"/>
    <n v="47"/>
    <x v="0"/>
    <n v="1"/>
    <x v="0"/>
    <n v="2"/>
    <x v="2"/>
    <n v="5"/>
    <x v="913"/>
    <x v="74"/>
    <x v="71"/>
    <n v="85"/>
    <x v="1"/>
    <n v="2"/>
    <x v="1"/>
    <n v="0"/>
  </r>
  <r>
    <s v="C0915"/>
    <n v="24"/>
    <x v="1"/>
    <n v="0"/>
    <x v="0"/>
    <n v="2"/>
    <x v="3"/>
    <n v="5"/>
    <x v="914"/>
    <x v="40"/>
    <x v="36"/>
    <n v="4"/>
    <x v="1"/>
    <n v="2"/>
    <x v="1"/>
    <n v="0"/>
  </r>
  <r>
    <s v="C0916"/>
    <n v="23"/>
    <x v="1"/>
    <n v="0"/>
    <x v="2"/>
    <n v="1"/>
    <x v="11"/>
    <n v="3"/>
    <x v="915"/>
    <x v="23"/>
    <x v="93"/>
    <n v="94"/>
    <x v="2"/>
    <n v="3"/>
    <x v="1"/>
    <n v="0"/>
  </r>
  <r>
    <s v="C0917"/>
    <n v="22"/>
    <x v="0"/>
    <n v="1"/>
    <x v="0"/>
    <n v="2"/>
    <x v="15"/>
    <n v="1"/>
    <x v="916"/>
    <x v="98"/>
    <x v="44"/>
    <n v="12"/>
    <x v="0"/>
    <n v="1"/>
    <x v="1"/>
    <n v="0"/>
  </r>
  <r>
    <s v="C0918"/>
    <n v="38"/>
    <x v="0"/>
    <n v="1"/>
    <x v="3"/>
    <n v="3"/>
    <x v="9"/>
    <n v="4"/>
    <x v="917"/>
    <x v="10"/>
    <x v="84"/>
    <n v="27"/>
    <x v="1"/>
    <n v="2"/>
    <x v="1"/>
    <n v="0"/>
  </r>
  <r>
    <s v="C0919"/>
    <n v="39"/>
    <x v="0"/>
    <n v="1"/>
    <x v="0"/>
    <n v="2"/>
    <x v="14"/>
    <n v="1"/>
    <x v="918"/>
    <x v="84"/>
    <x v="97"/>
    <n v="83"/>
    <x v="1"/>
    <n v="2"/>
    <x v="1"/>
    <n v="0"/>
  </r>
  <r>
    <s v="C0920"/>
    <n v="44"/>
    <x v="1"/>
    <n v="0"/>
    <x v="3"/>
    <n v="3"/>
    <x v="9"/>
    <n v="5"/>
    <x v="919"/>
    <x v="37"/>
    <x v="40"/>
    <n v="96"/>
    <x v="0"/>
    <n v="1"/>
    <x v="0"/>
    <n v="1"/>
  </r>
  <r>
    <s v="C0921"/>
    <n v="37"/>
    <x v="0"/>
    <n v="1"/>
    <x v="3"/>
    <n v="3"/>
    <x v="15"/>
    <n v="1"/>
    <x v="920"/>
    <x v="64"/>
    <x v="98"/>
    <n v="79"/>
    <x v="1"/>
    <n v="2"/>
    <x v="0"/>
    <n v="1"/>
  </r>
  <r>
    <s v="C0922"/>
    <n v="34"/>
    <x v="0"/>
    <n v="1"/>
    <x v="2"/>
    <n v="1"/>
    <x v="3"/>
    <n v="4"/>
    <x v="921"/>
    <x v="33"/>
    <x v="67"/>
    <n v="61"/>
    <x v="0"/>
    <n v="1"/>
    <x v="0"/>
    <n v="1"/>
  </r>
  <r>
    <s v="C0923"/>
    <n v="28"/>
    <x v="1"/>
    <n v="0"/>
    <x v="0"/>
    <n v="2"/>
    <x v="2"/>
    <n v="3"/>
    <x v="922"/>
    <x v="65"/>
    <x v="20"/>
    <n v="92"/>
    <x v="1"/>
    <n v="2"/>
    <x v="1"/>
    <n v="0"/>
  </r>
  <r>
    <s v="C0924"/>
    <n v="36"/>
    <x v="0"/>
    <n v="1"/>
    <x v="0"/>
    <n v="2"/>
    <x v="9"/>
    <n v="2"/>
    <x v="923"/>
    <x v="91"/>
    <x v="61"/>
    <n v="86"/>
    <x v="1"/>
    <n v="2"/>
    <x v="1"/>
    <n v="0"/>
  </r>
  <r>
    <s v="C0925"/>
    <n v="33"/>
    <x v="0"/>
    <n v="1"/>
    <x v="0"/>
    <n v="2"/>
    <x v="1"/>
    <n v="1"/>
    <x v="924"/>
    <x v="72"/>
    <x v="5"/>
    <n v="23"/>
    <x v="1"/>
    <n v="2"/>
    <x v="1"/>
    <n v="0"/>
  </r>
  <r>
    <s v="C0926"/>
    <n v="34"/>
    <x v="0"/>
    <n v="1"/>
    <x v="3"/>
    <n v="3"/>
    <x v="9"/>
    <n v="2"/>
    <x v="925"/>
    <x v="46"/>
    <x v="2"/>
    <n v="97"/>
    <x v="1"/>
    <n v="2"/>
    <x v="0"/>
    <n v="1"/>
  </r>
  <r>
    <s v="C0927"/>
    <n v="50"/>
    <x v="1"/>
    <n v="0"/>
    <x v="0"/>
    <n v="2"/>
    <x v="11"/>
    <n v="5"/>
    <x v="926"/>
    <x v="63"/>
    <x v="34"/>
    <n v="6"/>
    <x v="0"/>
    <n v="1"/>
    <x v="0"/>
    <n v="1"/>
  </r>
  <r>
    <s v="C0928"/>
    <n v="20"/>
    <x v="1"/>
    <n v="0"/>
    <x v="2"/>
    <n v="1"/>
    <x v="6"/>
    <n v="3"/>
    <x v="927"/>
    <x v="37"/>
    <x v="87"/>
    <n v="37"/>
    <x v="1"/>
    <n v="2"/>
    <x v="1"/>
    <n v="0"/>
  </r>
  <r>
    <s v="C0929"/>
    <n v="40"/>
    <x v="1"/>
    <n v="0"/>
    <x v="0"/>
    <n v="2"/>
    <x v="0"/>
    <n v="3"/>
    <x v="928"/>
    <x v="69"/>
    <x v="88"/>
    <n v="36"/>
    <x v="0"/>
    <n v="1"/>
    <x v="1"/>
    <n v="0"/>
  </r>
  <r>
    <s v="C0930"/>
    <n v="41"/>
    <x v="1"/>
    <n v="0"/>
    <x v="1"/>
    <n v="4"/>
    <x v="8"/>
    <n v="1"/>
    <x v="929"/>
    <x v="72"/>
    <x v="72"/>
    <n v="67"/>
    <x v="2"/>
    <n v="3"/>
    <x v="0"/>
    <n v="1"/>
  </r>
  <r>
    <s v="C0931"/>
    <n v="41"/>
    <x v="0"/>
    <n v="1"/>
    <x v="2"/>
    <n v="1"/>
    <x v="2"/>
    <n v="3"/>
    <x v="930"/>
    <x v="90"/>
    <x v="79"/>
    <n v="97"/>
    <x v="2"/>
    <n v="3"/>
    <x v="1"/>
    <n v="0"/>
  </r>
  <r>
    <s v="C0932"/>
    <n v="22"/>
    <x v="1"/>
    <n v="0"/>
    <x v="3"/>
    <n v="3"/>
    <x v="2"/>
    <n v="1"/>
    <x v="931"/>
    <x v="39"/>
    <x v="44"/>
    <n v="41"/>
    <x v="1"/>
    <n v="2"/>
    <x v="1"/>
    <n v="0"/>
  </r>
  <r>
    <s v="C0933"/>
    <n v="35"/>
    <x v="1"/>
    <n v="0"/>
    <x v="0"/>
    <n v="2"/>
    <x v="4"/>
    <n v="1"/>
    <x v="932"/>
    <x v="28"/>
    <x v="28"/>
    <n v="85"/>
    <x v="2"/>
    <n v="3"/>
    <x v="0"/>
    <n v="1"/>
  </r>
  <r>
    <s v="C0934"/>
    <n v="42"/>
    <x v="0"/>
    <n v="1"/>
    <x v="3"/>
    <n v="3"/>
    <x v="8"/>
    <n v="2"/>
    <x v="933"/>
    <x v="65"/>
    <x v="7"/>
    <n v="4"/>
    <x v="1"/>
    <n v="2"/>
    <x v="1"/>
    <n v="0"/>
  </r>
  <r>
    <s v="C0935"/>
    <n v="44"/>
    <x v="0"/>
    <n v="1"/>
    <x v="3"/>
    <n v="3"/>
    <x v="6"/>
    <n v="3"/>
    <x v="934"/>
    <x v="9"/>
    <x v="39"/>
    <n v="63"/>
    <x v="2"/>
    <n v="3"/>
    <x v="0"/>
    <n v="1"/>
  </r>
  <r>
    <s v="C0936"/>
    <n v="30"/>
    <x v="0"/>
    <n v="1"/>
    <x v="0"/>
    <n v="2"/>
    <x v="6"/>
    <n v="1"/>
    <x v="935"/>
    <x v="4"/>
    <x v="12"/>
    <n v="49"/>
    <x v="1"/>
    <n v="2"/>
    <x v="1"/>
    <n v="0"/>
  </r>
  <r>
    <s v="C0937"/>
    <n v="31"/>
    <x v="1"/>
    <n v="0"/>
    <x v="0"/>
    <n v="2"/>
    <x v="15"/>
    <n v="2"/>
    <x v="936"/>
    <x v="5"/>
    <x v="11"/>
    <n v="86"/>
    <x v="0"/>
    <n v="1"/>
    <x v="0"/>
    <n v="1"/>
  </r>
  <r>
    <s v="C0938"/>
    <n v="29"/>
    <x v="1"/>
    <n v="0"/>
    <x v="3"/>
    <n v="3"/>
    <x v="4"/>
    <n v="4"/>
    <x v="937"/>
    <x v="34"/>
    <x v="62"/>
    <n v="14"/>
    <x v="2"/>
    <n v="3"/>
    <x v="1"/>
    <n v="0"/>
  </r>
  <r>
    <s v="C0939"/>
    <n v="35"/>
    <x v="1"/>
    <n v="0"/>
    <x v="0"/>
    <n v="2"/>
    <x v="8"/>
    <n v="2"/>
    <x v="938"/>
    <x v="24"/>
    <x v="33"/>
    <n v="94"/>
    <x v="0"/>
    <n v="1"/>
    <x v="0"/>
    <n v="1"/>
  </r>
  <r>
    <s v="C0940"/>
    <n v="27"/>
    <x v="0"/>
    <n v="1"/>
    <x v="3"/>
    <n v="3"/>
    <x v="1"/>
    <n v="2"/>
    <x v="939"/>
    <x v="85"/>
    <x v="77"/>
    <n v="72"/>
    <x v="0"/>
    <n v="1"/>
    <x v="0"/>
    <n v="1"/>
  </r>
  <r>
    <s v="C0941"/>
    <n v="25"/>
    <x v="0"/>
    <n v="1"/>
    <x v="2"/>
    <n v="1"/>
    <x v="15"/>
    <n v="1"/>
    <x v="940"/>
    <x v="29"/>
    <x v="84"/>
    <n v="52"/>
    <x v="0"/>
    <n v="1"/>
    <x v="1"/>
    <n v="0"/>
  </r>
  <r>
    <s v="C0942"/>
    <n v="31"/>
    <x v="1"/>
    <n v="0"/>
    <x v="3"/>
    <n v="3"/>
    <x v="5"/>
    <n v="5"/>
    <x v="941"/>
    <x v="33"/>
    <x v="43"/>
    <n v="24"/>
    <x v="1"/>
    <n v="2"/>
    <x v="1"/>
    <n v="0"/>
  </r>
  <r>
    <s v="C0943"/>
    <n v="43"/>
    <x v="0"/>
    <n v="1"/>
    <x v="3"/>
    <n v="3"/>
    <x v="9"/>
    <n v="5"/>
    <x v="942"/>
    <x v="73"/>
    <x v="60"/>
    <n v="88"/>
    <x v="1"/>
    <n v="2"/>
    <x v="1"/>
    <n v="0"/>
  </r>
  <r>
    <s v="C0944"/>
    <n v="47"/>
    <x v="0"/>
    <n v="1"/>
    <x v="1"/>
    <n v="4"/>
    <x v="8"/>
    <n v="5"/>
    <x v="943"/>
    <x v="70"/>
    <x v="92"/>
    <n v="84"/>
    <x v="1"/>
    <n v="2"/>
    <x v="0"/>
    <n v="1"/>
  </r>
  <r>
    <s v="C0945"/>
    <n v="40"/>
    <x v="0"/>
    <n v="1"/>
    <x v="2"/>
    <n v="1"/>
    <x v="15"/>
    <n v="2"/>
    <x v="944"/>
    <x v="74"/>
    <x v="84"/>
    <n v="8"/>
    <x v="2"/>
    <n v="3"/>
    <x v="1"/>
    <n v="0"/>
  </r>
  <r>
    <s v="C0946"/>
    <n v="27"/>
    <x v="1"/>
    <n v="0"/>
    <x v="0"/>
    <n v="2"/>
    <x v="13"/>
    <n v="1"/>
    <x v="945"/>
    <x v="80"/>
    <x v="50"/>
    <n v="37"/>
    <x v="0"/>
    <n v="1"/>
    <x v="0"/>
    <n v="1"/>
  </r>
  <r>
    <s v="C0947"/>
    <n v="45"/>
    <x v="0"/>
    <n v="1"/>
    <x v="0"/>
    <n v="2"/>
    <x v="4"/>
    <n v="3"/>
    <x v="946"/>
    <x v="85"/>
    <x v="6"/>
    <n v="21"/>
    <x v="2"/>
    <n v="3"/>
    <x v="1"/>
    <n v="0"/>
  </r>
  <r>
    <s v="C0948"/>
    <n v="47"/>
    <x v="0"/>
    <n v="1"/>
    <x v="0"/>
    <n v="2"/>
    <x v="9"/>
    <n v="2"/>
    <x v="947"/>
    <x v="20"/>
    <x v="66"/>
    <n v="86"/>
    <x v="2"/>
    <n v="3"/>
    <x v="1"/>
    <n v="0"/>
  </r>
  <r>
    <s v="C0949"/>
    <n v="23"/>
    <x v="1"/>
    <n v="0"/>
    <x v="0"/>
    <n v="2"/>
    <x v="8"/>
    <n v="2"/>
    <x v="948"/>
    <x v="23"/>
    <x v="26"/>
    <n v="48"/>
    <x v="0"/>
    <n v="1"/>
    <x v="0"/>
    <n v="1"/>
  </r>
  <r>
    <s v="C0950"/>
    <n v="45"/>
    <x v="1"/>
    <n v="0"/>
    <x v="2"/>
    <n v="1"/>
    <x v="5"/>
    <n v="1"/>
    <x v="949"/>
    <x v="18"/>
    <x v="15"/>
    <n v="67"/>
    <x v="1"/>
    <n v="2"/>
    <x v="1"/>
    <n v="0"/>
  </r>
  <r>
    <s v="C0951"/>
    <n v="27"/>
    <x v="0"/>
    <n v="1"/>
    <x v="3"/>
    <n v="3"/>
    <x v="12"/>
    <n v="4"/>
    <x v="950"/>
    <x v="65"/>
    <x v="75"/>
    <n v="92"/>
    <x v="2"/>
    <n v="3"/>
    <x v="0"/>
    <n v="1"/>
  </r>
  <r>
    <s v="C0952"/>
    <n v="45"/>
    <x v="0"/>
    <n v="1"/>
    <x v="0"/>
    <n v="2"/>
    <x v="7"/>
    <n v="2"/>
    <x v="951"/>
    <x v="17"/>
    <x v="98"/>
    <n v="14"/>
    <x v="1"/>
    <n v="2"/>
    <x v="1"/>
    <n v="0"/>
  </r>
  <r>
    <s v="C0953"/>
    <n v="47"/>
    <x v="1"/>
    <n v="0"/>
    <x v="2"/>
    <n v="1"/>
    <x v="7"/>
    <n v="4"/>
    <x v="952"/>
    <x v="9"/>
    <x v="94"/>
    <n v="64"/>
    <x v="1"/>
    <n v="2"/>
    <x v="1"/>
    <n v="0"/>
  </r>
  <r>
    <s v="C0954"/>
    <n v="37"/>
    <x v="1"/>
    <n v="0"/>
    <x v="0"/>
    <n v="2"/>
    <x v="2"/>
    <n v="4"/>
    <x v="953"/>
    <x v="48"/>
    <x v="60"/>
    <n v="53"/>
    <x v="1"/>
    <n v="2"/>
    <x v="1"/>
    <n v="0"/>
  </r>
  <r>
    <s v="C0955"/>
    <n v="47"/>
    <x v="0"/>
    <n v="1"/>
    <x v="0"/>
    <n v="2"/>
    <x v="13"/>
    <n v="5"/>
    <x v="954"/>
    <x v="18"/>
    <x v="63"/>
    <n v="29"/>
    <x v="1"/>
    <n v="2"/>
    <x v="1"/>
    <n v="0"/>
  </r>
  <r>
    <s v="C0956"/>
    <n v="47"/>
    <x v="0"/>
    <n v="1"/>
    <x v="2"/>
    <n v="1"/>
    <x v="11"/>
    <n v="1"/>
    <x v="955"/>
    <x v="17"/>
    <x v="36"/>
    <n v="92"/>
    <x v="0"/>
    <n v="1"/>
    <x v="0"/>
    <n v="1"/>
  </r>
  <r>
    <s v="C0957"/>
    <n v="24"/>
    <x v="0"/>
    <n v="1"/>
    <x v="1"/>
    <n v="4"/>
    <x v="0"/>
    <n v="4"/>
    <x v="956"/>
    <x v="100"/>
    <x v="9"/>
    <n v="19"/>
    <x v="1"/>
    <n v="2"/>
    <x v="1"/>
    <n v="0"/>
  </r>
  <r>
    <s v="C0958"/>
    <n v="28"/>
    <x v="0"/>
    <n v="1"/>
    <x v="1"/>
    <n v="4"/>
    <x v="5"/>
    <n v="1"/>
    <x v="957"/>
    <x v="12"/>
    <x v="12"/>
    <n v="32"/>
    <x v="0"/>
    <n v="1"/>
    <x v="0"/>
    <n v="1"/>
  </r>
  <r>
    <s v="C0959"/>
    <n v="23"/>
    <x v="1"/>
    <n v="0"/>
    <x v="0"/>
    <n v="2"/>
    <x v="5"/>
    <n v="5"/>
    <x v="958"/>
    <x v="72"/>
    <x v="20"/>
    <n v="99"/>
    <x v="1"/>
    <n v="2"/>
    <x v="1"/>
    <n v="0"/>
  </r>
  <r>
    <s v="C0960"/>
    <n v="46"/>
    <x v="0"/>
    <n v="1"/>
    <x v="2"/>
    <n v="1"/>
    <x v="4"/>
    <n v="1"/>
    <x v="959"/>
    <x v="8"/>
    <x v="86"/>
    <n v="85"/>
    <x v="2"/>
    <n v="3"/>
    <x v="1"/>
    <n v="0"/>
  </r>
  <r>
    <s v="C0961"/>
    <n v="41"/>
    <x v="0"/>
    <n v="1"/>
    <x v="3"/>
    <n v="3"/>
    <x v="12"/>
    <n v="2"/>
    <x v="960"/>
    <x v="80"/>
    <x v="77"/>
    <n v="76"/>
    <x v="1"/>
    <n v="2"/>
    <x v="0"/>
    <n v="1"/>
  </r>
  <r>
    <s v="C0962"/>
    <n v="50"/>
    <x v="1"/>
    <n v="0"/>
    <x v="0"/>
    <n v="2"/>
    <x v="9"/>
    <n v="4"/>
    <x v="961"/>
    <x v="81"/>
    <x v="9"/>
    <n v="6"/>
    <x v="2"/>
    <n v="3"/>
    <x v="1"/>
    <n v="0"/>
  </r>
  <r>
    <s v="C0963"/>
    <n v="36"/>
    <x v="0"/>
    <n v="1"/>
    <x v="0"/>
    <n v="2"/>
    <x v="5"/>
    <n v="1"/>
    <x v="962"/>
    <x v="97"/>
    <x v="23"/>
    <n v="7"/>
    <x v="1"/>
    <n v="2"/>
    <x v="1"/>
    <n v="0"/>
  </r>
  <r>
    <s v="C0964"/>
    <n v="28"/>
    <x v="1"/>
    <n v="0"/>
    <x v="0"/>
    <n v="2"/>
    <x v="5"/>
    <n v="3"/>
    <x v="963"/>
    <x v="69"/>
    <x v="62"/>
    <n v="27"/>
    <x v="1"/>
    <n v="2"/>
    <x v="1"/>
    <n v="0"/>
  </r>
  <r>
    <s v="C0965"/>
    <n v="20"/>
    <x v="0"/>
    <n v="1"/>
    <x v="0"/>
    <n v="2"/>
    <x v="13"/>
    <n v="1"/>
    <x v="964"/>
    <x v="22"/>
    <x v="48"/>
    <n v="44"/>
    <x v="1"/>
    <n v="2"/>
    <x v="1"/>
    <n v="0"/>
  </r>
  <r>
    <s v="C0966"/>
    <n v="40"/>
    <x v="0"/>
    <n v="1"/>
    <x v="0"/>
    <n v="2"/>
    <x v="6"/>
    <n v="4"/>
    <x v="965"/>
    <x v="36"/>
    <x v="64"/>
    <n v="72"/>
    <x v="2"/>
    <n v="3"/>
    <x v="1"/>
    <n v="0"/>
  </r>
  <r>
    <s v="C0967"/>
    <n v="39"/>
    <x v="1"/>
    <n v="0"/>
    <x v="0"/>
    <n v="2"/>
    <x v="6"/>
    <n v="5"/>
    <x v="966"/>
    <x v="40"/>
    <x v="37"/>
    <n v="88"/>
    <x v="1"/>
    <n v="2"/>
    <x v="1"/>
    <n v="0"/>
  </r>
  <r>
    <s v="C0968"/>
    <n v="32"/>
    <x v="1"/>
    <n v="0"/>
    <x v="0"/>
    <n v="2"/>
    <x v="2"/>
    <n v="5"/>
    <x v="967"/>
    <x v="4"/>
    <x v="87"/>
    <n v="79"/>
    <x v="0"/>
    <n v="1"/>
    <x v="0"/>
    <n v="1"/>
  </r>
  <r>
    <s v="C0969"/>
    <n v="47"/>
    <x v="0"/>
    <n v="1"/>
    <x v="1"/>
    <n v="4"/>
    <x v="14"/>
    <n v="4"/>
    <x v="968"/>
    <x v="27"/>
    <x v="27"/>
    <n v="73"/>
    <x v="2"/>
    <n v="3"/>
    <x v="0"/>
    <n v="1"/>
  </r>
  <r>
    <s v="C0970"/>
    <n v="35"/>
    <x v="0"/>
    <n v="1"/>
    <x v="0"/>
    <n v="2"/>
    <x v="4"/>
    <n v="2"/>
    <x v="969"/>
    <x v="13"/>
    <x v="75"/>
    <n v="10"/>
    <x v="1"/>
    <n v="2"/>
    <x v="1"/>
    <n v="0"/>
  </r>
  <r>
    <s v="C0971"/>
    <n v="48"/>
    <x v="0"/>
    <n v="1"/>
    <x v="3"/>
    <n v="3"/>
    <x v="13"/>
    <n v="2"/>
    <x v="970"/>
    <x v="96"/>
    <x v="68"/>
    <n v="30"/>
    <x v="0"/>
    <n v="1"/>
    <x v="0"/>
    <n v="1"/>
  </r>
  <r>
    <s v="C0972"/>
    <n v="32"/>
    <x v="1"/>
    <n v="0"/>
    <x v="3"/>
    <n v="3"/>
    <x v="4"/>
    <n v="5"/>
    <x v="971"/>
    <x v="60"/>
    <x v="59"/>
    <n v="11"/>
    <x v="1"/>
    <n v="2"/>
    <x v="0"/>
    <n v="1"/>
  </r>
  <r>
    <s v="C0973"/>
    <n v="33"/>
    <x v="0"/>
    <n v="1"/>
    <x v="0"/>
    <n v="2"/>
    <x v="14"/>
    <n v="5"/>
    <x v="972"/>
    <x v="34"/>
    <x v="44"/>
    <n v="94"/>
    <x v="2"/>
    <n v="3"/>
    <x v="1"/>
    <n v="0"/>
  </r>
  <r>
    <s v="C0974"/>
    <n v="22"/>
    <x v="1"/>
    <n v="0"/>
    <x v="0"/>
    <n v="2"/>
    <x v="0"/>
    <n v="4"/>
    <x v="973"/>
    <x v="51"/>
    <x v="79"/>
    <n v="77"/>
    <x v="1"/>
    <n v="2"/>
    <x v="1"/>
    <n v="0"/>
  </r>
  <r>
    <s v="C0975"/>
    <n v="48"/>
    <x v="1"/>
    <n v="0"/>
    <x v="0"/>
    <n v="2"/>
    <x v="0"/>
    <n v="2"/>
    <x v="974"/>
    <x v="42"/>
    <x v="28"/>
    <n v="50"/>
    <x v="1"/>
    <n v="2"/>
    <x v="1"/>
    <n v="0"/>
  </r>
  <r>
    <s v="C0976"/>
    <n v="25"/>
    <x v="0"/>
    <n v="1"/>
    <x v="0"/>
    <n v="2"/>
    <x v="8"/>
    <n v="5"/>
    <x v="975"/>
    <x v="73"/>
    <x v="24"/>
    <n v="43"/>
    <x v="2"/>
    <n v="3"/>
    <x v="1"/>
    <n v="0"/>
  </r>
  <r>
    <s v="C0977"/>
    <n v="37"/>
    <x v="1"/>
    <n v="0"/>
    <x v="3"/>
    <n v="3"/>
    <x v="11"/>
    <n v="2"/>
    <x v="976"/>
    <x v="87"/>
    <x v="70"/>
    <n v="95"/>
    <x v="1"/>
    <n v="2"/>
    <x v="0"/>
    <n v="1"/>
  </r>
  <r>
    <s v="C0978"/>
    <n v="38"/>
    <x v="0"/>
    <n v="1"/>
    <x v="0"/>
    <n v="2"/>
    <x v="6"/>
    <n v="5"/>
    <x v="977"/>
    <x v="14"/>
    <x v="36"/>
    <n v="49"/>
    <x v="1"/>
    <n v="2"/>
    <x v="1"/>
    <n v="0"/>
  </r>
  <r>
    <s v="C0979"/>
    <n v="24"/>
    <x v="0"/>
    <n v="1"/>
    <x v="1"/>
    <n v="4"/>
    <x v="1"/>
    <n v="1"/>
    <x v="978"/>
    <x v="53"/>
    <x v="20"/>
    <n v="16"/>
    <x v="0"/>
    <n v="1"/>
    <x v="0"/>
    <n v="1"/>
  </r>
  <r>
    <s v="C0980"/>
    <n v="34"/>
    <x v="0"/>
    <n v="1"/>
    <x v="2"/>
    <n v="1"/>
    <x v="7"/>
    <n v="3"/>
    <x v="979"/>
    <x v="76"/>
    <x v="79"/>
    <n v="34"/>
    <x v="0"/>
    <n v="1"/>
    <x v="1"/>
    <n v="0"/>
  </r>
  <r>
    <s v="C0981"/>
    <n v="44"/>
    <x v="0"/>
    <n v="1"/>
    <x v="2"/>
    <n v="1"/>
    <x v="6"/>
    <n v="1"/>
    <x v="980"/>
    <x v="48"/>
    <x v="43"/>
    <n v="0"/>
    <x v="1"/>
    <n v="2"/>
    <x v="1"/>
    <n v="0"/>
  </r>
  <r>
    <s v="C0982"/>
    <n v="21"/>
    <x v="0"/>
    <n v="1"/>
    <x v="0"/>
    <n v="2"/>
    <x v="15"/>
    <n v="5"/>
    <x v="981"/>
    <x v="58"/>
    <x v="63"/>
    <n v="28"/>
    <x v="2"/>
    <n v="3"/>
    <x v="1"/>
    <n v="0"/>
  </r>
  <r>
    <s v="C0983"/>
    <n v="29"/>
    <x v="1"/>
    <n v="0"/>
    <x v="0"/>
    <n v="2"/>
    <x v="10"/>
    <n v="3"/>
    <x v="982"/>
    <x v="94"/>
    <x v="92"/>
    <n v="50"/>
    <x v="0"/>
    <n v="1"/>
    <x v="1"/>
    <n v="0"/>
  </r>
  <r>
    <s v="C0984"/>
    <n v="43"/>
    <x v="1"/>
    <n v="0"/>
    <x v="0"/>
    <n v="2"/>
    <x v="10"/>
    <n v="3"/>
    <x v="983"/>
    <x v="39"/>
    <x v="56"/>
    <n v="63"/>
    <x v="1"/>
    <n v="2"/>
    <x v="1"/>
    <n v="0"/>
  </r>
  <r>
    <s v="C0985"/>
    <n v="49"/>
    <x v="0"/>
    <n v="1"/>
    <x v="0"/>
    <n v="2"/>
    <x v="4"/>
    <n v="5"/>
    <x v="984"/>
    <x v="51"/>
    <x v="73"/>
    <n v="3"/>
    <x v="0"/>
    <n v="1"/>
    <x v="1"/>
    <n v="0"/>
  </r>
  <r>
    <s v="C0986"/>
    <n v="37"/>
    <x v="0"/>
    <n v="1"/>
    <x v="0"/>
    <n v="2"/>
    <x v="14"/>
    <n v="5"/>
    <x v="985"/>
    <x v="17"/>
    <x v="7"/>
    <n v="86"/>
    <x v="1"/>
    <n v="2"/>
    <x v="1"/>
    <n v="0"/>
  </r>
  <r>
    <s v="C0987"/>
    <n v="46"/>
    <x v="1"/>
    <n v="0"/>
    <x v="2"/>
    <n v="1"/>
    <x v="11"/>
    <n v="2"/>
    <x v="986"/>
    <x v="25"/>
    <x v="46"/>
    <n v="27"/>
    <x v="0"/>
    <n v="1"/>
    <x v="0"/>
    <n v="1"/>
  </r>
  <r>
    <s v="C0988"/>
    <n v="32"/>
    <x v="1"/>
    <n v="0"/>
    <x v="1"/>
    <n v="4"/>
    <x v="10"/>
    <n v="5"/>
    <x v="987"/>
    <x v="9"/>
    <x v="16"/>
    <n v="15"/>
    <x v="0"/>
    <n v="1"/>
    <x v="0"/>
    <n v="1"/>
  </r>
  <r>
    <s v="C0989"/>
    <n v="24"/>
    <x v="1"/>
    <n v="0"/>
    <x v="0"/>
    <n v="2"/>
    <x v="15"/>
    <n v="4"/>
    <x v="988"/>
    <x v="55"/>
    <x v="39"/>
    <n v="62"/>
    <x v="0"/>
    <n v="1"/>
    <x v="0"/>
    <n v="1"/>
  </r>
  <r>
    <s v="C0990"/>
    <n v="42"/>
    <x v="1"/>
    <n v="0"/>
    <x v="3"/>
    <n v="3"/>
    <x v="2"/>
    <n v="5"/>
    <x v="989"/>
    <x v="90"/>
    <x v="100"/>
    <n v="75"/>
    <x v="1"/>
    <n v="2"/>
    <x v="1"/>
    <n v="0"/>
  </r>
  <r>
    <s v="C0991"/>
    <n v="43"/>
    <x v="0"/>
    <n v="1"/>
    <x v="3"/>
    <n v="3"/>
    <x v="10"/>
    <n v="4"/>
    <x v="990"/>
    <x v="88"/>
    <x v="25"/>
    <n v="52"/>
    <x v="1"/>
    <n v="2"/>
    <x v="1"/>
    <n v="0"/>
  </r>
  <r>
    <s v="C0992"/>
    <n v="20"/>
    <x v="0"/>
    <n v="1"/>
    <x v="1"/>
    <n v="4"/>
    <x v="3"/>
    <n v="5"/>
    <x v="991"/>
    <x v="43"/>
    <x v="80"/>
    <n v="84"/>
    <x v="0"/>
    <n v="1"/>
    <x v="0"/>
    <n v="1"/>
  </r>
  <r>
    <s v="C0993"/>
    <n v="41"/>
    <x v="1"/>
    <n v="0"/>
    <x v="2"/>
    <n v="1"/>
    <x v="9"/>
    <n v="2"/>
    <x v="992"/>
    <x v="83"/>
    <x v="37"/>
    <n v="16"/>
    <x v="2"/>
    <n v="3"/>
    <x v="1"/>
    <n v="0"/>
  </r>
  <r>
    <s v="C0994"/>
    <n v="20"/>
    <x v="0"/>
    <n v="1"/>
    <x v="3"/>
    <n v="3"/>
    <x v="11"/>
    <n v="4"/>
    <x v="993"/>
    <x v="59"/>
    <x v="10"/>
    <n v="39"/>
    <x v="0"/>
    <n v="1"/>
    <x v="0"/>
    <n v="1"/>
  </r>
  <r>
    <s v="C0995"/>
    <n v="37"/>
    <x v="1"/>
    <n v="0"/>
    <x v="0"/>
    <n v="2"/>
    <x v="8"/>
    <n v="1"/>
    <x v="994"/>
    <x v="56"/>
    <x v="18"/>
    <n v="12"/>
    <x v="1"/>
    <n v="2"/>
    <x v="1"/>
    <n v="0"/>
  </r>
  <r>
    <s v="C0996"/>
    <n v="34"/>
    <x v="0"/>
    <n v="1"/>
    <x v="0"/>
    <n v="2"/>
    <x v="2"/>
    <n v="4"/>
    <x v="995"/>
    <x v="39"/>
    <x v="15"/>
    <n v="51"/>
    <x v="2"/>
    <n v="3"/>
    <x v="1"/>
    <n v="0"/>
  </r>
  <r>
    <s v="C0997"/>
    <n v="36"/>
    <x v="1"/>
    <n v="0"/>
    <x v="0"/>
    <n v="2"/>
    <x v="5"/>
    <n v="2"/>
    <x v="996"/>
    <x v="70"/>
    <x v="46"/>
    <n v="57"/>
    <x v="1"/>
    <n v="2"/>
    <x v="1"/>
    <n v="0"/>
  </r>
  <r>
    <s v="C0998"/>
    <n v="30"/>
    <x v="0"/>
    <n v="1"/>
    <x v="3"/>
    <n v="3"/>
    <x v="13"/>
    <n v="4"/>
    <x v="997"/>
    <x v="95"/>
    <x v="75"/>
    <n v="95"/>
    <x v="1"/>
    <n v="2"/>
    <x v="1"/>
    <n v="0"/>
  </r>
  <r>
    <s v="C0999"/>
    <n v="40"/>
    <x v="1"/>
    <n v="0"/>
    <x v="0"/>
    <n v="2"/>
    <x v="2"/>
    <n v="5"/>
    <x v="998"/>
    <x v="92"/>
    <x v="93"/>
    <n v="36"/>
    <x v="0"/>
    <n v="1"/>
    <x v="1"/>
    <n v="0"/>
  </r>
  <r>
    <s v="C1000"/>
    <n v="45"/>
    <x v="1"/>
    <n v="0"/>
    <x v="3"/>
    <n v="3"/>
    <x v="7"/>
    <n v="5"/>
    <x v="999"/>
    <x v="69"/>
    <x v="22"/>
    <n v="78"/>
    <x v="1"/>
    <n v="2"/>
    <x v="0"/>
    <n v="1"/>
  </r>
  <r>
    <s v="C1001"/>
    <n v="50"/>
    <x v="0"/>
    <n v="1"/>
    <x v="0"/>
    <n v="2"/>
    <x v="13"/>
    <n v="2"/>
    <x v="1000"/>
    <x v="31"/>
    <x v="88"/>
    <n v="75"/>
    <x v="1"/>
    <n v="2"/>
    <x v="1"/>
    <n v="0"/>
  </r>
  <r>
    <s v="C1002"/>
    <n v="44"/>
    <x v="1"/>
    <n v="0"/>
    <x v="3"/>
    <n v="3"/>
    <x v="6"/>
    <n v="3"/>
    <x v="1001"/>
    <x v="7"/>
    <x v="51"/>
    <n v="60"/>
    <x v="2"/>
    <n v="3"/>
    <x v="1"/>
    <n v="0"/>
  </r>
  <r>
    <s v="C1003"/>
    <n v="41"/>
    <x v="0"/>
    <n v="1"/>
    <x v="1"/>
    <n v="4"/>
    <x v="12"/>
    <n v="5"/>
    <x v="1002"/>
    <x v="46"/>
    <x v="86"/>
    <n v="78"/>
    <x v="0"/>
    <n v="1"/>
    <x v="0"/>
    <n v="1"/>
  </r>
  <r>
    <s v="C1004"/>
    <n v="46"/>
    <x v="0"/>
    <n v="1"/>
    <x v="0"/>
    <n v="2"/>
    <x v="9"/>
    <n v="1"/>
    <x v="1003"/>
    <x v="51"/>
    <x v="70"/>
    <n v="33"/>
    <x v="1"/>
    <n v="2"/>
    <x v="1"/>
    <n v="0"/>
  </r>
  <r>
    <s v="C1005"/>
    <n v="46"/>
    <x v="1"/>
    <n v="0"/>
    <x v="1"/>
    <n v="4"/>
    <x v="9"/>
    <n v="2"/>
    <x v="1004"/>
    <x v="51"/>
    <x v="56"/>
    <n v="69"/>
    <x v="1"/>
    <n v="2"/>
    <x v="1"/>
    <n v="0"/>
  </r>
  <r>
    <s v="C1006"/>
    <n v="36"/>
    <x v="0"/>
    <n v="1"/>
    <x v="2"/>
    <n v="1"/>
    <x v="9"/>
    <n v="4"/>
    <x v="1005"/>
    <x v="26"/>
    <x v="70"/>
    <n v="16"/>
    <x v="2"/>
    <n v="3"/>
    <x v="1"/>
    <n v="0"/>
  </r>
  <r>
    <s v="C1007"/>
    <n v="32"/>
    <x v="0"/>
    <n v="1"/>
    <x v="2"/>
    <n v="1"/>
    <x v="14"/>
    <n v="4"/>
    <x v="1006"/>
    <x v="76"/>
    <x v="55"/>
    <n v="19"/>
    <x v="0"/>
    <n v="1"/>
    <x v="0"/>
    <n v="1"/>
  </r>
  <r>
    <s v="C1008"/>
    <n v="20"/>
    <x v="0"/>
    <n v="1"/>
    <x v="2"/>
    <n v="1"/>
    <x v="9"/>
    <n v="1"/>
    <x v="1007"/>
    <x v="47"/>
    <x v="74"/>
    <n v="72"/>
    <x v="2"/>
    <n v="3"/>
    <x v="1"/>
    <n v="0"/>
  </r>
  <r>
    <s v="C1009"/>
    <n v="21"/>
    <x v="0"/>
    <n v="1"/>
    <x v="0"/>
    <n v="2"/>
    <x v="4"/>
    <n v="5"/>
    <x v="1008"/>
    <x v="3"/>
    <x v="14"/>
    <n v="58"/>
    <x v="1"/>
    <n v="2"/>
    <x v="1"/>
    <n v="0"/>
  </r>
  <r>
    <s v="C1010"/>
    <n v="28"/>
    <x v="0"/>
    <n v="1"/>
    <x v="0"/>
    <n v="2"/>
    <x v="9"/>
    <n v="2"/>
    <x v="1009"/>
    <x v="54"/>
    <x v="5"/>
    <n v="68"/>
    <x v="1"/>
    <n v="2"/>
    <x v="1"/>
    <n v="0"/>
  </r>
  <r>
    <s v="C1011"/>
    <n v="22"/>
    <x v="1"/>
    <n v="0"/>
    <x v="2"/>
    <n v="1"/>
    <x v="15"/>
    <n v="1"/>
    <x v="1010"/>
    <x v="77"/>
    <x v="59"/>
    <n v="86"/>
    <x v="0"/>
    <n v="1"/>
    <x v="0"/>
    <n v="1"/>
  </r>
  <r>
    <s v="C1012"/>
    <n v="50"/>
    <x v="0"/>
    <n v="1"/>
    <x v="2"/>
    <n v="1"/>
    <x v="6"/>
    <n v="5"/>
    <x v="1011"/>
    <x v="69"/>
    <x v="90"/>
    <n v="32"/>
    <x v="1"/>
    <n v="2"/>
    <x v="1"/>
    <n v="0"/>
  </r>
  <r>
    <s v="C1013"/>
    <n v="20"/>
    <x v="0"/>
    <n v="1"/>
    <x v="1"/>
    <n v="4"/>
    <x v="8"/>
    <n v="2"/>
    <x v="1012"/>
    <x v="79"/>
    <x v="2"/>
    <n v="77"/>
    <x v="1"/>
    <n v="2"/>
    <x v="0"/>
    <n v="1"/>
  </r>
  <r>
    <s v="C1014"/>
    <n v="40"/>
    <x v="0"/>
    <n v="1"/>
    <x v="3"/>
    <n v="3"/>
    <x v="9"/>
    <n v="4"/>
    <x v="1013"/>
    <x v="53"/>
    <x v="95"/>
    <n v="16"/>
    <x v="1"/>
    <n v="2"/>
    <x v="1"/>
    <n v="0"/>
  </r>
  <r>
    <s v="C1015"/>
    <n v="35"/>
    <x v="0"/>
    <n v="1"/>
    <x v="3"/>
    <n v="3"/>
    <x v="1"/>
    <n v="2"/>
    <x v="1014"/>
    <x v="25"/>
    <x v="24"/>
    <n v="56"/>
    <x v="0"/>
    <n v="1"/>
    <x v="0"/>
    <n v="1"/>
  </r>
  <r>
    <s v="C1016"/>
    <n v="42"/>
    <x v="0"/>
    <n v="1"/>
    <x v="3"/>
    <n v="3"/>
    <x v="6"/>
    <n v="3"/>
    <x v="1015"/>
    <x v="66"/>
    <x v="71"/>
    <n v="82"/>
    <x v="0"/>
    <n v="1"/>
    <x v="0"/>
    <n v="1"/>
  </r>
  <r>
    <s v="C1017"/>
    <n v="25"/>
    <x v="1"/>
    <n v="0"/>
    <x v="3"/>
    <n v="3"/>
    <x v="9"/>
    <n v="2"/>
    <x v="1016"/>
    <x v="83"/>
    <x v="74"/>
    <n v="96"/>
    <x v="2"/>
    <n v="3"/>
    <x v="0"/>
    <n v="1"/>
  </r>
  <r>
    <s v="C1018"/>
    <n v="47"/>
    <x v="0"/>
    <n v="1"/>
    <x v="2"/>
    <n v="1"/>
    <x v="14"/>
    <n v="3"/>
    <x v="1017"/>
    <x v="18"/>
    <x v="58"/>
    <n v="0"/>
    <x v="2"/>
    <n v="3"/>
    <x v="1"/>
    <n v="0"/>
  </r>
  <r>
    <s v="C1019"/>
    <n v="36"/>
    <x v="1"/>
    <n v="0"/>
    <x v="0"/>
    <n v="2"/>
    <x v="11"/>
    <n v="2"/>
    <x v="1018"/>
    <x v="98"/>
    <x v="12"/>
    <n v="12"/>
    <x v="1"/>
    <n v="2"/>
    <x v="1"/>
    <n v="0"/>
  </r>
  <r>
    <s v="C1020"/>
    <n v="24"/>
    <x v="1"/>
    <n v="0"/>
    <x v="3"/>
    <n v="3"/>
    <x v="4"/>
    <n v="3"/>
    <x v="1019"/>
    <x v="20"/>
    <x v="2"/>
    <n v="26"/>
    <x v="0"/>
    <n v="1"/>
    <x v="0"/>
    <n v="1"/>
  </r>
  <r>
    <s v="C1021"/>
    <n v="50"/>
    <x v="1"/>
    <n v="0"/>
    <x v="0"/>
    <n v="2"/>
    <x v="14"/>
    <n v="4"/>
    <x v="1020"/>
    <x v="23"/>
    <x v="62"/>
    <n v="69"/>
    <x v="1"/>
    <n v="2"/>
    <x v="1"/>
    <n v="0"/>
  </r>
  <r>
    <s v="C1022"/>
    <n v="24"/>
    <x v="1"/>
    <n v="0"/>
    <x v="0"/>
    <n v="2"/>
    <x v="0"/>
    <n v="5"/>
    <x v="1021"/>
    <x v="17"/>
    <x v="6"/>
    <n v="58"/>
    <x v="1"/>
    <n v="2"/>
    <x v="1"/>
    <n v="0"/>
  </r>
  <r>
    <s v="C1023"/>
    <n v="25"/>
    <x v="0"/>
    <n v="1"/>
    <x v="2"/>
    <n v="1"/>
    <x v="2"/>
    <n v="3"/>
    <x v="1022"/>
    <x v="44"/>
    <x v="10"/>
    <n v="5"/>
    <x v="2"/>
    <n v="3"/>
    <x v="1"/>
    <n v="0"/>
  </r>
  <r>
    <s v="C1024"/>
    <n v="22"/>
    <x v="1"/>
    <n v="0"/>
    <x v="0"/>
    <n v="2"/>
    <x v="1"/>
    <n v="3"/>
    <x v="1023"/>
    <x v="78"/>
    <x v="36"/>
    <n v="96"/>
    <x v="1"/>
    <n v="2"/>
    <x v="1"/>
    <n v="0"/>
  </r>
  <r>
    <s v="C1025"/>
    <n v="40"/>
    <x v="1"/>
    <n v="0"/>
    <x v="0"/>
    <n v="2"/>
    <x v="1"/>
    <n v="4"/>
    <x v="1024"/>
    <x v="39"/>
    <x v="37"/>
    <n v="93"/>
    <x v="2"/>
    <n v="3"/>
    <x v="1"/>
    <n v="0"/>
  </r>
  <r>
    <s v="C1026"/>
    <n v="42"/>
    <x v="0"/>
    <n v="1"/>
    <x v="0"/>
    <n v="2"/>
    <x v="8"/>
    <n v="3"/>
    <x v="1025"/>
    <x v="60"/>
    <x v="11"/>
    <n v="98"/>
    <x v="2"/>
    <n v="3"/>
    <x v="0"/>
    <n v="1"/>
  </r>
  <r>
    <s v="C1027"/>
    <n v="24"/>
    <x v="0"/>
    <n v="1"/>
    <x v="0"/>
    <n v="2"/>
    <x v="2"/>
    <n v="1"/>
    <x v="1026"/>
    <x v="4"/>
    <x v="98"/>
    <n v="22"/>
    <x v="2"/>
    <n v="3"/>
    <x v="1"/>
    <n v="0"/>
  </r>
  <r>
    <s v="C1028"/>
    <n v="40"/>
    <x v="0"/>
    <n v="1"/>
    <x v="0"/>
    <n v="2"/>
    <x v="13"/>
    <n v="4"/>
    <x v="1027"/>
    <x v="86"/>
    <x v="19"/>
    <n v="9"/>
    <x v="0"/>
    <n v="1"/>
    <x v="1"/>
    <n v="0"/>
  </r>
  <r>
    <s v="C1029"/>
    <n v="24"/>
    <x v="1"/>
    <n v="0"/>
    <x v="2"/>
    <n v="1"/>
    <x v="11"/>
    <n v="1"/>
    <x v="1028"/>
    <x v="46"/>
    <x v="73"/>
    <n v="50"/>
    <x v="0"/>
    <n v="1"/>
    <x v="1"/>
    <n v="0"/>
  </r>
  <r>
    <s v="C1030"/>
    <n v="29"/>
    <x v="0"/>
    <n v="1"/>
    <x v="2"/>
    <n v="1"/>
    <x v="3"/>
    <n v="4"/>
    <x v="1029"/>
    <x v="72"/>
    <x v="49"/>
    <n v="18"/>
    <x v="1"/>
    <n v="2"/>
    <x v="1"/>
    <n v="0"/>
  </r>
  <r>
    <s v="C1031"/>
    <n v="29"/>
    <x v="0"/>
    <n v="1"/>
    <x v="3"/>
    <n v="3"/>
    <x v="2"/>
    <n v="3"/>
    <x v="1030"/>
    <x v="10"/>
    <x v="53"/>
    <n v="50"/>
    <x v="1"/>
    <n v="2"/>
    <x v="1"/>
    <n v="0"/>
  </r>
  <r>
    <s v="C1032"/>
    <n v="38"/>
    <x v="1"/>
    <n v="0"/>
    <x v="0"/>
    <n v="2"/>
    <x v="5"/>
    <n v="1"/>
    <x v="1031"/>
    <x v="64"/>
    <x v="7"/>
    <n v="91"/>
    <x v="0"/>
    <n v="1"/>
    <x v="0"/>
    <n v="1"/>
  </r>
  <r>
    <s v="C1033"/>
    <n v="36"/>
    <x v="0"/>
    <n v="1"/>
    <x v="2"/>
    <n v="1"/>
    <x v="10"/>
    <n v="3"/>
    <x v="1032"/>
    <x v="37"/>
    <x v="87"/>
    <n v="86"/>
    <x v="0"/>
    <n v="1"/>
    <x v="0"/>
    <n v="1"/>
  </r>
  <r>
    <s v="C1034"/>
    <n v="40"/>
    <x v="0"/>
    <n v="1"/>
    <x v="3"/>
    <n v="3"/>
    <x v="8"/>
    <n v="4"/>
    <x v="1033"/>
    <x v="71"/>
    <x v="34"/>
    <n v="67"/>
    <x v="1"/>
    <n v="2"/>
    <x v="0"/>
    <n v="1"/>
  </r>
  <r>
    <s v="C1035"/>
    <n v="33"/>
    <x v="0"/>
    <n v="1"/>
    <x v="0"/>
    <n v="2"/>
    <x v="3"/>
    <n v="3"/>
    <x v="1034"/>
    <x v="21"/>
    <x v="67"/>
    <n v="83"/>
    <x v="1"/>
    <n v="2"/>
    <x v="1"/>
    <n v="0"/>
  </r>
  <r>
    <s v="C1036"/>
    <n v="28"/>
    <x v="0"/>
    <n v="1"/>
    <x v="0"/>
    <n v="2"/>
    <x v="5"/>
    <n v="1"/>
    <x v="1035"/>
    <x v="32"/>
    <x v="85"/>
    <n v="82"/>
    <x v="1"/>
    <n v="2"/>
    <x v="1"/>
    <n v="0"/>
  </r>
  <r>
    <s v="C1037"/>
    <n v="33"/>
    <x v="1"/>
    <n v="0"/>
    <x v="2"/>
    <n v="1"/>
    <x v="9"/>
    <n v="1"/>
    <x v="1036"/>
    <x v="55"/>
    <x v="64"/>
    <n v="41"/>
    <x v="1"/>
    <n v="2"/>
    <x v="1"/>
    <n v="0"/>
  </r>
  <r>
    <s v="C1038"/>
    <n v="20"/>
    <x v="0"/>
    <n v="1"/>
    <x v="3"/>
    <n v="3"/>
    <x v="5"/>
    <n v="3"/>
    <x v="1037"/>
    <x v="11"/>
    <x v="25"/>
    <n v="90"/>
    <x v="1"/>
    <n v="2"/>
    <x v="1"/>
    <n v="0"/>
  </r>
  <r>
    <s v="C1039"/>
    <n v="38"/>
    <x v="0"/>
    <n v="1"/>
    <x v="0"/>
    <n v="2"/>
    <x v="9"/>
    <n v="2"/>
    <x v="1038"/>
    <x v="72"/>
    <x v="39"/>
    <n v="56"/>
    <x v="1"/>
    <n v="2"/>
    <x v="1"/>
    <n v="0"/>
  </r>
  <r>
    <s v="C1040"/>
    <n v="32"/>
    <x v="1"/>
    <n v="0"/>
    <x v="0"/>
    <n v="2"/>
    <x v="4"/>
    <n v="4"/>
    <x v="1039"/>
    <x v="85"/>
    <x v="98"/>
    <n v="97"/>
    <x v="0"/>
    <n v="1"/>
    <x v="0"/>
    <n v="1"/>
  </r>
  <r>
    <s v="C1041"/>
    <n v="32"/>
    <x v="0"/>
    <n v="1"/>
    <x v="3"/>
    <n v="3"/>
    <x v="3"/>
    <n v="4"/>
    <x v="1040"/>
    <x v="43"/>
    <x v="70"/>
    <n v="67"/>
    <x v="1"/>
    <n v="2"/>
    <x v="1"/>
    <n v="0"/>
  </r>
  <r>
    <s v="C1042"/>
    <n v="23"/>
    <x v="1"/>
    <n v="0"/>
    <x v="0"/>
    <n v="2"/>
    <x v="10"/>
    <n v="3"/>
    <x v="1041"/>
    <x v="47"/>
    <x v="34"/>
    <n v="37"/>
    <x v="1"/>
    <n v="2"/>
    <x v="1"/>
    <n v="0"/>
  </r>
  <r>
    <s v="C1043"/>
    <n v="49"/>
    <x v="0"/>
    <n v="1"/>
    <x v="0"/>
    <n v="2"/>
    <x v="5"/>
    <n v="2"/>
    <x v="1042"/>
    <x v="23"/>
    <x v="40"/>
    <n v="61"/>
    <x v="0"/>
    <n v="1"/>
    <x v="0"/>
    <n v="1"/>
  </r>
  <r>
    <s v="C1044"/>
    <n v="20"/>
    <x v="1"/>
    <n v="0"/>
    <x v="2"/>
    <n v="1"/>
    <x v="4"/>
    <n v="1"/>
    <x v="1043"/>
    <x v="97"/>
    <x v="71"/>
    <n v="6"/>
    <x v="1"/>
    <n v="2"/>
    <x v="1"/>
    <n v="0"/>
  </r>
  <r>
    <s v="C1045"/>
    <n v="36"/>
    <x v="1"/>
    <n v="0"/>
    <x v="0"/>
    <n v="2"/>
    <x v="15"/>
    <n v="5"/>
    <x v="1044"/>
    <x v="60"/>
    <x v="17"/>
    <n v="70"/>
    <x v="1"/>
    <n v="2"/>
    <x v="0"/>
    <n v="1"/>
  </r>
  <r>
    <s v="C1046"/>
    <n v="27"/>
    <x v="1"/>
    <n v="0"/>
    <x v="2"/>
    <n v="1"/>
    <x v="14"/>
    <n v="5"/>
    <x v="1045"/>
    <x v="21"/>
    <x v="67"/>
    <n v="49"/>
    <x v="1"/>
    <n v="2"/>
    <x v="1"/>
    <n v="0"/>
  </r>
  <r>
    <s v="C1047"/>
    <n v="21"/>
    <x v="1"/>
    <n v="0"/>
    <x v="0"/>
    <n v="2"/>
    <x v="6"/>
    <n v="3"/>
    <x v="1046"/>
    <x v="98"/>
    <x v="0"/>
    <n v="51"/>
    <x v="1"/>
    <n v="2"/>
    <x v="1"/>
    <n v="0"/>
  </r>
  <r>
    <s v="C1048"/>
    <n v="47"/>
    <x v="0"/>
    <n v="1"/>
    <x v="3"/>
    <n v="3"/>
    <x v="8"/>
    <n v="2"/>
    <x v="1047"/>
    <x v="31"/>
    <x v="63"/>
    <n v="25"/>
    <x v="1"/>
    <n v="2"/>
    <x v="1"/>
    <n v="0"/>
  </r>
  <r>
    <s v="C1049"/>
    <n v="50"/>
    <x v="1"/>
    <n v="0"/>
    <x v="0"/>
    <n v="2"/>
    <x v="6"/>
    <n v="2"/>
    <x v="1048"/>
    <x v="11"/>
    <x v="100"/>
    <n v="25"/>
    <x v="1"/>
    <n v="2"/>
    <x v="1"/>
    <n v="0"/>
  </r>
  <r>
    <s v="C1050"/>
    <n v="27"/>
    <x v="0"/>
    <n v="1"/>
    <x v="0"/>
    <n v="2"/>
    <x v="13"/>
    <n v="4"/>
    <x v="1049"/>
    <x v="98"/>
    <x v="81"/>
    <n v="18"/>
    <x v="2"/>
    <n v="3"/>
    <x v="1"/>
    <n v="0"/>
  </r>
  <r>
    <s v="C1051"/>
    <n v="26"/>
    <x v="1"/>
    <n v="0"/>
    <x v="2"/>
    <n v="1"/>
    <x v="8"/>
    <n v="1"/>
    <x v="1050"/>
    <x v="22"/>
    <x v="28"/>
    <n v="8"/>
    <x v="0"/>
    <n v="1"/>
    <x v="0"/>
    <n v="1"/>
  </r>
  <r>
    <s v="C1052"/>
    <n v="45"/>
    <x v="1"/>
    <n v="0"/>
    <x v="0"/>
    <n v="2"/>
    <x v="3"/>
    <n v="2"/>
    <x v="1051"/>
    <x v="46"/>
    <x v="51"/>
    <n v="60"/>
    <x v="2"/>
    <n v="3"/>
    <x v="1"/>
    <n v="0"/>
  </r>
  <r>
    <s v="C1053"/>
    <n v="45"/>
    <x v="1"/>
    <n v="0"/>
    <x v="0"/>
    <n v="2"/>
    <x v="11"/>
    <n v="5"/>
    <x v="1052"/>
    <x v="68"/>
    <x v="34"/>
    <n v="19"/>
    <x v="1"/>
    <n v="2"/>
    <x v="1"/>
    <n v="0"/>
  </r>
  <r>
    <s v="C1054"/>
    <n v="21"/>
    <x v="0"/>
    <n v="1"/>
    <x v="3"/>
    <n v="3"/>
    <x v="9"/>
    <n v="1"/>
    <x v="1053"/>
    <x v="16"/>
    <x v="7"/>
    <n v="49"/>
    <x v="0"/>
    <n v="1"/>
    <x v="0"/>
    <n v="1"/>
  </r>
  <r>
    <s v="C1055"/>
    <n v="41"/>
    <x v="1"/>
    <n v="0"/>
    <x v="2"/>
    <n v="1"/>
    <x v="8"/>
    <n v="1"/>
    <x v="1054"/>
    <x v="12"/>
    <x v="45"/>
    <n v="79"/>
    <x v="0"/>
    <n v="1"/>
    <x v="0"/>
    <n v="1"/>
  </r>
  <r>
    <s v="C1056"/>
    <n v="41"/>
    <x v="0"/>
    <n v="1"/>
    <x v="3"/>
    <n v="3"/>
    <x v="6"/>
    <n v="3"/>
    <x v="1055"/>
    <x v="2"/>
    <x v="83"/>
    <n v="80"/>
    <x v="1"/>
    <n v="2"/>
    <x v="1"/>
    <n v="0"/>
  </r>
  <r>
    <s v="C1057"/>
    <n v="22"/>
    <x v="0"/>
    <n v="1"/>
    <x v="3"/>
    <n v="3"/>
    <x v="9"/>
    <n v="2"/>
    <x v="1056"/>
    <x v="81"/>
    <x v="99"/>
    <n v="21"/>
    <x v="1"/>
    <n v="2"/>
    <x v="1"/>
    <n v="0"/>
  </r>
  <r>
    <s v="C1058"/>
    <n v="46"/>
    <x v="0"/>
    <n v="1"/>
    <x v="0"/>
    <n v="2"/>
    <x v="7"/>
    <n v="3"/>
    <x v="1057"/>
    <x v="94"/>
    <x v="82"/>
    <n v="12"/>
    <x v="0"/>
    <n v="1"/>
    <x v="0"/>
    <n v="1"/>
  </r>
  <r>
    <s v="C1059"/>
    <n v="37"/>
    <x v="0"/>
    <n v="1"/>
    <x v="3"/>
    <n v="3"/>
    <x v="14"/>
    <n v="2"/>
    <x v="1058"/>
    <x v="53"/>
    <x v="61"/>
    <n v="11"/>
    <x v="0"/>
    <n v="1"/>
    <x v="0"/>
    <n v="1"/>
  </r>
  <r>
    <s v="C1060"/>
    <n v="31"/>
    <x v="0"/>
    <n v="1"/>
    <x v="0"/>
    <n v="2"/>
    <x v="8"/>
    <n v="4"/>
    <x v="1059"/>
    <x v="29"/>
    <x v="99"/>
    <n v="9"/>
    <x v="1"/>
    <n v="2"/>
    <x v="1"/>
    <n v="0"/>
  </r>
  <r>
    <s v="C1061"/>
    <n v="20"/>
    <x v="0"/>
    <n v="1"/>
    <x v="0"/>
    <n v="2"/>
    <x v="14"/>
    <n v="3"/>
    <x v="1060"/>
    <x v="100"/>
    <x v="33"/>
    <n v="64"/>
    <x v="0"/>
    <n v="1"/>
    <x v="0"/>
    <n v="1"/>
  </r>
  <r>
    <s v="C1062"/>
    <n v="41"/>
    <x v="0"/>
    <n v="1"/>
    <x v="0"/>
    <n v="2"/>
    <x v="6"/>
    <n v="3"/>
    <x v="1061"/>
    <x v="16"/>
    <x v="5"/>
    <n v="95"/>
    <x v="2"/>
    <n v="3"/>
    <x v="1"/>
    <n v="0"/>
  </r>
  <r>
    <s v="C1063"/>
    <n v="31"/>
    <x v="0"/>
    <n v="1"/>
    <x v="0"/>
    <n v="2"/>
    <x v="4"/>
    <n v="5"/>
    <x v="1062"/>
    <x v="34"/>
    <x v="54"/>
    <n v="29"/>
    <x v="1"/>
    <n v="2"/>
    <x v="1"/>
    <n v="0"/>
  </r>
  <r>
    <s v="C1064"/>
    <n v="24"/>
    <x v="0"/>
    <n v="1"/>
    <x v="0"/>
    <n v="2"/>
    <x v="0"/>
    <n v="3"/>
    <x v="1063"/>
    <x v="100"/>
    <x v="18"/>
    <n v="7"/>
    <x v="1"/>
    <n v="2"/>
    <x v="1"/>
    <n v="0"/>
  </r>
  <r>
    <s v="C1065"/>
    <n v="49"/>
    <x v="1"/>
    <n v="0"/>
    <x v="0"/>
    <n v="2"/>
    <x v="0"/>
    <n v="2"/>
    <x v="1064"/>
    <x v="49"/>
    <x v="59"/>
    <n v="20"/>
    <x v="1"/>
    <n v="2"/>
    <x v="1"/>
    <n v="0"/>
  </r>
  <r>
    <s v="C1066"/>
    <n v="49"/>
    <x v="1"/>
    <n v="0"/>
    <x v="0"/>
    <n v="2"/>
    <x v="4"/>
    <n v="5"/>
    <x v="1065"/>
    <x v="79"/>
    <x v="9"/>
    <n v="21"/>
    <x v="0"/>
    <n v="1"/>
    <x v="0"/>
    <n v="1"/>
  </r>
  <r>
    <s v="C1067"/>
    <n v="46"/>
    <x v="1"/>
    <n v="0"/>
    <x v="0"/>
    <n v="2"/>
    <x v="5"/>
    <n v="3"/>
    <x v="1066"/>
    <x v="12"/>
    <x v="61"/>
    <n v="17"/>
    <x v="2"/>
    <n v="3"/>
    <x v="1"/>
    <n v="0"/>
  </r>
  <r>
    <s v="C1068"/>
    <n v="44"/>
    <x v="1"/>
    <n v="0"/>
    <x v="2"/>
    <n v="1"/>
    <x v="5"/>
    <n v="3"/>
    <x v="1067"/>
    <x v="97"/>
    <x v="2"/>
    <n v="65"/>
    <x v="0"/>
    <n v="1"/>
    <x v="0"/>
    <n v="1"/>
  </r>
  <r>
    <s v="C1069"/>
    <n v="36"/>
    <x v="1"/>
    <n v="0"/>
    <x v="1"/>
    <n v="4"/>
    <x v="11"/>
    <n v="4"/>
    <x v="1068"/>
    <x v="53"/>
    <x v="32"/>
    <n v="47"/>
    <x v="1"/>
    <n v="2"/>
    <x v="1"/>
    <n v="0"/>
  </r>
  <r>
    <s v="C1070"/>
    <n v="35"/>
    <x v="0"/>
    <n v="1"/>
    <x v="3"/>
    <n v="3"/>
    <x v="12"/>
    <n v="3"/>
    <x v="1069"/>
    <x v="24"/>
    <x v="55"/>
    <n v="43"/>
    <x v="1"/>
    <n v="2"/>
    <x v="0"/>
    <n v="1"/>
  </r>
  <r>
    <s v="C1071"/>
    <n v="50"/>
    <x v="0"/>
    <n v="1"/>
    <x v="0"/>
    <n v="2"/>
    <x v="4"/>
    <n v="1"/>
    <x v="1070"/>
    <x v="12"/>
    <x v="61"/>
    <n v="8"/>
    <x v="0"/>
    <n v="1"/>
    <x v="0"/>
    <n v="1"/>
  </r>
  <r>
    <s v="C1072"/>
    <n v="34"/>
    <x v="0"/>
    <n v="1"/>
    <x v="2"/>
    <n v="1"/>
    <x v="11"/>
    <n v="5"/>
    <x v="1071"/>
    <x v="76"/>
    <x v="28"/>
    <n v="66"/>
    <x v="1"/>
    <n v="2"/>
    <x v="1"/>
    <n v="0"/>
  </r>
  <r>
    <s v="C1073"/>
    <n v="42"/>
    <x v="0"/>
    <n v="1"/>
    <x v="3"/>
    <n v="3"/>
    <x v="13"/>
    <n v="1"/>
    <x v="1072"/>
    <x v="94"/>
    <x v="94"/>
    <n v="53"/>
    <x v="2"/>
    <n v="3"/>
    <x v="1"/>
    <n v="0"/>
  </r>
  <r>
    <s v="C1074"/>
    <n v="34"/>
    <x v="0"/>
    <n v="1"/>
    <x v="3"/>
    <n v="3"/>
    <x v="9"/>
    <n v="5"/>
    <x v="1073"/>
    <x v="79"/>
    <x v="39"/>
    <n v="25"/>
    <x v="1"/>
    <n v="2"/>
    <x v="1"/>
    <n v="0"/>
  </r>
  <r>
    <s v="C1075"/>
    <n v="24"/>
    <x v="0"/>
    <n v="1"/>
    <x v="3"/>
    <n v="3"/>
    <x v="10"/>
    <n v="4"/>
    <x v="1074"/>
    <x v="82"/>
    <x v="85"/>
    <n v="84"/>
    <x v="2"/>
    <n v="3"/>
    <x v="0"/>
    <n v="1"/>
  </r>
  <r>
    <s v="C1076"/>
    <n v="40"/>
    <x v="0"/>
    <n v="1"/>
    <x v="0"/>
    <n v="2"/>
    <x v="12"/>
    <n v="3"/>
    <x v="1075"/>
    <x v="81"/>
    <x v="43"/>
    <n v="93"/>
    <x v="2"/>
    <n v="3"/>
    <x v="1"/>
    <n v="0"/>
  </r>
  <r>
    <s v="C1077"/>
    <n v="33"/>
    <x v="1"/>
    <n v="0"/>
    <x v="0"/>
    <n v="2"/>
    <x v="3"/>
    <n v="3"/>
    <x v="1076"/>
    <x v="69"/>
    <x v="28"/>
    <n v="91"/>
    <x v="1"/>
    <n v="2"/>
    <x v="1"/>
    <n v="0"/>
  </r>
  <r>
    <s v="C1078"/>
    <n v="21"/>
    <x v="1"/>
    <n v="0"/>
    <x v="2"/>
    <n v="1"/>
    <x v="1"/>
    <n v="3"/>
    <x v="1077"/>
    <x v="56"/>
    <x v="20"/>
    <n v="99"/>
    <x v="1"/>
    <n v="2"/>
    <x v="1"/>
    <n v="0"/>
  </r>
  <r>
    <s v="C1079"/>
    <n v="30"/>
    <x v="1"/>
    <n v="0"/>
    <x v="2"/>
    <n v="1"/>
    <x v="12"/>
    <n v="5"/>
    <x v="1078"/>
    <x v="40"/>
    <x v="62"/>
    <n v="25"/>
    <x v="1"/>
    <n v="2"/>
    <x v="1"/>
    <n v="0"/>
  </r>
  <r>
    <s v="C1080"/>
    <n v="38"/>
    <x v="1"/>
    <n v="0"/>
    <x v="3"/>
    <n v="3"/>
    <x v="8"/>
    <n v="3"/>
    <x v="1079"/>
    <x v="34"/>
    <x v="9"/>
    <n v="33"/>
    <x v="1"/>
    <n v="2"/>
    <x v="1"/>
    <n v="0"/>
  </r>
  <r>
    <s v="C1081"/>
    <n v="26"/>
    <x v="0"/>
    <n v="1"/>
    <x v="3"/>
    <n v="3"/>
    <x v="10"/>
    <n v="1"/>
    <x v="1080"/>
    <x v="49"/>
    <x v="45"/>
    <n v="7"/>
    <x v="0"/>
    <n v="1"/>
    <x v="0"/>
    <n v="1"/>
  </r>
  <r>
    <s v="C1082"/>
    <n v="25"/>
    <x v="0"/>
    <n v="1"/>
    <x v="0"/>
    <n v="2"/>
    <x v="7"/>
    <n v="3"/>
    <x v="1081"/>
    <x v="14"/>
    <x v="70"/>
    <n v="9"/>
    <x v="2"/>
    <n v="3"/>
    <x v="1"/>
    <n v="0"/>
  </r>
  <r>
    <s v="C1083"/>
    <n v="47"/>
    <x v="0"/>
    <n v="1"/>
    <x v="3"/>
    <n v="3"/>
    <x v="14"/>
    <n v="4"/>
    <x v="1082"/>
    <x v="25"/>
    <x v="46"/>
    <n v="47"/>
    <x v="1"/>
    <n v="2"/>
    <x v="0"/>
    <n v="1"/>
  </r>
  <r>
    <s v="C1084"/>
    <n v="21"/>
    <x v="1"/>
    <n v="0"/>
    <x v="0"/>
    <n v="2"/>
    <x v="9"/>
    <n v="1"/>
    <x v="1083"/>
    <x v="52"/>
    <x v="62"/>
    <n v="54"/>
    <x v="1"/>
    <n v="2"/>
    <x v="1"/>
    <n v="0"/>
  </r>
  <r>
    <s v="C1085"/>
    <n v="25"/>
    <x v="0"/>
    <n v="1"/>
    <x v="0"/>
    <n v="2"/>
    <x v="0"/>
    <n v="3"/>
    <x v="1084"/>
    <x v="82"/>
    <x v="29"/>
    <n v="53"/>
    <x v="1"/>
    <n v="2"/>
    <x v="1"/>
    <n v="0"/>
  </r>
  <r>
    <s v="C1086"/>
    <n v="37"/>
    <x v="0"/>
    <n v="1"/>
    <x v="0"/>
    <n v="2"/>
    <x v="5"/>
    <n v="3"/>
    <x v="1085"/>
    <x v="88"/>
    <x v="93"/>
    <n v="77"/>
    <x v="1"/>
    <n v="2"/>
    <x v="1"/>
    <n v="0"/>
  </r>
  <r>
    <s v="C1087"/>
    <n v="21"/>
    <x v="0"/>
    <n v="1"/>
    <x v="1"/>
    <n v="4"/>
    <x v="11"/>
    <n v="2"/>
    <x v="1086"/>
    <x v="45"/>
    <x v="30"/>
    <n v="39"/>
    <x v="2"/>
    <n v="3"/>
    <x v="1"/>
    <n v="0"/>
  </r>
  <r>
    <s v="C1088"/>
    <n v="37"/>
    <x v="1"/>
    <n v="0"/>
    <x v="2"/>
    <n v="1"/>
    <x v="5"/>
    <n v="5"/>
    <x v="1087"/>
    <x v="55"/>
    <x v="24"/>
    <n v="14"/>
    <x v="1"/>
    <n v="2"/>
    <x v="1"/>
    <n v="0"/>
  </r>
  <r>
    <s v="C1089"/>
    <n v="49"/>
    <x v="0"/>
    <n v="1"/>
    <x v="1"/>
    <n v="4"/>
    <x v="5"/>
    <n v="1"/>
    <x v="1088"/>
    <x v="20"/>
    <x v="75"/>
    <n v="80"/>
    <x v="0"/>
    <n v="1"/>
    <x v="0"/>
    <n v="1"/>
  </r>
  <r>
    <s v="C1090"/>
    <n v="34"/>
    <x v="1"/>
    <n v="0"/>
    <x v="3"/>
    <n v="3"/>
    <x v="5"/>
    <n v="2"/>
    <x v="1089"/>
    <x v="86"/>
    <x v="2"/>
    <n v="17"/>
    <x v="0"/>
    <n v="1"/>
    <x v="0"/>
    <n v="1"/>
  </r>
  <r>
    <s v="C1091"/>
    <n v="46"/>
    <x v="1"/>
    <n v="0"/>
    <x v="2"/>
    <n v="1"/>
    <x v="4"/>
    <n v="4"/>
    <x v="1090"/>
    <x v="14"/>
    <x v="3"/>
    <n v="95"/>
    <x v="2"/>
    <n v="3"/>
    <x v="1"/>
    <n v="0"/>
  </r>
  <r>
    <s v="C1092"/>
    <n v="38"/>
    <x v="1"/>
    <n v="0"/>
    <x v="0"/>
    <n v="2"/>
    <x v="4"/>
    <n v="5"/>
    <x v="1091"/>
    <x v="100"/>
    <x v="68"/>
    <n v="22"/>
    <x v="1"/>
    <n v="2"/>
    <x v="1"/>
    <n v="0"/>
  </r>
  <r>
    <s v="C1093"/>
    <n v="50"/>
    <x v="1"/>
    <n v="0"/>
    <x v="3"/>
    <n v="3"/>
    <x v="1"/>
    <n v="1"/>
    <x v="1092"/>
    <x v="59"/>
    <x v="63"/>
    <n v="61"/>
    <x v="2"/>
    <n v="3"/>
    <x v="1"/>
    <n v="0"/>
  </r>
  <r>
    <s v="C1094"/>
    <n v="21"/>
    <x v="0"/>
    <n v="1"/>
    <x v="0"/>
    <n v="2"/>
    <x v="0"/>
    <n v="3"/>
    <x v="1093"/>
    <x v="66"/>
    <x v="51"/>
    <n v="45"/>
    <x v="0"/>
    <n v="1"/>
    <x v="1"/>
    <n v="0"/>
  </r>
  <r>
    <s v="C1095"/>
    <n v="39"/>
    <x v="1"/>
    <n v="0"/>
    <x v="1"/>
    <n v="4"/>
    <x v="8"/>
    <n v="1"/>
    <x v="1094"/>
    <x v="96"/>
    <x v="26"/>
    <n v="86"/>
    <x v="0"/>
    <n v="1"/>
    <x v="0"/>
    <n v="1"/>
  </r>
  <r>
    <s v="C1096"/>
    <n v="44"/>
    <x v="1"/>
    <n v="0"/>
    <x v="1"/>
    <n v="4"/>
    <x v="12"/>
    <n v="3"/>
    <x v="1095"/>
    <x v="43"/>
    <x v="98"/>
    <n v="98"/>
    <x v="0"/>
    <n v="1"/>
    <x v="0"/>
    <n v="1"/>
  </r>
  <r>
    <s v="C1097"/>
    <n v="25"/>
    <x v="0"/>
    <n v="1"/>
    <x v="0"/>
    <n v="2"/>
    <x v="9"/>
    <n v="5"/>
    <x v="1096"/>
    <x v="56"/>
    <x v="29"/>
    <n v="38"/>
    <x v="1"/>
    <n v="2"/>
    <x v="1"/>
    <n v="0"/>
  </r>
  <r>
    <s v="C1098"/>
    <n v="20"/>
    <x v="0"/>
    <n v="1"/>
    <x v="0"/>
    <n v="2"/>
    <x v="2"/>
    <n v="3"/>
    <x v="1097"/>
    <x v="20"/>
    <x v="97"/>
    <n v="14"/>
    <x v="1"/>
    <n v="2"/>
    <x v="1"/>
    <n v="0"/>
  </r>
  <r>
    <s v="C1099"/>
    <n v="43"/>
    <x v="1"/>
    <n v="0"/>
    <x v="1"/>
    <n v="4"/>
    <x v="11"/>
    <n v="4"/>
    <x v="1098"/>
    <x v="46"/>
    <x v="30"/>
    <n v="52"/>
    <x v="0"/>
    <n v="1"/>
    <x v="0"/>
    <n v="1"/>
  </r>
  <r>
    <s v="C1100"/>
    <n v="34"/>
    <x v="0"/>
    <n v="1"/>
    <x v="0"/>
    <n v="2"/>
    <x v="15"/>
    <n v="3"/>
    <x v="1099"/>
    <x v="27"/>
    <x v="53"/>
    <n v="87"/>
    <x v="1"/>
    <n v="2"/>
    <x v="1"/>
    <n v="0"/>
  </r>
  <r>
    <s v="C1101"/>
    <n v="47"/>
    <x v="1"/>
    <n v="0"/>
    <x v="2"/>
    <n v="1"/>
    <x v="13"/>
    <n v="4"/>
    <x v="1100"/>
    <x v="22"/>
    <x v="76"/>
    <n v="63"/>
    <x v="1"/>
    <n v="2"/>
    <x v="1"/>
    <n v="0"/>
  </r>
  <r>
    <s v="C1102"/>
    <n v="49"/>
    <x v="1"/>
    <n v="0"/>
    <x v="2"/>
    <n v="1"/>
    <x v="10"/>
    <n v="5"/>
    <x v="1101"/>
    <x v="77"/>
    <x v="38"/>
    <n v="62"/>
    <x v="0"/>
    <n v="1"/>
    <x v="1"/>
    <n v="0"/>
  </r>
  <r>
    <s v="C1103"/>
    <n v="42"/>
    <x v="1"/>
    <n v="0"/>
    <x v="0"/>
    <n v="2"/>
    <x v="1"/>
    <n v="5"/>
    <x v="1102"/>
    <x v="83"/>
    <x v="81"/>
    <n v="91"/>
    <x v="1"/>
    <n v="2"/>
    <x v="1"/>
    <n v="0"/>
  </r>
  <r>
    <s v="C1104"/>
    <n v="29"/>
    <x v="1"/>
    <n v="0"/>
    <x v="1"/>
    <n v="4"/>
    <x v="8"/>
    <n v="1"/>
    <x v="1103"/>
    <x v="86"/>
    <x v="91"/>
    <n v="79"/>
    <x v="1"/>
    <n v="2"/>
    <x v="0"/>
    <n v="1"/>
  </r>
  <r>
    <s v="C1105"/>
    <n v="38"/>
    <x v="0"/>
    <n v="1"/>
    <x v="3"/>
    <n v="3"/>
    <x v="12"/>
    <n v="4"/>
    <x v="1104"/>
    <x v="40"/>
    <x v="32"/>
    <n v="15"/>
    <x v="0"/>
    <n v="1"/>
    <x v="0"/>
    <n v="1"/>
  </r>
  <r>
    <s v="C1106"/>
    <n v="36"/>
    <x v="1"/>
    <n v="0"/>
    <x v="0"/>
    <n v="2"/>
    <x v="5"/>
    <n v="4"/>
    <x v="1105"/>
    <x v="2"/>
    <x v="2"/>
    <n v="69"/>
    <x v="0"/>
    <n v="1"/>
    <x v="0"/>
    <n v="1"/>
  </r>
  <r>
    <s v="C1107"/>
    <n v="24"/>
    <x v="0"/>
    <n v="1"/>
    <x v="2"/>
    <n v="1"/>
    <x v="14"/>
    <n v="2"/>
    <x v="1106"/>
    <x v="57"/>
    <x v="47"/>
    <n v="65"/>
    <x v="1"/>
    <n v="2"/>
    <x v="1"/>
    <n v="0"/>
  </r>
  <r>
    <s v="C1108"/>
    <n v="48"/>
    <x v="0"/>
    <n v="1"/>
    <x v="0"/>
    <n v="2"/>
    <x v="14"/>
    <n v="2"/>
    <x v="1107"/>
    <x v="24"/>
    <x v="98"/>
    <n v="12"/>
    <x v="1"/>
    <n v="2"/>
    <x v="1"/>
    <n v="0"/>
  </r>
  <r>
    <s v="C1109"/>
    <n v="23"/>
    <x v="0"/>
    <n v="1"/>
    <x v="3"/>
    <n v="3"/>
    <x v="3"/>
    <n v="2"/>
    <x v="1108"/>
    <x v="4"/>
    <x v="58"/>
    <n v="46"/>
    <x v="2"/>
    <n v="3"/>
    <x v="1"/>
    <n v="0"/>
  </r>
  <r>
    <s v="C1110"/>
    <n v="29"/>
    <x v="0"/>
    <n v="1"/>
    <x v="2"/>
    <n v="1"/>
    <x v="7"/>
    <n v="3"/>
    <x v="1109"/>
    <x v="45"/>
    <x v="82"/>
    <n v="8"/>
    <x v="1"/>
    <n v="2"/>
    <x v="1"/>
    <n v="0"/>
  </r>
  <r>
    <s v="C1111"/>
    <n v="43"/>
    <x v="1"/>
    <n v="0"/>
    <x v="0"/>
    <n v="2"/>
    <x v="14"/>
    <n v="2"/>
    <x v="1110"/>
    <x v="99"/>
    <x v="47"/>
    <n v="62"/>
    <x v="0"/>
    <n v="1"/>
    <x v="0"/>
    <n v="1"/>
  </r>
  <r>
    <s v="C1112"/>
    <n v="36"/>
    <x v="0"/>
    <n v="1"/>
    <x v="2"/>
    <n v="1"/>
    <x v="4"/>
    <n v="4"/>
    <x v="1111"/>
    <x v="76"/>
    <x v="53"/>
    <n v="33"/>
    <x v="2"/>
    <n v="3"/>
    <x v="1"/>
    <n v="0"/>
  </r>
  <r>
    <s v="C1113"/>
    <n v="29"/>
    <x v="1"/>
    <n v="0"/>
    <x v="0"/>
    <n v="2"/>
    <x v="12"/>
    <n v="3"/>
    <x v="1112"/>
    <x v="55"/>
    <x v="76"/>
    <n v="80"/>
    <x v="2"/>
    <n v="3"/>
    <x v="0"/>
    <n v="1"/>
  </r>
  <r>
    <s v="C1114"/>
    <n v="36"/>
    <x v="0"/>
    <n v="1"/>
    <x v="1"/>
    <n v="4"/>
    <x v="7"/>
    <n v="5"/>
    <x v="1113"/>
    <x v="19"/>
    <x v="88"/>
    <n v="90"/>
    <x v="1"/>
    <n v="2"/>
    <x v="1"/>
    <n v="0"/>
  </r>
  <r>
    <s v="C1115"/>
    <n v="47"/>
    <x v="0"/>
    <n v="1"/>
    <x v="0"/>
    <n v="2"/>
    <x v="8"/>
    <n v="1"/>
    <x v="1114"/>
    <x v="35"/>
    <x v="13"/>
    <n v="28"/>
    <x v="2"/>
    <n v="3"/>
    <x v="1"/>
    <n v="0"/>
  </r>
  <r>
    <s v="C1116"/>
    <n v="39"/>
    <x v="1"/>
    <n v="0"/>
    <x v="0"/>
    <n v="2"/>
    <x v="10"/>
    <n v="2"/>
    <x v="1115"/>
    <x v="58"/>
    <x v="12"/>
    <n v="36"/>
    <x v="1"/>
    <n v="2"/>
    <x v="1"/>
    <n v="0"/>
  </r>
  <r>
    <s v="C1117"/>
    <n v="43"/>
    <x v="1"/>
    <n v="0"/>
    <x v="0"/>
    <n v="2"/>
    <x v="8"/>
    <n v="5"/>
    <x v="1116"/>
    <x v="18"/>
    <x v="35"/>
    <n v="42"/>
    <x v="1"/>
    <n v="2"/>
    <x v="1"/>
    <n v="0"/>
  </r>
  <r>
    <s v="C1118"/>
    <n v="24"/>
    <x v="1"/>
    <n v="0"/>
    <x v="1"/>
    <n v="4"/>
    <x v="4"/>
    <n v="4"/>
    <x v="1117"/>
    <x v="39"/>
    <x v="44"/>
    <n v="85"/>
    <x v="1"/>
    <n v="2"/>
    <x v="1"/>
    <n v="0"/>
  </r>
  <r>
    <s v="C1119"/>
    <n v="21"/>
    <x v="0"/>
    <n v="1"/>
    <x v="2"/>
    <n v="1"/>
    <x v="4"/>
    <n v="1"/>
    <x v="1118"/>
    <x v="44"/>
    <x v="58"/>
    <n v="63"/>
    <x v="1"/>
    <n v="2"/>
    <x v="1"/>
    <n v="0"/>
  </r>
  <r>
    <s v="C1120"/>
    <n v="25"/>
    <x v="0"/>
    <n v="1"/>
    <x v="0"/>
    <n v="2"/>
    <x v="2"/>
    <n v="5"/>
    <x v="1119"/>
    <x v="9"/>
    <x v="2"/>
    <n v="23"/>
    <x v="0"/>
    <n v="1"/>
    <x v="0"/>
    <n v="1"/>
  </r>
  <r>
    <s v="C1121"/>
    <n v="40"/>
    <x v="1"/>
    <n v="0"/>
    <x v="0"/>
    <n v="2"/>
    <x v="15"/>
    <n v="1"/>
    <x v="1120"/>
    <x v="18"/>
    <x v="88"/>
    <n v="70"/>
    <x v="2"/>
    <n v="3"/>
    <x v="1"/>
    <n v="0"/>
  </r>
  <r>
    <s v="C1122"/>
    <n v="21"/>
    <x v="1"/>
    <n v="0"/>
    <x v="3"/>
    <n v="3"/>
    <x v="12"/>
    <n v="2"/>
    <x v="1121"/>
    <x v="70"/>
    <x v="70"/>
    <n v="33"/>
    <x v="2"/>
    <n v="3"/>
    <x v="0"/>
    <n v="1"/>
  </r>
  <r>
    <s v="C1123"/>
    <n v="32"/>
    <x v="1"/>
    <n v="0"/>
    <x v="0"/>
    <n v="2"/>
    <x v="8"/>
    <n v="4"/>
    <x v="1122"/>
    <x v="6"/>
    <x v="65"/>
    <n v="47"/>
    <x v="1"/>
    <n v="2"/>
    <x v="1"/>
    <n v="0"/>
  </r>
  <r>
    <s v="C1124"/>
    <n v="49"/>
    <x v="1"/>
    <n v="0"/>
    <x v="2"/>
    <n v="1"/>
    <x v="6"/>
    <n v="1"/>
    <x v="1123"/>
    <x v="94"/>
    <x v="72"/>
    <n v="11"/>
    <x v="1"/>
    <n v="2"/>
    <x v="1"/>
    <n v="0"/>
  </r>
  <r>
    <s v="C1125"/>
    <n v="30"/>
    <x v="0"/>
    <n v="1"/>
    <x v="0"/>
    <n v="2"/>
    <x v="9"/>
    <n v="5"/>
    <x v="1124"/>
    <x v="54"/>
    <x v="78"/>
    <n v="22"/>
    <x v="0"/>
    <n v="1"/>
    <x v="1"/>
    <n v="0"/>
  </r>
  <r>
    <s v="C1126"/>
    <n v="30"/>
    <x v="1"/>
    <n v="0"/>
    <x v="3"/>
    <n v="3"/>
    <x v="1"/>
    <n v="2"/>
    <x v="1125"/>
    <x v="33"/>
    <x v="29"/>
    <n v="78"/>
    <x v="0"/>
    <n v="1"/>
    <x v="0"/>
    <n v="1"/>
  </r>
  <r>
    <s v="C1127"/>
    <n v="35"/>
    <x v="1"/>
    <n v="0"/>
    <x v="2"/>
    <n v="1"/>
    <x v="1"/>
    <n v="2"/>
    <x v="1126"/>
    <x v="63"/>
    <x v="27"/>
    <n v="96"/>
    <x v="0"/>
    <n v="1"/>
    <x v="0"/>
    <n v="1"/>
  </r>
  <r>
    <s v="C1128"/>
    <n v="30"/>
    <x v="1"/>
    <n v="0"/>
    <x v="3"/>
    <n v="3"/>
    <x v="0"/>
    <n v="5"/>
    <x v="1127"/>
    <x v="0"/>
    <x v="26"/>
    <n v="12"/>
    <x v="1"/>
    <n v="2"/>
    <x v="1"/>
    <n v="0"/>
  </r>
  <r>
    <s v="C1129"/>
    <n v="38"/>
    <x v="1"/>
    <n v="0"/>
    <x v="2"/>
    <n v="1"/>
    <x v="0"/>
    <n v="5"/>
    <x v="1128"/>
    <x v="43"/>
    <x v="5"/>
    <n v="86"/>
    <x v="2"/>
    <n v="3"/>
    <x v="1"/>
    <n v="0"/>
  </r>
  <r>
    <s v="C1130"/>
    <n v="34"/>
    <x v="0"/>
    <n v="1"/>
    <x v="0"/>
    <n v="2"/>
    <x v="13"/>
    <n v="1"/>
    <x v="1129"/>
    <x v="45"/>
    <x v="67"/>
    <n v="95"/>
    <x v="0"/>
    <n v="1"/>
    <x v="0"/>
    <n v="1"/>
  </r>
  <r>
    <s v="C1131"/>
    <n v="44"/>
    <x v="1"/>
    <n v="0"/>
    <x v="0"/>
    <n v="2"/>
    <x v="3"/>
    <n v="3"/>
    <x v="1130"/>
    <x v="85"/>
    <x v="83"/>
    <n v="44"/>
    <x v="0"/>
    <n v="1"/>
    <x v="1"/>
    <n v="0"/>
  </r>
  <r>
    <s v="C1132"/>
    <n v="42"/>
    <x v="0"/>
    <n v="1"/>
    <x v="3"/>
    <n v="3"/>
    <x v="7"/>
    <n v="2"/>
    <x v="1131"/>
    <x v="74"/>
    <x v="93"/>
    <n v="98"/>
    <x v="1"/>
    <n v="2"/>
    <x v="0"/>
    <n v="1"/>
  </r>
  <r>
    <s v="C1133"/>
    <n v="42"/>
    <x v="1"/>
    <n v="0"/>
    <x v="0"/>
    <n v="2"/>
    <x v="1"/>
    <n v="1"/>
    <x v="1132"/>
    <x v="73"/>
    <x v="84"/>
    <n v="64"/>
    <x v="0"/>
    <n v="1"/>
    <x v="0"/>
    <n v="1"/>
  </r>
  <r>
    <s v="C1134"/>
    <n v="35"/>
    <x v="1"/>
    <n v="0"/>
    <x v="3"/>
    <n v="3"/>
    <x v="12"/>
    <n v="5"/>
    <x v="1133"/>
    <x v="63"/>
    <x v="95"/>
    <n v="46"/>
    <x v="2"/>
    <n v="3"/>
    <x v="1"/>
    <n v="0"/>
  </r>
  <r>
    <s v="C1135"/>
    <n v="50"/>
    <x v="0"/>
    <n v="1"/>
    <x v="3"/>
    <n v="3"/>
    <x v="14"/>
    <n v="1"/>
    <x v="1134"/>
    <x v="50"/>
    <x v="80"/>
    <n v="57"/>
    <x v="1"/>
    <n v="2"/>
    <x v="1"/>
    <n v="0"/>
  </r>
  <r>
    <s v="C1136"/>
    <n v="30"/>
    <x v="1"/>
    <n v="0"/>
    <x v="0"/>
    <n v="2"/>
    <x v="11"/>
    <n v="5"/>
    <x v="1135"/>
    <x v="95"/>
    <x v="1"/>
    <n v="4"/>
    <x v="0"/>
    <n v="1"/>
    <x v="0"/>
    <n v="1"/>
  </r>
  <r>
    <s v="C1137"/>
    <n v="41"/>
    <x v="0"/>
    <n v="1"/>
    <x v="3"/>
    <n v="3"/>
    <x v="6"/>
    <n v="4"/>
    <x v="1136"/>
    <x v="91"/>
    <x v="62"/>
    <n v="76"/>
    <x v="0"/>
    <n v="1"/>
    <x v="0"/>
    <n v="1"/>
  </r>
  <r>
    <s v="C1138"/>
    <n v="35"/>
    <x v="0"/>
    <n v="1"/>
    <x v="3"/>
    <n v="3"/>
    <x v="5"/>
    <n v="5"/>
    <x v="1137"/>
    <x v="44"/>
    <x v="71"/>
    <n v="4"/>
    <x v="0"/>
    <n v="1"/>
    <x v="0"/>
    <n v="1"/>
  </r>
  <r>
    <s v="C1139"/>
    <n v="27"/>
    <x v="1"/>
    <n v="0"/>
    <x v="2"/>
    <n v="1"/>
    <x v="3"/>
    <n v="5"/>
    <x v="1138"/>
    <x v="68"/>
    <x v="95"/>
    <n v="59"/>
    <x v="1"/>
    <n v="2"/>
    <x v="1"/>
    <n v="0"/>
  </r>
  <r>
    <s v="C1140"/>
    <n v="23"/>
    <x v="0"/>
    <n v="1"/>
    <x v="0"/>
    <n v="2"/>
    <x v="2"/>
    <n v="5"/>
    <x v="1139"/>
    <x v="18"/>
    <x v="19"/>
    <n v="95"/>
    <x v="0"/>
    <n v="1"/>
    <x v="0"/>
    <n v="1"/>
  </r>
  <r>
    <s v="C1141"/>
    <n v="27"/>
    <x v="0"/>
    <n v="1"/>
    <x v="1"/>
    <n v="4"/>
    <x v="14"/>
    <n v="3"/>
    <x v="1140"/>
    <x v="42"/>
    <x v="2"/>
    <n v="20"/>
    <x v="1"/>
    <n v="2"/>
    <x v="1"/>
    <n v="0"/>
  </r>
  <r>
    <s v="C1142"/>
    <n v="23"/>
    <x v="0"/>
    <n v="1"/>
    <x v="2"/>
    <n v="1"/>
    <x v="4"/>
    <n v="5"/>
    <x v="1141"/>
    <x v="3"/>
    <x v="83"/>
    <n v="23"/>
    <x v="1"/>
    <n v="2"/>
    <x v="1"/>
    <n v="0"/>
  </r>
  <r>
    <s v="C1143"/>
    <n v="43"/>
    <x v="0"/>
    <n v="1"/>
    <x v="3"/>
    <n v="3"/>
    <x v="9"/>
    <n v="2"/>
    <x v="1142"/>
    <x v="86"/>
    <x v="28"/>
    <n v="17"/>
    <x v="0"/>
    <n v="1"/>
    <x v="0"/>
    <n v="1"/>
  </r>
  <r>
    <s v="C1144"/>
    <n v="44"/>
    <x v="0"/>
    <n v="1"/>
    <x v="1"/>
    <n v="4"/>
    <x v="12"/>
    <n v="2"/>
    <x v="1143"/>
    <x v="34"/>
    <x v="32"/>
    <n v="20"/>
    <x v="0"/>
    <n v="1"/>
    <x v="0"/>
    <n v="1"/>
  </r>
  <r>
    <s v="C1145"/>
    <n v="22"/>
    <x v="0"/>
    <n v="1"/>
    <x v="2"/>
    <n v="1"/>
    <x v="1"/>
    <n v="1"/>
    <x v="1144"/>
    <x v="41"/>
    <x v="92"/>
    <n v="53"/>
    <x v="1"/>
    <n v="2"/>
    <x v="1"/>
    <n v="0"/>
  </r>
  <r>
    <s v="C1146"/>
    <n v="22"/>
    <x v="0"/>
    <n v="1"/>
    <x v="0"/>
    <n v="2"/>
    <x v="8"/>
    <n v="3"/>
    <x v="1145"/>
    <x v="88"/>
    <x v="63"/>
    <n v="9"/>
    <x v="1"/>
    <n v="2"/>
    <x v="1"/>
    <n v="0"/>
  </r>
  <r>
    <s v="C1147"/>
    <n v="46"/>
    <x v="0"/>
    <n v="1"/>
    <x v="0"/>
    <n v="2"/>
    <x v="15"/>
    <n v="1"/>
    <x v="1146"/>
    <x v="24"/>
    <x v="61"/>
    <n v="23"/>
    <x v="2"/>
    <n v="3"/>
    <x v="1"/>
    <n v="0"/>
  </r>
  <r>
    <s v="C1148"/>
    <n v="48"/>
    <x v="1"/>
    <n v="0"/>
    <x v="0"/>
    <n v="2"/>
    <x v="3"/>
    <n v="2"/>
    <x v="1147"/>
    <x v="66"/>
    <x v="27"/>
    <n v="84"/>
    <x v="0"/>
    <n v="1"/>
    <x v="0"/>
    <n v="1"/>
  </r>
  <r>
    <s v="C1149"/>
    <n v="37"/>
    <x v="1"/>
    <n v="0"/>
    <x v="2"/>
    <n v="1"/>
    <x v="5"/>
    <n v="2"/>
    <x v="1148"/>
    <x v="90"/>
    <x v="5"/>
    <n v="88"/>
    <x v="0"/>
    <n v="1"/>
    <x v="0"/>
    <n v="1"/>
  </r>
  <r>
    <s v="C1150"/>
    <n v="48"/>
    <x v="0"/>
    <n v="1"/>
    <x v="2"/>
    <n v="1"/>
    <x v="3"/>
    <n v="4"/>
    <x v="1149"/>
    <x v="72"/>
    <x v="63"/>
    <n v="59"/>
    <x v="0"/>
    <n v="1"/>
    <x v="1"/>
    <n v="0"/>
  </r>
  <r>
    <s v="C1151"/>
    <n v="45"/>
    <x v="1"/>
    <n v="0"/>
    <x v="0"/>
    <n v="2"/>
    <x v="9"/>
    <n v="5"/>
    <x v="1150"/>
    <x v="51"/>
    <x v="94"/>
    <n v="56"/>
    <x v="1"/>
    <n v="2"/>
    <x v="1"/>
    <n v="0"/>
  </r>
  <r>
    <s v="C1152"/>
    <n v="38"/>
    <x v="0"/>
    <n v="1"/>
    <x v="3"/>
    <n v="3"/>
    <x v="14"/>
    <n v="2"/>
    <x v="1151"/>
    <x v="56"/>
    <x v="80"/>
    <n v="22"/>
    <x v="1"/>
    <n v="2"/>
    <x v="0"/>
    <n v="1"/>
  </r>
  <r>
    <s v="C1153"/>
    <n v="38"/>
    <x v="0"/>
    <n v="1"/>
    <x v="3"/>
    <n v="3"/>
    <x v="13"/>
    <n v="1"/>
    <x v="1152"/>
    <x v="0"/>
    <x v="95"/>
    <n v="21"/>
    <x v="2"/>
    <n v="3"/>
    <x v="1"/>
    <n v="0"/>
  </r>
  <r>
    <s v="C1154"/>
    <n v="40"/>
    <x v="1"/>
    <n v="0"/>
    <x v="0"/>
    <n v="2"/>
    <x v="6"/>
    <n v="1"/>
    <x v="1153"/>
    <x v="42"/>
    <x v="59"/>
    <n v="67"/>
    <x v="1"/>
    <n v="2"/>
    <x v="1"/>
    <n v="0"/>
  </r>
  <r>
    <s v="C1155"/>
    <n v="24"/>
    <x v="0"/>
    <n v="1"/>
    <x v="2"/>
    <n v="1"/>
    <x v="7"/>
    <n v="5"/>
    <x v="1154"/>
    <x v="24"/>
    <x v="70"/>
    <n v="33"/>
    <x v="0"/>
    <n v="1"/>
    <x v="0"/>
    <n v="1"/>
  </r>
  <r>
    <s v="C1156"/>
    <n v="37"/>
    <x v="0"/>
    <n v="1"/>
    <x v="0"/>
    <n v="2"/>
    <x v="14"/>
    <n v="5"/>
    <x v="1155"/>
    <x v="47"/>
    <x v="11"/>
    <n v="69"/>
    <x v="1"/>
    <n v="2"/>
    <x v="1"/>
    <n v="0"/>
  </r>
  <r>
    <s v="C1157"/>
    <n v="47"/>
    <x v="0"/>
    <n v="1"/>
    <x v="0"/>
    <n v="2"/>
    <x v="7"/>
    <n v="4"/>
    <x v="1156"/>
    <x v="61"/>
    <x v="19"/>
    <n v="27"/>
    <x v="2"/>
    <n v="3"/>
    <x v="1"/>
    <n v="0"/>
  </r>
  <r>
    <s v="C1158"/>
    <n v="29"/>
    <x v="0"/>
    <n v="1"/>
    <x v="1"/>
    <n v="4"/>
    <x v="1"/>
    <n v="3"/>
    <x v="1157"/>
    <x v="94"/>
    <x v="70"/>
    <n v="94"/>
    <x v="1"/>
    <n v="2"/>
    <x v="0"/>
    <n v="1"/>
  </r>
  <r>
    <s v="C1159"/>
    <n v="48"/>
    <x v="1"/>
    <n v="0"/>
    <x v="3"/>
    <n v="3"/>
    <x v="3"/>
    <n v="1"/>
    <x v="1158"/>
    <x v="11"/>
    <x v="24"/>
    <n v="98"/>
    <x v="1"/>
    <n v="2"/>
    <x v="1"/>
    <n v="0"/>
  </r>
  <r>
    <s v="C1160"/>
    <n v="41"/>
    <x v="0"/>
    <n v="1"/>
    <x v="3"/>
    <n v="3"/>
    <x v="10"/>
    <n v="5"/>
    <x v="1159"/>
    <x v="24"/>
    <x v="19"/>
    <n v="38"/>
    <x v="2"/>
    <n v="3"/>
    <x v="1"/>
    <n v="0"/>
  </r>
  <r>
    <s v="C1161"/>
    <n v="40"/>
    <x v="0"/>
    <n v="1"/>
    <x v="1"/>
    <n v="4"/>
    <x v="8"/>
    <n v="1"/>
    <x v="1160"/>
    <x v="31"/>
    <x v="5"/>
    <n v="41"/>
    <x v="1"/>
    <n v="2"/>
    <x v="1"/>
    <n v="0"/>
  </r>
  <r>
    <s v="C1162"/>
    <n v="25"/>
    <x v="0"/>
    <n v="1"/>
    <x v="2"/>
    <n v="1"/>
    <x v="3"/>
    <n v="5"/>
    <x v="1161"/>
    <x v="53"/>
    <x v="97"/>
    <n v="22"/>
    <x v="1"/>
    <n v="2"/>
    <x v="1"/>
    <n v="0"/>
  </r>
  <r>
    <s v="C1163"/>
    <n v="20"/>
    <x v="1"/>
    <n v="0"/>
    <x v="3"/>
    <n v="3"/>
    <x v="8"/>
    <n v="2"/>
    <x v="1162"/>
    <x v="27"/>
    <x v="6"/>
    <n v="69"/>
    <x v="0"/>
    <n v="1"/>
    <x v="0"/>
    <n v="1"/>
  </r>
  <r>
    <s v="C1164"/>
    <n v="24"/>
    <x v="0"/>
    <n v="1"/>
    <x v="0"/>
    <n v="2"/>
    <x v="1"/>
    <n v="1"/>
    <x v="1163"/>
    <x v="82"/>
    <x v="33"/>
    <n v="79"/>
    <x v="1"/>
    <n v="2"/>
    <x v="1"/>
    <n v="0"/>
  </r>
  <r>
    <s v="C1165"/>
    <n v="28"/>
    <x v="1"/>
    <n v="0"/>
    <x v="1"/>
    <n v="4"/>
    <x v="3"/>
    <n v="2"/>
    <x v="1164"/>
    <x v="23"/>
    <x v="86"/>
    <n v="1"/>
    <x v="0"/>
    <n v="1"/>
    <x v="1"/>
    <n v="0"/>
  </r>
  <r>
    <s v="C1166"/>
    <n v="31"/>
    <x v="1"/>
    <n v="0"/>
    <x v="0"/>
    <n v="2"/>
    <x v="9"/>
    <n v="1"/>
    <x v="1165"/>
    <x v="75"/>
    <x v="5"/>
    <n v="23"/>
    <x v="1"/>
    <n v="2"/>
    <x v="1"/>
    <n v="0"/>
  </r>
  <r>
    <s v="C1167"/>
    <n v="45"/>
    <x v="0"/>
    <n v="1"/>
    <x v="3"/>
    <n v="3"/>
    <x v="4"/>
    <n v="3"/>
    <x v="1166"/>
    <x v="78"/>
    <x v="62"/>
    <n v="16"/>
    <x v="0"/>
    <n v="1"/>
    <x v="0"/>
    <n v="1"/>
  </r>
  <r>
    <s v="C1168"/>
    <n v="33"/>
    <x v="0"/>
    <n v="1"/>
    <x v="3"/>
    <n v="3"/>
    <x v="9"/>
    <n v="4"/>
    <x v="1167"/>
    <x v="49"/>
    <x v="41"/>
    <n v="64"/>
    <x v="2"/>
    <n v="3"/>
    <x v="0"/>
    <n v="1"/>
  </r>
  <r>
    <s v="C1169"/>
    <n v="21"/>
    <x v="1"/>
    <n v="0"/>
    <x v="2"/>
    <n v="1"/>
    <x v="6"/>
    <n v="2"/>
    <x v="1168"/>
    <x v="88"/>
    <x v="9"/>
    <n v="69"/>
    <x v="2"/>
    <n v="3"/>
    <x v="1"/>
    <n v="0"/>
  </r>
  <r>
    <s v="C1170"/>
    <n v="36"/>
    <x v="0"/>
    <n v="1"/>
    <x v="0"/>
    <n v="2"/>
    <x v="12"/>
    <n v="5"/>
    <x v="1169"/>
    <x v="42"/>
    <x v="64"/>
    <n v="68"/>
    <x v="1"/>
    <n v="2"/>
    <x v="1"/>
    <n v="0"/>
  </r>
  <r>
    <s v="C1171"/>
    <n v="33"/>
    <x v="1"/>
    <n v="0"/>
    <x v="3"/>
    <n v="3"/>
    <x v="3"/>
    <n v="3"/>
    <x v="1170"/>
    <x v="19"/>
    <x v="99"/>
    <n v="59"/>
    <x v="0"/>
    <n v="1"/>
    <x v="0"/>
    <n v="1"/>
  </r>
  <r>
    <s v="C1172"/>
    <n v="45"/>
    <x v="1"/>
    <n v="0"/>
    <x v="0"/>
    <n v="2"/>
    <x v="6"/>
    <n v="1"/>
    <x v="1171"/>
    <x v="73"/>
    <x v="59"/>
    <n v="49"/>
    <x v="0"/>
    <n v="1"/>
    <x v="0"/>
    <n v="1"/>
  </r>
  <r>
    <s v="C1173"/>
    <n v="32"/>
    <x v="0"/>
    <n v="1"/>
    <x v="0"/>
    <n v="2"/>
    <x v="8"/>
    <n v="2"/>
    <x v="1172"/>
    <x v="30"/>
    <x v="38"/>
    <n v="92"/>
    <x v="1"/>
    <n v="2"/>
    <x v="1"/>
    <n v="0"/>
  </r>
  <r>
    <s v="C1174"/>
    <n v="46"/>
    <x v="0"/>
    <n v="1"/>
    <x v="0"/>
    <n v="2"/>
    <x v="7"/>
    <n v="1"/>
    <x v="1173"/>
    <x v="93"/>
    <x v="53"/>
    <n v="11"/>
    <x v="1"/>
    <n v="2"/>
    <x v="1"/>
    <n v="0"/>
  </r>
  <r>
    <s v="C1175"/>
    <n v="28"/>
    <x v="1"/>
    <n v="0"/>
    <x v="2"/>
    <n v="1"/>
    <x v="11"/>
    <n v="1"/>
    <x v="1174"/>
    <x v="21"/>
    <x v="19"/>
    <n v="46"/>
    <x v="1"/>
    <n v="2"/>
    <x v="1"/>
    <n v="0"/>
  </r>
  <r>
    <s v="C1176"/>
    <n v="45"/>
    <x v="1"/>
    <n v="0"/>
    <x v="3"/>
    <n v="3"/>
    <x v="7"/>
    <n v="1"/>
    <x v="1175"/>
    <x v="58"/>
    <x v="4"/>
    <n v="66"/>
    <x v="1"/>
    <n v="2"/>
    <x v="1"/>
    <n v="0"/>
  </r>
  <r>
    <s v="C1177"/>
    <n v="44"/>
    <x v="1"/>
    <n v="0"/>
    <x v="0"/>
    <n v="2"/>
    <x v="8"/>
    <n v="4"/>
    <x v="1176"/>
    <x v="11"/>
    <x v="47"/>
    <n v="64"/>
    <x v="1"/>
    <n v="2"/>
    <x v="1"/>
    <n v="0"/>
  </r>
  <r>
    <s v="C1178"/>
    <n v="34"/>
    <x v="1"/>
    <n v="0"/>
    <x v="2"/>
    <n v="1"/>
    <x v="15"/>
    <n v="4"/>
    <x v="1177"/>
    <x v="57"/>
    <x v="67"/>
    <n v="26"/>
    <x v="1"/>
    <n v="2"/>
    <x v="1"/>
    <n v="0"/>
  </r>
  <r>
    <s v="C1179"/>
    <n v="44"/>
    <x v="0"/>
    <n v="1"/>
    <x v="0"/>
    <n v="2"/>
    <x v="14"/>
    <n v="5"/>
    <x v="1178"/>
    <x v="90"/>
    <x v="24"/>
    <n v="47"/>
    <x v="1"/>
    <n v="2"/>
    <x v="1"/>
    <n v="0"/>
  </r>
  <r>
    <s v="C1180"/>
    <n v="41"/>
    <x v="0"/>
    <n v="1"/>
    <x v="0"/>
    <n v="2"/>
    <x v="0"/>
    <n v="2"/>
    <x v="1179"/>
    <x v="69"/>
    <x v="18"/>
    <n v="87"/>
    <x v="1"/>
    <n v="2"/>
    <x v="1"/>
    <n v="0"/>
  </r>
  <r>
    <s v="C1181"/>
    <n v="34"/>
    <x v="0"/>
    <n v="1"/>
    <x v="2"/>
    <n v="1"/>
    <x v="15"/>
    <n v="3"/>
    <x v="1180"/>
    <x v="22"/>
    <x v="40"/>
    <n v="61"/>
    <x v="1"/>
    <n v="2"/>
    <x v="1"/>
    <n v="0"/>
  </r>
  <r>
    <s v="C1182"/>
    <n v="43"/>
    <x v="0"/>
    <n v="1"/>
    <x v="0"/>
    <n v="2"/>
    <x v="5"/>
    <n v="3"/>
    <x v="1181"/>
    <x v="13"/>
    <x v="91"/>
    <n v="43"/>
    <x v="0"/>
    <n v="1"/>
    <x v="0"/>
    <n v="1"/>
  </r>
  <r>
    <s v="C1183"/>
    <n v="49"/>
    <x v="0"/>
    <n v="1"/>
    <x v="0"/>
    <n v="2"/>
    <x v="1"/>
    <n v="3"/>
    <x v="1182"/>
    <x v="72"/>
    <x v="10"/>
    <n v="18"/>
    <x v="0"/>
    <n v="1"/>
    <x v="0"/>
    <n v="1"/>
  </r>
  <r>
    <s v="C1184"/>
    <n v="30"/>
    <x v="1"/>
    <n v="0"/>
    <x v="0"/>
    <n v="2"/>
    <x v="5"/>
    <n v="1"/>
    <x v="1183"/>
    <x v="60"/>
    <x v="89"/>
    <n v="58"/>
    <x v="1"/>
    <n v="2"/>
    <x v="1"/>
    <n v="0"/>
  </r>
  <r>
    <s v="C1185"/>
    <n v="50"/>
    <x v="0"/>
    <n v="1"/>
    <x v="3"/>
    <n v="3"/>
    <x v="13"/>
    <n v="4"/>
    <x v="1184"/>
    <x v="20"/>
    <x v="76"/>
    <n v="7"/>
    <x v="0"/>
    <n v="1"/>
    <x v="0"/>
    <n v="1"/>
  </r>
  <r>
    <s v="C1186"/>
    <n v="35"/>
    <x v="0"/>
    <n v="1"/>
    <x v="0"/>
    <n v="2"/>
    <x v="6"/>
    <n v="2"/>
    <x v="1185"/>
    <x v="4"/>
    <x v="57"/>
    <n v="54"/>
    <x v="1"/>
    <n v="2"/>
    <x v="1"/>
    <n v="0"/>
  </r>
  <r>
    <s v="C1187"/>
    <n v="48"/>
    <x v="0"/>
    <n v="1"/>
    <x v="0"/>
    <n v="2"/>
    <x v="2"/>
    <n v="1"/>
    <x v="1186"/>
    <x v="9"/>
    <x v="18"/>
    <n v="46"/>
    <x v="1"/>
    <n v="2"/>
    <x v="1"/>
    <n v="0"/>
  </r>
  <r>
    <s v="C1188"/>
    <n v="36"/>
    <x v="0"/>
    <n v="1"/>
    <x v="0"/>
    <n v="2"/>
    <x v="12"/>
    <n v="4"/>
    <x v="1187"/>
    <x v="14"/>
    <x v="47"/>
    <n v="1"/>
    <x v="2"/>
    <n v="3"/>
    <x v="1"/>
    <n v="0"/>
  </r>
  <r>
    <s v="C1189"/>
    <n v="45"/>
    <x v="0"/>
    <n v="1"/>
    <x v="0"/>
    <n v="2"/>
    <x v="5"/>
    <n v="4"/>
    <x v="1188"/>
    <x v="62"/>
    <x v="80"/>
    <n v="93"/>
    <x v="1"/>
    <n v="2"/>
    <x v="1"/>
    <n v="0"/>
  </r>
  <r>
    <s v="C1190"/>
    <n v="23"/>
    <x v="1"/>
    <n v="0"/>
    <x v="0"/>
    <n v="2"/>
    <x v="12"/>
    <n v="2"/>
    <x v="1189"/>
    <x v="67"/>
    <x v="41"/>
    <n v="93"/>
    <x v="0"/>
    <n v="1"/>
    <x v="0"/>
    <n v="1"/>
  </r>
  <r>
    <s v="C1191"/>
    <n v="20"/>
    <x v="1"/>
    <n v="0"/>
    <x v="0"/>
    <n v="2"/>
    <x v="5"/>
    <n v="2"/>
    <x v="1190"/>
    <x v="50"/>
    <x v="28"/>
    <n v="38"/>
    <x v="0"/>
    <n v="1"/>
    <x v="0"/>
    <n v="1"/>
  </r>
  <r>
    <s v="C1192"/>
    <n v="27"/>
    <x v="1"/>
    <n v="0"/>
    <x v="3"/>
    <n v="3"/>
    <x v="6"/>
    <n v="2"/>
    <x v="1191"/>
    <x v="77"/>
    <x v="19"/>
    <n v="44"/>
    <x v="2"/>
    <n v="3"/>
    <x v="1"/>
    <n v="0"/>
  </r>
  <r>
    <s v="C1193"/>
    <n v="36"/>
    <x v="0"/>
    <n v="1"/>
    <x v="0"/>
    <n v="2"/>
    <x v="13"/>
    <n v="1"/>
    <x v="1192"/>
    <x v="28"/>
    <x v="46"/>
    <n v="31"/>
    <x v="0"/>
    <n v="1"/>
    <x v="0"/>
    <n v="1"/>
  </r>
  <r>
    <s v="C1194"/>
    <n v="22"/>
    <x v="1"/>
    <n v="0"/>
    <x v="0"/>
    <n v="2"/>
    <x v="11"/>
    <n v="5"/>
    <x v="1193"/>
    <x v="64"/>
    <x v="2"/>
    <n v="64"/>
    <x v="1"/>
    <n v="2"/>
    <x v="1"/>
    <n v="0"/>
  </r>
  <r>
    <s v="C1195"/>
    <n v="48"/>
    <x v="1"/>
    <n v="0"/>
    <x v="3"/>
    <n v="3"/>
    <x v="2"/>
    <n v="2"/>
    <x v="1194"/>
    <x v="9"/>
    <x v="3"/>
    <n v="37"/>
    <x v="1"/>
    <n v="2"/>
    <x v="1"/>
    <n v="0"/>
  </r>
  <r>
    <s v="C1196"/>
    <n v="39"/>
    <x v="0"/>
    <n v="1"/>
    <x v="0"/>
    <n v="2"/>
    <x v="4"/>
    <n v="5"/>
    <x v="1195"/>
    <x v="51"/>
    <x v="13"/>
    <n v="76"/>
    <x v="1"/>
    <n v="2"/>
    <x v="1"/>
    <n v="0"/>
  </r>
  <r>
    <s v="C1197"/>
    <n v="34"/>
    <x v="0"/>
    <n v="1"/>
    <x v="0"/>
    <n v="2"/>
    <x v="5"/>
    <n v="1"/>
    <x v="1196"/>
    <x v="14"/>
    <x v="39"/>
    <n v="10"/>
    <x v="1"/>
    <n v="2"/>
    <x v="1"/>
    <n v="0"/>
  </r>
  <r>
    <s v="C1198"/>
    <n v="34"/>
    <x v="0"/>
    <n v="1"/>
    <x v="0"/>
    <n v="2"/>
    <x v="3"/>
    <n v="5"/>
    <x v="1197"/>
    <x v="96"/>
    <x v="47"/>
    <n v="9"/>
    <x v="1"/>
    <n v="2"/>
    <x v="1"/>
    <n v="0"/>
  </r>
  <r>
    <s v="C1199"/>
    <n v="50"/>
    <x v="1"/>
    <n v="0"/>
    <x v="2"/>
    <n v="1"/>
    <x v="2"/>
    <n v="3"/>
    <x v="1198"/>
    <x v="31"/>
    <x v="57"/>
    <n v="58"/>
    <x v="2"/>
    <n v="3"/>
    <x v="1"/>
    <n v="0"/>
  </r>
  <r>
    <s v="C1200"/>
    <n v="43"/>
    <x v="1"/>
    <n v="0"/>
    <x v="3"/>
    <n v="3"/>
    <x v="1"/>
    <n v="5"/>
    <x v="1199"/>
    <x v="76"/>
    <x v="51"/>
    <n v="89"/>
    <x v="0"/>
    <n v="1"/>
    <x v="0"/>
    <n v="1"/>
  </r>
  <r>
    <s v="C1201"/>
    <n v="41"/>
    <x v="0"/>
    <n v="1"/>
    <x v="3"/>
    <n v="3"/>
    <x v="1"/>
    <n v="2"/>
    <x v="1200"/>
    <x v="87"/>
    <x v="94"/>
    <n v="54"/>
    <x v="2"/>
    <n v="3"/>
    <x v="1"/>
    <n v="0"/>
  </r>
  <r>
    <s v="C1202"/>
    <n v="33"/>
    <x v="0"/>
    <n v="1"/>
    <x v="1"/>
    <n v="4"/>
    <x v="5"/>
    <n v="1"/>
    <x v="1201"/>
    <x v="68"/>
    <x v="14"/>
    <n v="19"/>
    <x v="1"/>
    <n v="2"/>
    <x v="1"/>
    <n v="0"/>
  </r>
  <r>
    <s v="C1203"/>
    <n v="45"/>
    <x v="1"/>
    <n v="0"/>
    <x v="0"/>
    <n v="2"/>
    <x v="11"/>
    <n v="2"/>
    <x v="1202"/>
    <x v="5"/>
    <x v="90"/>
    <n v="80"/>
    <x v="2"/>
    <n v="3"/>
    <x v="1"/>
    <n v="0"/>
  </r>
  <r>
    <s v="C1204"/>
    <n v="47"/>
    <x v="1"/>
    <n v="0"/>
    <x v="0"/>
    <n v="2"/>
    <x v="10"/>
    <n v="3"/>
    <x v="1203"/>
    <x v="65"/>
    <x v="54"/>
    <n v="16"/>
    <x v="0"/>
    <n v="1"/>
    <x v="1"/>
    <n v="0"/>
  </r>
  <r>
    <s v="C1205"/>
    <n v="42"/>
    <x v="0"/>
    <n v="1"/>
    <x v="2"/>
    <n v="1"/>
    <x v="0"/>
    <n v="2"/>
    <x v="1204"/>
    <x v="46"/>
    <x v="5"/>
    <n v="67"/>
    <x v="0"/>
    <n v="1"/>
    <x v="1"/>
    <n v="0"/>
  </r>
  <r>
    <s v="C1206"/>
    <n v="33"/>
    <x v="0"/>
    <n v="1"/>
    <x v="0"/>
    <n v="2"/>
    <x v="2"/>
    <n v="2"/>
    <x v="1205"/>
    <x v="63"/>
    <x v="35"/>
    <n v="4"/>
    <x v="2"/>
    <n v="3"/>
    <x v="1"/>
    <n v="0"/>
  </r>
  <r>
    <s v="C1207"/>
    <n v="43"/>
    <x v="1"/>
    <n v="0"/>
    <x v="0"/>
    <n v="2"/>
    <x v="2"/>
    <n v="2"/>
    <x v="1206"/>
    <x v="34"/>
    <x v="43"/>
    <n v="59"/>
    <x v="2"/>
    <n v="3"/>
    <x v="1"/>
    <n v="0"/>
  </r>
  <r>
    <s v="C1208"/>
    <n v="21"/>
    <x v="0"/>
    <n v="1"/>
    <x v="1"/>
    <n v="4"/>
    <x v="1"/>
    <n v="4"/>
    <x v="1207"/>
    <x v="33"/>
    <x v="88"/>
    <n v="22"/>
    <x v="1"/>
    <n v="2"/>
    <x v="1"/>
    <n v="0"/>
  </r>
  <r>
    <s v="C1209"/>
    <n v="32"/>
    <x v="1"/>
    <n v="0"/>
    <x v="0"/>
    <n v="2"/>
    <x v="0"/>
    <n v="3"/>
    <x v="1208"/>
    <x v="4"/>
    <x v="10"/>
    <n v="45"/>
    <x v="1"/>
    <n v="2"/>
    <x v="1"/>
    <n v="0"/>
  </r>
  <r>
    <s v="C1210"/>
    <n v="45"/>
    <x v="1"/>
    <n v="0"/>
    <x v="0"/>
    <n v="2"/>
    <x v="3"/>
    <n v="2"/>
    <x v="1209"/>
    <x v="56"/>
    <x v="57"/>
    <n v="51"/>
    <x v="2"/>
    <n v="3"/>
    <x v="1"/>
    <n v="0"/>
  </r>
  <r>
    <s v="C1211"/>
    <n v="33"/>
    <x v="1"/>
    <n v="0"/>
    <x v="0"/>
    <n v="2"/>
    <x v="2"/>
    <n v="2"/>
    <x v="1210"/>
    <x v="81"/>
    <x v="16"/>
    <n v="9"/>
    <x v="0"/>
    <n v="1"/>
    <x v="1"/>
    <n v="0"/>
  </r>
  <r>
    <s v="C1212"/>
    <n v="46"/>
    <x v="1"/>
    <n v="0"/>
    <x v="0"/>
    <n v="2"/>
    <x v="0"/>
    <n v="2"/>
    <x v="1211"/>
    <x v="11"/>
    <x v="22"/>
    <n v="45"/>
    <x v="1"/>
    <n v="2"/>
    <x v="1"/>
    <n v="0"/>
  </r>
  <r>
    <s v="C1213"/>
    <n v="43"/>
    <x v="0"/>
    <n v="1"/>
    <x v="0"/>
    <n v="2"/>
    <x v="0"/>
    <n v="1"/>
    <x v="1212"/>
    <x v="19"/>
    <x v="28"/>
    <n v="27"/>
    <x v="2"/>
    <n v="3"/>
    <x v="1"/>
    <n v="0"/>
  </r>
  <r>
    <s v="C1214"/>
    <n v="38"/>
    <x v="0"/>
    <n v="1"/>
    <x v="3"/>
    <n v="3"/>
    <x v="5"/>
    <n v="4"/>
    <x v="1213"/>
    <x v="4"/>
    <x v="63"/>
    <n v="96"/>
    <x v="1"/>
    <n v="2"/>
    <x v="1"/>
    <n v="0"/>
  </r>
  <r>
    <s v="C1215"/>
    <n v="26"/>
    <x v="1"/>
    <n v="0"/>
    <x v="0"/>
    <n v="2"/>
    <x v="1"/>
    <n v="1"/>
    <x v="1214"/>
    <x v="73"/>
    <x v="11"/>
    <n v="42"/>
    <x v="1"/>
    <n v="2"/>
    <x v="1"/>
    <n v="0"/>
  </r>
  <r>
    <s v="C1216"/>
    <n v="22"/>
    <x v="1"/>
    <n v="0"/>
    <x v="3"/>
    <n v="3"/>
    <x v="0"/>
    <n v="4"/>
    <x v="1215"/>
    <x v="3"/>
    <x v="56"/>
    <n v="25"/>
    <x v="1"/>
    <n v="2"/>
    <x v="1"/>
    <n v="0"/>
  </r>
  <r>
    <s v="C1217"/>
    <n v="34"/>
    <x v="1"/>
    <n v="0"/>
    <x v="0"/>
    <n v="2"/>
    <x v="9"/>
    <n v="2"/>
    <x v="1216"/>
    <x v="10"/>
    <x v="25"/>
    <n v="54"/>
    <x v="1"/>
    <n v="2"/>
    <x v="1"/>
    <n v="0"/>
  </r>
  <r>
    <s v="C1218"/>
    <n v="42"/>
    <x v="1"/>
    <n v="0"/>
    <x v="3"/>
    <n v="3"/>
    <x v="11"/>
    <n v="3"/>
    <x v="1217"/>
    <x v="57"/>
    <x v="68"/>
    <n v="47"/>
    <x v="0"/>
    <n v="1"/>
    <x v="0"/>
    <n v="1"/>
  </r>
  <r>
    <s v="C1219"/>
    <n v="33"/>
    <x v="1"/>
    <n v="0"/>
    <x v="3"/>
    <n v="3"/>
    <x v="9"/>
    <n v="5"/>
    <x v="1218"/>
    <x v="26"/>
    <x v="7"/>
    <n v="28"/>
    <x v="2"/>
    <n v="3"/>
    <x v="1"/>
    <n v="0"/>
  </r>
  <r>
    <s v="C1220"/>
    <n v="30"/>
    <x v="0"/>
    <n v="1"/>
    <x v="0"/>
    <n v="2"/>
    <x v="10"/>
    <n v="5"/>
    <x v="1219"/>
    <x v="17"/>
    <x v="27"/>
    <n v="26"/>
    <x v="1"/>
    <n v="2"/>
    <x v="1"/>
    <n v="0"/>
  </r>
  <r>
    <s v="C1221"/>
    <n v="34"/>
    <x v="0"/>
    <n v="1"/>
    <x v="0"/>
    <n v="2"/>
    <x v="15"/>
    <n v="2"/>
    <x v="1220"/>
    <x v="69"/>
    <x v="63"/>
    <n v="17"/>
    <x v="2"/>
    <n v="3"/>
    <x v="1"/>
    <n v="0"/>
  </r>
  <r>
    <s v="C1222"/>
    <n v="47"/>
    <x v="0"/>
    <n v="1"/>
    <x v="1"/>
    <n v="4"/>
    <x v="1"/>
    <n v="1"/>
    <x v="1221"/>
    <x v="45"/>
    <x v="60"/>
    <n v="59"/>
    <x v="2"/>
    <n v="3"/>
    <x v="1"/>
    <n v="0"/>
  </r>
  <r>
    <s v="C1223"/>
    <n v="32"/>
    <x v="0"/>
    <n v="1"/>
    <x v="0"/>
    <n v="2"/>
    <x v="4"/>
    <n v="3"/>
    <x v="1222"/>
    <x v="48"/>
    <x v="45"/>
    <n v="73"/>
    <x v="0"/>
    <n v="1"/>
    <x v="0"/>
    <n v="1"/>
  </r>
  <r>
    <s v="C1224"/>
    <n v="37"/>
    <x v="1"/>
    <n v="0"/>
    <x v="1"/>
    <n v="4"/>
    <x v="6"/>
    <n v="4"/>
    <x v="1223"/>
    <x v="62"/>
    <x v="59"/>
    <n v="68"/>
    <x v="0"/>
    <n v="1"/>
    <x v="0"/>
    <n v="1"/>
  </r>
  <r>
    <s v="C1225"/>
    <n v="45"/>
    <x v="1"/>
    <n v="0"/>
    <x v="2"/>
    <n v="1"/>
    <x v="9"/>
    <n v="2"/>
    <x v="1224"/>
    <x v="35"/>
    <x v="7"/>
    <n v="73"/>
    <x v="1"/>
    <n v="2"/>
    <x v="1"/>
    <n v="0"/>
  </r>
  <r>
    <s v="C1226"/>
    <n v="25"/>
    <x v="1"/>
    <n v="0"/>
    <x v="0"/>
    <n v="2"/>
    <x v="9"/>
    <n v="3"/>
    <x v="1225"/>
    <x v="91"/>
    <x v="97"/>
    <n v="20"/>
    <x v="1"/>
    <n v="2"/>
    <x v="1"/>
    <n v="0"/>
  </r>
  <r>
    <s v="C1227"/>
    <n v="22"/>
    <x v="1"/>
    <n v="0"/>
    <x v="3"/>
    <n v="3"/>
    <x v="15"/>
    <n v="3"/>
    <x v="1226"/>
    <x v="84"/>
    <x v="21"/>
    <n v="23"/>
    <x v="1"/>
    <n v="2"/>
    <x v="1"/>
    <n v="0"/>
  </r>
  <r>
    <s v="C1228"/>
    <n v="38"/>
    <x v="1"/>
    <n v="0"/>
    <x v="1"/>
    <n v="4"/>
    <x v="11"/>
    <n v="4"/>
    <x v="1227"/>
    <x v="60"/>
    <x v="79"/>
    <n v="2"/>
    <x v="1"/>
    <n v="2"/>
    <x v="0"/>
    <n v="1"/>
  </r>
  <r>
    <s v="C1229"/>
    <n v="34"/>
    <x v="0"/>
    <n v="1"/>
    <x v="0"/>
    <n v="2"/>
    <x v="5"/>
    <n v="3"/>
    <x v="1228"/>
    <x v="13"/>
    <x v="80"/>
    <n v="94"/>
    <x v="1"/>
    <n v="2"/>
    <x v="1"/>
    <n v="0"/>
  </r>
  <r>
    <s v="C1230"/>
    <n v="44"/>
    <x v="1"/>
    <n v="0"/>
    <x v="3"/>
    <n v="3"/>
    <x v="15"/>
    <n v="1"/>
    <x v="1229"/>
    <x v="70"/>
    <x v="29"/>
    <n v="61"/>
    <x v="0"/>
    <n v="1"/>
    <x v="0"/>
    <n v="1"/>
  </r>
  <r>
    <s v="C1231"/>
    <n v="42"/>
    <x v="0"/>
    <n v="1"/>
    <x v="0"/>
    <n v="2"/>
    <x v="1"/>
    <n v="1"/>
    <x v="1230"/>
    <x v="96"/>
    <x v="61"/>
    <n v="100"/>
    <x v="1"/>
    <n v="2"/>
    <x v="1"/>
    <n v="0"/>
  </r>
  <r>
    <s v="C1232"/>
    <n v="24"/>
    <x v="0"/>
    <n v="1"/>
    <x v="2"/>
    <n v="1"/>
    <x v="4"/>
    <n v="1"/>
    <x v="1231"/>
    <x v="32"/>
    <x v="75"/>
    <n v="1"/>
    <x v="1"/>
    <n v="2"/>
    <x v="1"/>
    <n v="0"/>
  </r>
  <r>
    <s v="C1233"/>
    <n v="47"/>
    <x v="0"/>
    <n v="1"/>
    <x v="0"/>
    <n v="2"/>
    <x v="13"/>
    <n v="3"/>
    <x v="1232"/>
    <x v="8"/>
    <x v="43"/>
    <n v="65"/>
    <x v="1"/>
    <n v="2"/>
    <x v="1"/>
    <n v="0"/>
  </r>
  <r>
    <s v="C1234"/>
    <n v="29"/>
    <x v="0"/>
    <n v="1"/>
    <x v="0"/>
    <n v="2"/>
    <x v="0"/>
    <n v="1"/>
    <x v="1233"/>
    <x v="1"/>
    <x v="55"/>
    <n v="41"/>
    <x v="0"/>
    <n v="1"/>
    <x v="1"/>
    <n v="0"/>
  </r>
  <r>
    <s v="C1235"/>
    <n v="26"/>
    <x v="1"/>
    <n v="0"/>
    <x v="1"/>
    <n v="4"/>
    <x v="14"/>
    <n v="4"/>
    <x v="1234"/>
    <x v="66"/>
    <x v="23"/>
    <n v="33"/>
    <x v="1"/>
    <n v="2"/>
    <x v="1"/>
    <n v="0"/>
  </r>
  <r>
    <s v="C1236"/>
    <n v="44"/>
    <x v="0"/>
    <n v="1"/>
    <x v="0"/>
    <n v="2"/>
    <x v="12"/>
    <n v="3"/>
    <x v="1235"/>
    <x v="72"/>
    <x v="86"/>
    <n v="41"/>
    <x v="0"/>
    <n v="1"/>
    <x v="0"/>
    <n v="1"/>
  </r>
  <r>
    <s v="C1237"/>
    <n v="36"/>
    <x v="0"/>
    <n v="1"/>
    <x v="0"/>
    <n v="2"/>
    <x v="1"/>
    <n v="5"/>
    <x v="1236"/>
    <x v="2"/>
    <x v="43"/>
    <n v="19"/>
    <x v="1"/>
    <n v="2"/>
    <x v="1"/>
    <n v="0"/>
  </r>
  <r>
    <s v="C1238"/>
    <n v="26"/>
    <x v="0"/>
    <n v="1"/>
    <x v="2"/>
    <n v="1"/>
    <x v="8"/>
    <n v="3"/>
    <x v="1237"/>
    <x v="22"/>
    <x v="61"/>
    <n v="96"/>
    <x v="1"/>
    <n v="2"/>
    <x v="1"/>
    <n v="0"/>
  </r>
  <r>
    <s v="C1239"/>
    <n v="41"/>
    <x v="1"/>
    <n v="0"/>
    <x v="0"/>
    <n v="2"/>
    <x v="4"/>
    <n v="4"/>
    <x v="1238"/>
    <x v="98"/>
    <x v="44"/>
    <n v="67"/>
    <x v="0"/>
    <n v="1"/>
    <x v="0"/>
    <n v="1"/>
  </r>
  <r>
    <s v="C1240"/>
    <n v="45"/>
    <x v="1"/>
    <n v="0"/>
    <x v="0"/>
    <n v="2"/>
    <x v="10"/>
    <n v="5"/>
    <x v="1239"/>
    <x v="13"/>
    <x v="65"/>
    <n v="44"/>
    <x v="1"/>
    <n v="2"/>
    <x v="1"/>
    <n v="0"/>
  </r>
  <r>
    <s v="C1241"/>
    <n v="49"/>
    <x v="1"/>
    <n v="0"/>
    <x v="3"/>
    <n v="3"/>
    <x v="3"/>
    <n v="3"/>
    <x v="1240"/>
    <x v="30"/>
    <x v="94"/>
    <n v="74"/>
    <x v="1"/>
    <n v="2"/>
    <x v="1"/>
    <n v="0"/>
  </r>
  <r>
    <s v="C1242"/>
    <n v="31"/>
    <x v="0"/>
    <n v="1"/>
    <x v="0"/>
    <n v="2"/>
    <x v="10"/>
    <n v="1"/>
    <x v="1241"/>
    <x v="43"/>
    <x v="15"/>
    <n v="41"/>
    <x v="0"/>
    <n v="1"/>
    <x v="1"/>
    <n v="0"/>
  </r>
  <r>
    <s v="C1243"/>
    <n v="44"/>
    <x v="0"/>
    <n v="1"/>
    <x v="1"/>
    <n v="4"/>
    <x v="5"/>
    <n v="2"/>
    <x v="1242"/>
    <x v="91"/>
    <x v="25"/>
    <n v="46"/>
    <x v="0"/>
    <n v="1"/>
    <x v="0"/>
    <n v="1"/>
  </r>
  <r>
    <s v="C1244"/>
    <n v="36"/>
    <x v="1"/>
    <n v="0"/>
    <x v="1"/>
    <n v="4"/>
    <x v="0"/>
    <n v="2"/>
    <x v="1243"/>
    <x v="43"/>
    <x v="13"/>
    <n v="4"/>
    <x v="2"/>
    <n v="3"/>
    <x v="1"/>
    <n v="0"/>
  </r>
  <r>
    <s v="C1245"/>
    <n v="32"/>
    <x v="0"/>
    <n v="1"/>
    <x v="0"/>
    <n v="2"/>
    <x v="6"/>
    <n v="1"/>
    <x v="1244"/>
    <x v="38"/>
    <x v="21"/>
    <n v="88"/>
    <x v="1"/>
    <n v="2"/>
    <x v="1"/>
    <n v="0"/>
  </r>
  <r>
    <s v="C1246"/>
    <n v="39"/>
    <x v="1"/>
    <n v="0"/>
    <x v="1"/>
    <n v="4"/>
    <x v="4"/>
    <n v="2"/>
    <x v="1245"/>
    <x v="60"/>
    <x v="66"/>
    <n v="48"/>
    <x v="2"/>
    <n v="3"/>
    <x v="1"/>
    <n v="0"/>
  </r>
  <r>
    <s v="C1247"/>
    <n v="44"/>
    <x v="1"/>
    <n v="0"/>
    <x v="3"/>
    <n v="3"/>
    <x v="1"/>
    <n v="2"/>
    <x v="1246"/>
    <x v="66"/>
    <x v="9"/>
    <n v="36"/>
    <x v="1"/>
    <n v="2"/>
    <x v="1"/>
    <n v="0"/>
  </r>
  <r>
    <s v="C1248"/>
    <n v="23"/>
    <x v="0"/>
    <n v="1"/>
    <x v="0"/>
    <n v="2"/>
    <x v="8"/>
    <n v="1"/>
    <x v="1247"/>
    <x v="31"/>
    <x v="37"/>
    <n v="33"/>
    <x v="1"/>
    <n v="2"/>
    <x v="1"/>
    <n v="0"/>
  </r>
  <r>
    <s v="C1249"/>
    <n v="29"/>
    <x v="0"/>
    <n v="1"/>
    <x v="2"/>
    <n v="1"/>
    <x v="10"/>
    <n v="1"/>
    <x v="1248"/>
    <x v="60"/>
    <x v="29"/>
    <n v="72"/>
    <x v="1"/>
    <n v="2"/>
    <x v="1"/>
    <n v="0"/>
  </r>
  <r>
    <s v="C1250"/>
    <n v="22"/>
    <x v="0"/>
    <n v="1"/>
    <x v="0"/>
    <n v="2"/>
    <x v="1"/>
    <n v="3"/>
    <x v="1249"/>
    <x v="3"/>
    <x v="91"/>
    <n v="69"/>
    <x v="1"/>
    <n v="2"/>
    <x v="1"/>
    <n v="0"/>
  </r>
  <r>
    <s v="C1251"/>
    <n v="28"/>
    <x v="0"/>
    <n v="1"/>
    <x v="0"/>
    <n v="2"/>
    <x v="6"/>
    <n v="3"/>
    <x v="1250"/>
    <x v="90"/>
    <x v="16"/>
    <n v="17"/>
    <x v="0"/>
    <n v="1"/>
    <x v="0"/>
    <n v="1"/>
  </r>
  <r>
    <s v="C1252"/>
    <n v="32"/>
    <x v="1"/>
    <n v="0"/>
    <x v="3"/>
    <n v="3"/>
    <x v="6"/>
    <n v="1"/>
    <x v="1251"/>
    <x v="57"/>
    <x v="14"/>
    <n v="77"/>
    <x v="1"/>
    <n v="2"/>
    <x v="0"/>
    <n v="1"/>
  </r>
  <r>
    <s v="C1253"/>
    <n v="37"/>
    <x v="1"/>
    <n v="0"/>
    <x v="0"/>
    <n v="2"/>
    <x v="10"/>
    <n v="4"/>
    <x v="1252"/>
    <x v="56"/>
    <x v="70"/>
    <n v="18"/>
    <x v="1"/>
    <n v="2"/>
    <x v="1"/>
    <n v="0"/>
  </r>
  <r>
    <s v="C1254"/>
    <n v="34"/>
    <x v="1"/>
    <n v="0"/>
    <x v="3"/>
    <n v="3"/>
    <x v="1"/>
    <n v="2"/>
    <x v="1253"/>
    <x v="90"/>
    <x v="24"/>
    <n v="77"/>
    <x v="0"/>
    <n v="1"/>
    <x v="0"/>
    <n v="1"/>
  </r>
  <r>
    <s v="C1255"/>
    <n v="23"/>
    <x v="1"/>
    <n v="0"/>
    <x v="0"/>
    <n v="2"/>
    <x v="15"/>
    <n v="3"/>
    <x v="1254"/>
    <x v="93"/>
    <x v="64"/>
    <n v="39"/>
    <x v="0"/>
    <n v="1"/>
    <x v="1"/>
    <n v="0"/>
  </r>
  <r>
    <s v="C1256"/>
    <n v="34"/>
    <x v="1"/>
    <n v="0"/>
    <x v="2"/>
    <n v="1"/>
    <x v="13"/>
    <n v="2"/>
    <x v="1255"/>
    <x v="46"/>
    <x v="63"/>
    <n v="16"/>
    <x v="0"/>
    <n v="1"/>
    <x v="1"/>
    <n v="0"/>
  </r>
  <r>
    <s v="C1257"/>
    <n v="41"/>
    <x v="0"/>
    <n v="1"/>
    <x v="1"/>
    <n v="4"/>
    <x v="6"/>
    <n v="5"/>
    <x v="1256"/>
    <x v="1"/>
    <x v="87"/>
    <n v="59"/>
    <x v="1"/>
    <n v="2"/>
    <x v="1"/>
    <n v="0"/>
  </r>
  <r>
    <s v="C1258"/>
    <n v="21"/>
    <x v="1"/>
    <n v="0"/>
    <x v="0"/>
    <n v="2"/>
    <x v="13"/>
    <n v="1"/>
    <x v="1257"/>
    <x v="97"/>
    <x v="73"/>
    <n v="98"/>
    <x v="1"/>
    <n v="2"/>
    <x v="1"/>
    <n v="0"/>
  </r>
  <r>
    <s v="C1259"/>
    <n v="34"/>
    <x v="1"/>
    <n v="0"/>
    <x v="0"/>
    <n v="2"/>
    <x v="8"/>
    <n v="4"/>
    <x v="1258"/>
    <x v="82"/>
    <x v="11"/>
    <n v="92"/>
    <x v="2"/>
    <n v="3"/>
    <x v="0"/>
    <n v="1"/>
  </r>
  <r>
    <s v="C1260"/>
    <n v="27"/>
    <x v="1"/>
    <n v="0"/>
    <x v="0"/>
    <n v="2"/>
    <x v="4"/>
    <n v="5"/>
    <x v="1259"/>
    <x v="81"/>
    <x v="61"/>
    <n v="41"/>
    <x v="0"/>
    <n v="1"/>
    <x v="0"/>
    <n v="1"/>
  </r>
  <r>
    <s v="C1261"/>
    <n v="27"/>
    <x v="0"/>
    <n v="1"/>
    <x v="2"/>
    <n v="1"/>
    <x v="0"/>
    <n v="5"/>
    <x v="1260"/>
    <x v="11"/>
    <x v="21"/>
    <n v="80"/>
    <x v="0"/>
    <n v="1"/>
    <x v="1"/>
    <n v="0"/>
  </r>
  <r>
    <s v="C1262"/>
    <n v="36"/>
    <x v="0"/>
    <n v="1"/>
    <x v="0"/>
    <n v="2"/>
    <x v="9"/>
    <n v="5"/>
    <x v="1261"/>
    <x v="89"/>
    <x v="23"/>
    <n v="71"/>
    <x v="1"/>
    <n v="2"/>
    <x v="1"/>
    <n v="0"/>
  </r>
  <r>
    <s v="C1263"/>
    <n v="31"/>
    <x v="0"/>
    <n v="1"/>
    <x v="0"/>
    <n v="2"/>
    <x v="7"/>
    <n v="1"/>
    <x v="1262"/>
    <x v="75"/>
    <x v="56"/>
    <n v="64"/>
    <x v="2"/>
    <n v="3"/>
    <x v="1"/>
    <n v="0"/>
  </r>
  <r>
    <s v="C1264"/>
    <n v="38"/>
    <x v="0"/>
    <n v="1"/>
    <x v="0"/>
    <n v="2"/>
    <x v="2"/>
    <n v="3"/>
    <x v="1263"/>
    <x v="70"/>
    <x v="7"/>
    <n v="52"/>
    <x v="0"/>
    <n v="1"/>
    <x v="1"/>
    <n v="0"/>
  </r>
  <r>
    <s v="C1265"/>
    <n v="29"/>
    <x v="1"/>
    <n v="0"/>
    <x v="1"/>
    <n v="4"/>
    <x v="5"/>
    <n v="1"/>
    <x v="1264"/>
    <x v="8"/>
    <x v="33"/>
    <n v="99"/>
    <x v="1"/>
    <n v="2"/>
    <x v="0"/>
    <n v="1"/>
  </r>
  <r>
    <s v="C1266"/>
    <n v="28"/>
    <x v="1"/>
    <n v="0"/>
    <x v="0"/>
    <n v="2"/>
    <x v="12"/>
    <n v="3"/>
    <x v="1265"/>
    <x v="47"/>
    <x v="87"/>
    <n v="6"/>
    <x v="1"/>
    <n v="2"/>
    <x v="1"/>
    <n v="0"/>
  </r>
  <r>
    <s v="C1267"/>
    <n v="24"/>
    <x v="0"/>
    <n v="1"/>
    <x v="0"/>
    <n v="2"/>
    <x v="2"/>
    <n v="5"/>
    <x v="1266"/>
    <x v="2"/>
    <x v="39"/>
    <n v="4"/>
    <x v="0"/>
    <n v="1"/>
    <x v="1"/>
    <n v="0"/>
  </r>
  <r>
    <s v="C1268"/>
    <n v="25"/>
    <x v="0"/>
    <n v="1"/>
    <x v="0"/>
    <n v="2"/>
    <x v="11"/>
    <n v="5"/>
    <x v="1267"/>
    <x v="87"/>
    <x v="22"/>
    <n v="23"/>
    <x v="1"/>
    <n v="2"/>
    <x v="1"/>
    <n v="0"/>
  </r>
  <r>
    <s v="C1269"/>
    <n v="39"/>
    <x v="1"/>
    <n v="0"/>
    <x v="1"/>
    <n v="4"/>
    <x v="14"/>
    <n v="4"/>
    <x v="1268"/>
    <x v="22"/>
    <x v="56"/>
    <n v="27"/>
    <x v="0"/>
    <n v="1"/>
    <x v="0"/>
    <n v="1"/>
  </r>
  <r>
    <s v="C1270"/>
    <n v="45"/>
    <x v="1"/>
    <n v="0"/>
    <x v="2"/>
    <n v="1"/>
    <x v="5"/>
    <n v="3"/>
    <x v="1269"/>
    <x v="91"/>
    <x v="36"/>
    <n v="61"/>
    <x v="2"/>
    <n v="3"/>
    <x v="1"/>
    <n v="0"/>
  </r>
  <r>
    <s v="C1271"/>
    <n v="21"/>
    <x v="0"/>
    <n v="1"/>
    <x v="0"/>
    <n v="2"/>
    <x v="13"/>
    <n v="5"/>
    <x v="1270"/>
    <x v="48"/>
    <x v="81"/>
    <n v="16"/>
    <x v="1"/>
    <n v="2"/>
    <x v="1"/>
    <n v="0"/>
  </r>
  <r>
    <s v="C1272"/>
    <n v="46"/>
    <x v="0"/>
    <n v="1"/>
    <x v="2"/>
    <n v="1"/>
    <x v="4"/>
    <n v="2"/>
    <x v="1271"/>
    <x v="64"/>
    <x v="27"/>
    <n v="100"/>
    <x v="1"/>
    <n v="2"/>
    <x v="1"/>
    <n v="0"/>
  </r>
  <r>
    <s v="C1273"/>
    <n v="43"/>
    <x v="0"/>
    <n v="1"/>
    <x v="2"/>
    <n v="1"/>
    <x v="8"/>
    <n v="4"/>
    <x v="1272"/>
    <x v="88"/>
    <x v="17"/>
    <n v="19"/>
    <x v="1"/>
    <n v="2"/>
    <x v="1"/>
    <n v="0"/>
  </r>
  <r>
    <s v="C1274"/>
    <n v="46"/>
    <x v="0"/>
    <n v="1"/>
    <x v="3"/>
    <n v="3"/>
    <x v="2"/>
    <n v="1"/>
    <x v="1273"/>
    <x v="6"/>
    <x v="76"/>
    <n v="2"/>
    <x v="1"/>
    <n v="2"/>
    <x v="1"/>
    <n v="0"/>
  </r>
  <r>
    <s v="C1275"/>
    <n v="32"/>
    <x v="1"/>
    <n v="0"/>
    <x v="3"/>
    <n v="3"/>
    <x v="6"/>
    <n v="4"/>
    <x v="1274"/>
    <x v="45"/>
    <x v="64"/>
    <n v="36"/>
    <x v="1"/>
    <n v="2"/>
    <x v="1"/>
    <n v="0"/>
  </r>
  <r>
    <s v="C1276"/>
    <n v="25"/>
    <x v="1"/>
    <n v="0"/>
    <x v="0"/>
    <n v="2"/>
    <x v="0"/>
    <n v="2"/>
    <x v="1275"/>
    <x v="38"/>
    <x v="73"/>
    <n v="89"/>
    <x v="0"/>
    <n v="1"/>
    <x v="0"/>
    <n v="1"/>
  </r>
  <r>
    <s v="C1277"/>
    <n v="24"/>
    <x v="1"/>
    <n v="0"/>
    <x v="0"/>
    <n v="2"/>
    <x v="12"/>
    <n v="3"/>
    <x v="1276"/>
    <x v="96"/>
    <x v="15"/>
    <n v="14"/>
    <x v="1"/>
    <n v="2"/>
    <x v="1"/>
    <n v="0"/>
  </r>
  <r>
    <s v="C1278"/>
    <n v="44"/>
    <x v="0"/>
    <n v="1"/>
    <x v="0"/>
    <n v="2"/>
    <x v="2"/>
    <n v="1"/>
    <x v="1277"/>
    <x v="20"/>
    <x v="100"/>
    <n v="50"/>
    <x v="0"/>
    <n v="1"/>
    <x v="1"/>
    <n v="0"/>
  </r>
  <r>
    <s v="C1279"/>
    <n v="20"/>
    <x v="0"/>
    <n v="1"/>
    <x v="1"/>
    <n v="4"/>
    <x v="12"/>
    <n v="1"/>
    <x v="1278"/>
    <x v="64"/>
    <x v="46"/>
    <n v="47"/>
    <x v="1"/>
    <n v="2"/>
    <x v="1"/>
    <n v="0"/>
  </r>
  <r>
    <s v="C1280"/>
    <n v="40"/>
    <x v="1"/>
    <n v="0"/>
    <x v="1"/>
    <n v="4"/>
    <x v="3"/>
    <n v="3"/>
    <x v="1279"/>
    <x v="25"/>
    <x v="29"/>
    <n v="7"/>
    <x v="0"/>
    <n v="1"/>
    <x v="0"/>
    <n v="1"/>
  </r>
  <r>
    <s v="C1281"/>
    <n v="41"/>
    <x v="1"/>
    <n v="0"/>
    <x v="0"/>
    <n v="2"/>
    <x v="5"/>
    <n v="4"/>
    <x v="1280"/>
    <x v="42"/>
    <x v="41"/>
    <n v="12"/>
    <x v="1"/>
    <n v="2"/>
    <x v="1"/>
    <n v="0"/>
  </r>
  <r>
    <s v="C1282"/>
    <n v="40"/>
    <x v="1"/>
    <n v="0"/>
    <x v="3"/>
    <n v="3"/>
    <x v="0"/>
    <n v="5"/>
    <x v="1281"/>
    <x v="47"/>
    <x v="88"/>
    <n v="47"/>
    <x v="0"/>
    <n v="1"/>
    <x v="1"/>
    <n v="0"/>
  </r>
  <r>
    <s v="C1283"/>
    <n v="25"/>
    <x v="1"/>
    <n v="0"/>
    <x v="3"/>
    <n v="3"/>
    <x v="14"/>
    <n v="4"/>
    <x v="1282"/>
    <x v="21"/>
    <x v="19"/>
    <n v="2"/>
    <x v="2"/>
    <n v="3"/>
    <x v="1"/>
    <n v="0"/>
  </r>
  <r>
    <s v="C1284"/>
    <n v="25"/>
    <x v="0"/>
    <n v="1"/>
    <x v="0"/>
    <n v="2"/>
    <x v="7"/>
    <n v="2"/>
    <x v="1283"/>
    <x v="0"/>
    <x v="0"/>
    <n v="64"/>
    <x v="1"/>
    <n v="2"/>
    <x v="1"/>
    <n v="0"/>
  </r>
  <r>
    <s v="C1285"/>
    <n v="42"/>
    <x v="1"/>
    <n v="0"/>
    <x v="0"/>
    <n v="2"/>
    <x v="15"/>
    <n v="5"/>
    <x v="1284"/>
    <x v="75"/>
    <x v="71"/>
    <n v="72"/>
    <x v="1"/>
    <n v="2"/>
    <x v="1"/>
    <n v="0"/>
  </r>
  <r>
    <s v="C1286"/>
    <n v="35"/>
    <x v="1"/>
    <n v="0"/>
    <x v="0"/>
    <n v="2"/>
    <x v="10"/>
    <n v="4"/>
    <x v="1285"/>
    <x v="85"/>
    <x v="94"/>
    <n v="30"/>
    <x v="2"/>
    <n v="3"/>
    <x v="1"/>
    <n v="0"/>
  </r>
  <r>
    <s v="C1287"/>
    <n v="23"/>
    <x v="1"/>
    <n v="0"/>
    <x v="3"/>
    <n v="3"/>
    <x v="8"/>
    <n v="3"/>
    <x v="1286"/>
    <x v="0"/>
    <x v="62"/>
    <n v="25"/>
    <x v="1"/>
    <n v="2"/>
    <x v="1"/>
    <n v="0"/>
  </r>
  <r>
    <s v="C1288"/>
    <n v="49"/>
    <x v="1"/>
    <n v="0"/>
    <x v="1"/>
    <n v="4"/>
    <x v="12"/>
    <n v="2"/>
    <x v="1287"/>
    <x v="90"/>
    <x v="0"/>
    <n v="80"/>
    <x v="2"/>
    <n v="3"/>
    <x v="0"/>
    <n v="1"/>
  </r>
  <r>
    <s v="C1289"/>
    <n v="30"/>
    <x v="1"/>
    <n v="0"/>
    <x v="3"/>
    <n v="3"/>
    <x v="8"/>
    <n v="2"/>
    <x v="1288"/>
    <x v="66"/>
    <x v="43"/>
    <n v="55"/>
    <x v="0"/>
    <n v="1"/>
    <x v="0"/>
    <n v="1"/>
  </r>
  <r>
    <s v="C1290"/>
    <n v="49"/>
    <x v="1"/>
    <n v="0"/>
    <x v="3"/>
    <n v="3"/>
    <x v="5"/>
    <n v="2"/>
    <x v="1289"/>
    <x v="48"/>
    <x v="36"/>
    <n v="33"/>
    <x v="1"/>
    <n v="2"/>
    <x v="1"/>
    <n v="0"/>
  </r>
  <r>
    <s v="C1291"/>
    <n v="49"/>
    <x v="1"/>
    <n v="0"/>
    <x v="0"/>
    <n v="2"/>
    <x v="14"/>
    <n v="5"/>
    <x v="1290"/>
    <x v="15"/>
    <x v="68"/>
    <n v="8"/>
    <x v="1"/>
    <n v="2"/>
    <x v="1"/>
    <n v="0"/>
  </r>
  <r>
    <s v="C1292"/>
    <n v="49"/>
    <x v="0"/>
    <n v="1"/>
    <x v="3"/>
    <n v="3"/>
    <x v="0"/>
    <n v="1"/>
    <x v="1291"/>
    <x v="93"/>
    <x v="28"/>
    <n v="61"/>
    <x v="2"/>
    <n v="3"/>
    <x v="1"/>
    <n v="0"/>
  </r>
  <r>
    <s v="C1293"/>
    <n v="50"/>
    <x v="0"/>
    <n v="1"/>
    <x v="3"/>
    <n v="3"/>
    <x v="1"/>
    <n v="5"/>
    <x v="1292"/>
    <x v="27"/>
    <x v="65"/>
    <n v="12"/>
    <x v="0"/>
    <n v="1"/>
    <x v="0"/>
    <n v="1"/>
  </r>
  <r>
    <s v="C1294"/>
    <n v="43"/>
    <x v="0"/>
    <n v="1"/>
    <x v="0"/>
    <n v="2"/>
    <x v="6"/>
    <n v="4"/>
    <x v="1293"/>
    <x v="49"/>
    <x v="86"/>
    <n v="68"/>
    <x v="2"/>
    <n v="3"/>
    <x v="1"/>
    <n v="0"/>
  </r>
  <r>
    <s v="C1295"/>
    <n v="42"/>
    <x v="0"/>
    <n v="1"/>
    <x v="0"/>
    <n v="2"/>
    <x v="12"/>
    <n v="1"/>
    <x v="1294"/>
    <x v="63"/>
    <x v="4"/>
    <n v="40"/>
    <x v="1"/>
    <n v="2"/>
    <x v="1"/>
    <n v="0"/>
  </r>
  <r>
    <s v="C1296"/>
    <n v="28"/>
    <x v="1"/>
    <n v="0"/>
    <x v="3"/>
    <n v="3"/>
    <x v="12"/>
    <n v="4"/>
    <x v="1295"/>
    <x v="48"/>
    <x v="19"/>
    <n v="76"/>
    <x v="2"/>
    <n v="3"/>
    <x v="0"/>
    <n v="1"/>
  </r>
  <r>
    <s v="C1297"/>
    <n v="42"/>
    <x v="0"/>
    <n v="1"/>
    <x v="2"/>
    <n v="1"/>
    <x v="9"/>
    <n v="1"/>
    <x v="1296"/>
    <x v="6"/>
    <x v="1"/>
    <n v="0"/>
    <x v="1"/>
    <n v="2"/>
    <x v="1"/>
    <n v="0"/>
  </r>
  <r>
    <s v="C1298"/>
    <n v="22"/>
    <x v="0"/>
    <n v="1"/>
    <x v="3"/>
    <n v="3"/>
    <x v="9"/>
    <n v="5"/>
    <x v="1297"/>
    <x v="91"/>
    <x v="80"/>
    <n v="88"/>
    <x v="0"/>
    <n v="1"/>
    <x v="0"/>
    <n v="1"/>
  </r>
  <r>
    <s v="C1299"/>
    <n v="38"/>
    <x v="1"/>
    <n v="0"/>
    <x v="2"/>
    <n v="1"/>
    <x v="15"/>
    <n v="2"/>
    <x v="1298"/>
    <x v="97"/>
    <x v="6"/>
    <n v="46"/>
    <x v="2"/>
    <n v="3"/>
    <x v="1"/>
    <n v="0"/>
  </r>
  <r>
    <s v="C1300"/>
    <n v="50"/>
    <x v="1"/>
    <n v="0"/>
    <x v="0"/>
    <n v="2"/>
    <x v="6"/>
    <n v="3"/>
    <x v="1299"/>
    <x v="68"/>
    <x v="71"/>
    <n v="3"/>
    <x v="2"/>
    <n v="3"/>
    <x v="1"/>
    <n v="0"/>
  </r>
  <r>
    <s v="C1301"/>
    <n v="27"/>
    <x v="0"/>
    <n v="1"/>
    <x v="3"/>
    <n v="3"/>
    <x v="14"/>
    <n v="2"/>
    <x v="1300"/>
    <x v="0"/>
    <x v="13"/>
    <n v="99"/>
    <x v="1"/>
    <n v="2"/>
    <x v="1"/>
    <n v="0"/>
  </r>
  <r>
    <s v="C1302"/>
    <n v="24"/>
    <x v="0"/>
    <n v="1"/>
    <x v="0"/>
    <n v="2"/>
    <x v="0"/>
    <n v="5"/>
    <x v="1301"/>
    <x v="40"/>
    <x v="41"/>
    <n v="62"/>
    <x v="0"/>
    <n v="1"/>
    <x v="0"/>
    <n v="1"/>
  </r>
  <r>
    <s v="C1303"/>
    <n v="23"/>
    <x v="1"/>
    <n v="0"/>
    <x v="0"/>
    <n v="2"/>
    <x v="15"/>
    <n v="1"/>
    <x v="1302"/>
    <x v="87"/>
    <x v="91"/>
    <n v="51"/>
    <x v="0"/>
    <n v="1"/>
    <x v="0"/>
    <n v="1"/>
  </r>
  <r>
    <s v="C1304"/>
    <n v="43"/>
    <x v="0"/>
    <n v="1"/>
    <x v="0"/>
    <n v="2"/>
    <x v="9"/>
    <n v="2"/>
    <x v="1303"/>
    <x v="35"/>
    <x v="11"/>
    <n v="9"/>
    <x v="1"/>
    <n v="2"/>
    <x v="1"/>
    <n v="0"/>
  </r>
  <r>
    <s v="C1305"/>
    <n v="50"/>
    <x v="1"/>
    <n v="0"/>
    <x v="3"/>
    <n v="3"/>
    <x v="11"/>
    <n v="5"/>
    <x v="1304"/>
    <x v="84"/>
    <x v="69"/>
    <n v="27"/>
    <x v="0"/>
    <n v="1"/>
    <x v="0"/>
    <n v="1"/>
  </r>
  <r>
    <s v="C1306"/>
    <n v="25"/>
    <x v="1"/>
    <n v="0"/>
    <x v="2"/>
    <n v="1"/>
    <x v="6"/>
    <n v="4"/>
    <x v="1305"/>
    <x v="33"/>
    <x v="98"/>
    <n v="5"/>
    <x v="1"/>
    <n v="2"/>
    <x v="1"/>
    <n v="0"/>
  </r>
  <r>
    <s v="C1307"/>
    <n v="21"/>
    <x v="1"/>
    <n v="0"/>
    <x v="1"/>
    <n v="4"/>
    <x v="7"/>
    <n v="3"/>
    <x v="1306"/>
    <x v="14"/>
    <x v="66"/>
    <n v="26"/>
    <x v="1"/>
    <n v="2"/>
    <x v="1"/>
    <n v="0"/>
  </r>
  <r>
    <s v="C1308"/>
    <n v="39"/>
    <x v="1"/>
    <n v="0"/>
    <x v="2"/>
    <n v="1"/>
    <x v="15"/>
    <n v="2"/>
    <x v="1307"/>
    <x v="66"/>
    <x v="80"/>
    <n v="11"/>
    <x v="1"/>
    <n v="2"/>
    <x v="1"/>
    <n v="0"/>
  </r>
  <r>
    <s v="C1309"/>
    <n v="47"/>
    <x v="0"/>
    <n v="1"/>
    <x v="1"/>
    <n v="4"/>
    <x v="4"/>
    <n v="1"/>
    <x v="1308"/>
    <x v="58"/>
    <x v="76"/>
    <n v="61"/>
    <x v="0"/>
    <n v="1"/>
    <x v="0"/>
    <n v="1"/>
  </r>
  <r>
    <s v="C1310"/>
    <n v="30"/>
    <x v="1"/>
    <n v="0"/>
    <x v="1"/>
    <n v="4"/>
    <x v="15"/>
    <n v="4"/>
    <x v="1309"/>
    <x v="87"/>
    <x v="100"/>
    <n v="51"/>
    <x v="1"/>
    <n v="2"/>
    <x v="1"/>
    <n v="0"/>
  </r>
  <r>
    <s v="C1311"/>
    <n v="23"/>
    <x v="1"/>
    <n v="0"/>
    <x v="0"/>
    <n v="2"/>
    <x v="5"/>
    <n v="5"/>
    <x v="1310"/>
    <x v="1"/>
    <x v="1"/>
    <n v="47"/>
    <x v="1"/>
    <n v="2"/>
    <x v="1"/>
    <n v="0"/>
  </r>
  <r>
    <s v="C1312"/>
    <n v="34"/>
    <x v="0"/>
    <n v="1"/>
    <x v="0"/>
    <n v="2"/>
    <x v="0"/>
    <n v="3"/>
    <x v="1311"/>
    <x v="44"/>
    <x v="20"/>
    <n v="66"/>
    <x v="1"/>
    <n v="2"/>
    <x v="1"/>
    <n v="0"/>
  </r>
  <r>
    <s v="C1313"/>
    <n v="25"/>
    <x v="1"/>
    <n v="0"/>
    <x v="0"/>
    <n v="2"/>
    <x v="0"/>
    <n v="1"/>
    <x v="1312"/>
    <x v="58"/>
    <x v="21"/>
    <n v="45"/>
    <x v="1"/>
    <n v="2"/>
    <x v="1"/>
    <n v="0"/>
  </r>
  <r>
    <s v="C1314"/>
    <n v="41"/>
    <x v="0"/>
    <n v="1"/>
    <x v="0"/>
    <n v="2"/>
    <x v="8"/>
    <n v="5"/>
    <x v="1313"/>
    <x v="0"/>
    <x v="21"/>
    <n v="96"/>
    <x v="1"/>
    <n v="2"/>
    <x v="1"/>
    <n v="0"/>
  </r>
  <r>
    <s v="C1315"/>
    <n v="36"/>
    <x v="0"/>
    <n v="1"/>
    <x v="2"/>
    <n v="1"/>
    <x v="11"/>
    <n v="5"/>
    <x v="1314"/>
    <x v="83"/>
    <x v="37"/>
    <n v="73"/>
    <x v="1"/>
    <n v="2"/>
    <x v="0"/>
    <n v="1"/>
  </r>
  <r>
    <s v="C1316"/>
    <n v="49"/>
    <x v="0"/>
    <n v="1"/>
    <x v="2"/>
    <n v="1"/>
    <x v="1"/>
    <n v="2"/>
    <x v="1315"/>
    <x v="87"/>
    <x v="20"/>
    <n v="94"/>
    <x v="2"/>
    <n v="3"/>
    <x v="1"/>
    <n v="0"/>
  </r>
  <r>
    <s v="C1317"/>
    <n v="43"/>
    <x v="1"/>
    <n v="0"/>
    <x v="2"/>
    <n v="1"/>
    <x v="13"/>
    <n v="2"/>
    <x v="1316"/>
    <x v="92"/>
    <x v="70"/>
    <n v="14"/>
    <x v="1"/>
    <n v="2"/>
    <x v="1"/>
    <n v="0"/>
  </r>
  <r>
    <s v="C1318"/>
    <n v="25"/>
    <x v="0"/>
    <n v="1"/>
    <x v="0"/>
    <n v="2"/>
    <x v="13"/>
    <n v="1"/>
    <x v="1317"/>
    <x v="84"/>
    <x v="15"/>
    <n v="70"/>
    <x v="2"/>
    <n v="3"/>
    <x v="1"/>
    <n v="0"/>
  </r>
  <r>
    <s v="C1319"/>
    <n v="38"/>
    <x v="0"/>
    <n v="1"/>
    <x v="0"/>
    <n v="2"/>
    <x v="9"/>
    <n v="5"/>
    <x v="1318"/>
    <x v="68"/>
    <x v="62"/>
    <n v="35"/>
    <x v="1"/>
    <n v="2"/>
    <x v="1"/>
    <n v="0"/>
  </r>
  <r>
    <s v="C1320"/>
    <n v="49"/>
    <x v="1"/>
    <n v="0"/>
    <x v="0"/>
    <n v="2"/>
    <x v="4"/>
    <n v="2"/>
    <x v="1319"/>
    <x v="77"/>
    <x v="34"/>
    <n v="13"/>
    <x v="1"/>
    <n v="2"/>
    <x v="1"/>
    <n v="0"/>
  </r>
  <r>
    <s v="C1321"/>
    <n v="44"/>
    <x v="0"/>
    <n v="1"/>
    <x v="1"/>
    <n v="4"/>
    <x v="9"/>
    <n v="3"/>
    <x v="1320"/>
    <x v="21"/>
    <x v="3"/>
    <n v="77"/>
    <x v="0"/>
    <n v="1"/>
    <x v="0"/>
    <n v="1"/>
  </r>
  <r>
    <s v="C1322"/>
    <n v="21"/>
    <x v="0"/>
    <n v="1"/>
    <x v="0"/>
    <n v="2"/>
    <x v="3"/>
    <n v="3"/>
    <x v="1321"/>
    <x v="84"/>
    <x v="89"/>
    <n v="2"/>
    <x v="1"/>
    <n v="2"/>
    <x v="1"/>
    <n v="0"/>
  </r>
  <r>
    <s v="C1323"/>
    <n v="34"/>
    <x v="0"/>
    <n v="1"/>
    <x v="0"/>
    <n v="2"/>
    <x v="3"/>
    <n v="5"/>
    <x v="1322"/>
    <x v="18"/>
    <x v="13"/>
    <n v="66"/>
    <x v="1"/>
    <n v="2"/>
    <x v="1"/>
    <n v="0"/>
  </r>
  <r>
    <s v="C1324"/>
    <n v="30"/>
    <x v="0"/>
    <n v="1"/>
    <x v="0"/>
    <n v="2"/>
    <x v="10"/>
    <n v="2"/>
    <x v="1323"/>
    <x v="8"/>
    <x v="99"/>
    <n v="85"/>
    <x v="0"/>
    <n v="1"/>
    <x v="0"/>
    <n v="1"/>
  </r>
  <r>
    <s v="C1325"/>
    <n v="27"/>
    <x v="0"/>
    <n v="1"/>
    <x v="3"/>
    <n v="3"/>
    <x v="3"/>
    <n v="1"/>
    <x v="1324"/>
    <x v="84"/>
    <x v="25"/>
    <n v="18"/>
    <x v="1"/>
    <n v="2"/>
    <x v="1"/>
    <n v="0"/>
  </r>
  <r>
    <s v="C1326"/>
    <n v="45"/>
    <x v="1"/>
    <n v="0"/>
    <x v="1"/>
    <n v="4"/>
    <x v="13"/>
    <n v="1"/>
    <x v="1325"/>
    <x v="3"/>
    <x v="16"/>
    <n v="98"/>
    <x v="0"/>
    <n v="1"/>
    <x v="0"/>
    <n v="1"/>
  </r>
  <r>
    <s v="C1327"/>
    <n v="38"/>
    <x v="0"/>
    <n v="1"/>
    <x v="3"/>
    <n v="3"/>
    <x v="1"/>
    <n v="1"/>
    <x v="1326"/>
    <x v="67"/>
    <x v="39"/>
    <n v="75"/>
    <x v="1"/>
    <n v="2"/>
    <x v="1"/>
    <n v="0"/>
  </r>
  <r>
    <s v="C1328"/>
    <n v="32"/>
    <x v="0"/>
    <n v="1"/>
    <x v="1"/>
    <n v="4"/>
    <x v="8"/>
    <n v="3"/>
    <x v="1327"/>
    <x v="89"/>
    <x v="33"/>
    <n v="53"/>
    <x v="1"/>
    <n v="2"/>
    <x v="1"/>
    <n v="0"/>
  </r>
  <r>
    <s v="C1329"/>
    <n v="31"/>
    <x v="1"/>
    <n v="0"/>
    <x v="2"/>
    <n v="1"/>
    <x v="7"/>
    <n v="2"/>
    <x v="1328"/>
    <x v="34"/>
    <x v="96"/>
    <n v="68"/>
    <x v="1"/>
    <n v="2"/>
    <x v="1"/>
    <n v="0"/>
  </r>
  <r>
    <s v="C1330"/>
    <n v="24"/>
    <x v="1"/>
    <n v="0"/>
    <x v="3"/>
    <n v="3"/>
    <x v="3"/>
    <n v="2"/>
    <x v="1329"/>
    <x v="64"/>
    <x v="7"/>
    <n v="9"/>
    <x v="2"/>
    <n v="3"/>
    <x v="1"/>
    <n v="0"/>
  </r>
  <r>
    <s v="C1331"/>
    <n v="25"/>
    <x v="1"/>
    <n v="0"/>
    <x v="3"/>
    <n v="3"/>
    <x v="9"/>
    <n v="3"/>
    <x v="1330"/>
    <x v="28"/>
    <x v="96"/>
    <n v="32"/>
    <x v="1"/>
    <n v="2"/>
    <x v="1"/>
    <n v="0"/>
  </r>
  <r>
    <s v="C1332"/>
    <n v="45"/>
    <x v="0"/>
    <n v="1"/>
    <x v="0"/>
    <n v="2"/>
    <x v="12"/>
    <n v="1"/>
    <x v="1331"/>
    <x v="13"/>
    <x v="73"/>
    <n v="12"/>
    <x v="1"/>
    <n v="2"/>
    <x v="1"/>
    <n v="0"/>
  </r>
  <r>
    <s v="C1333"/>
    <n v="41"/>
    <x v="1"/>
    <n v="0"/>
    <x v="1"/>
    <n v="4"/>
    <x v="0"/>
    <n v="1"/>
    <x v="1332"/>
    <x v="92"/>
    <x v="51"/>
    <n v="98"/>
    <x v="1"/>
    <n v="2"/>
    <x v="1"/>
    <n v="0"/>
  </r>
  <r>
    <s v="C1334"/>
    <n v="23"/>
    <x v="0"/>
    <n v="1"/>
    <x v="2"/>
    <n v="1"/>
    <x v="7"/>
    <n v="5"/>
    <x v="1333"/>
    <x v="4"/>
    <x v="90"/>
    <n v="50"/>
    <x v="2"/>
    <n v="3"/>
    <x v="1"/>
    <n v="0"/>
  </r>
  <r>
    <s v="C1335"/>
    <n v="38"/>
    <x v="0"/>
    <n v="1"/>
    <x v="0"/>
    <n v="2"/>
    <x v="7"/>
    <n v="4"/>
    <x v="1334"/>
    <x v="81"/>
    <x v="11"/>
    <n v="31"/>
    <x v="1"/>
    <n v="2"/>
    <x v="1"/>
    <n v="0"/>
  </r>
  <r>
    <s v="C1336"/>
    <n v="39"/>
    <x v="1"/>
    <n v="0"/>
    <x v="0"/>
    <n v="2"/>
    <x v="15"/>
    <n v="2"/>
    <x v="1335"/>
    <x v="28"/>
    <x v="60"/>
    <n v="74"/>
    <x v="1"/>
    <n v="2"/>
    <x v="1"/>
    <n v="0"/>
  </r>
  <r>
    <s v="C1337"/>
    <n v="20"/>
    <x v="1"/>
    <n v="0"/>
    <x v="0"/>
    <n v="2"/>
    <x v="9"/>
    <n v="2"/>
    <x v="1336"/>
    <x v="10"/>
    <x v="19"/>
    <n v="23"/>
    <x v="0"/>
    <n v="1"/>
    <x v="0"/>
    <n v="1"/>
  </r>
  <r>
    <s v="C1338"/>
    <n v="39"/>
    <x v="0"/>
    <n v="1"/>
    <x v="3"/>
    <n v="3"/>
    <x v="0"/>
    <n v="2"/>
    <x v="1337"/>
    <x v="82"/>
    <x v="17"/>
    <n v="34"/>
    <x v="1"/>
    <n v="2"/>
    <x v="1"/>
    <n v="0"/>
  </r>
  <r>
    <s v="C1339"/>
    <n v="36"/>
    <x v="1"/>
    <n v="0"/>
    <x v="0"/>
    <n v="2"/>
    <x v="13"/>
    <n v="4"/>
    <x v="1338"/>
    <x v="48"/>
    <x v="56"/>
    <n v="82"/>
    <x v="0"/>
    <n v="1"/>
    <x v="1"/>
    <n v="0"/>
  </r>
  <r>
    <s v="C1340"/>
    <n v="31"/>
    <x v="0"/>
    <n v="1"/>
    <x v="0"/>
    <n v="2"/>
    <x v="7"/>
    <n v="5"/>
    <x v="1339"/>
    <x v="27"/>
    <x v="33"/>
    <n v="69"/>
    <x v="1"/>
    <n v="2"/>
    <x v="1"/>
    <n v="0"/>
  </r>
  <r>
    <s v="C1341"/>
    <n v="34"/>
    <x v="1"/>
    <n v="0"/>
    <x v="0"/>
    <n v="2"/>
    <x v="10"/>
    <n v="4"/>
    <x v="1340"/>
    <x v="27"/>
    <x v="60"/>
    <n v="39"/>
    <x v="2"/>
    <n v="3"/>
    <x v="1"/>
    <n v="0"/>
  </r>
  <r>
    <s v="C1342"/>
    <n v="20"/>
    <x v="1"/>
    <n v="0"/>
    <x v="3"/>
    <n v="3"/>
    <x v="5"/>
    <n v="1"/>
    <x v="1341"/>
    <x v="14"/>
    <x v="22"/>
    <n v="53"/>
    <x v="1"/>
    <n v="2"/>
    <x v="0"/>
    <n v="1"/>
  </r>
  <r>
    <s v="C1343"/>
    <n v="45"/>
    <x v="1"/>
    <n v="0"/>
    <x v="2"/>
    <n v="1"/>
    <x v="9"/>
    <n v="1"/>
    <x v="1342"/>
    <x v="60"/>
    <x v="70"/>
    <n v="43"/>
    <x v="1"/>
    <n v="2"/>
    <x v="1"/>
    <n v="0"/>
  </r>
  <r>
    <s v="C1344"/>
    <n v="33"/>
    <x v="0"/>
    <n v="1"/>
    <x v="0"/>
    <n v="2"/>
    <x v="7"/>
    <n v="2"/>
    <x v="1343"/>
    <x v="83"/>
    <x v="9"/>
    <n v="61"/>
    <x v="1"/>
    <n v="2"/>
    <x v="1"/>
    <n v="0"/>
  </r>
  <r>
    <s v="C1345"/>
    <n v="25"/>
    <x v="1"/>
    <n v="0"/>
    <x v="1"/>
    <n v="4"/>
    <x v="4"/>
    <n v="3"/>
    <x v="1344"/>
    <x v="58"/>
    <x v="58"/>
    <n v="98"/>
    <x v="1"/>
    <n v="2"/>
    <x v="1"/>
    <n v="0"/>
  </r>
  <r>
    <s v="C1346"/>
    <n v="24"/>
    <x v="0"/>
    <n v="1"/>
    <x v="3"/>
    <n v="3"/>
    <x v="14"/>
    <n v="2"/>
    <x v="1345"/>
    <x v="63"/>
    <x v="93"/>
    <n v="67"/>
    <x v="1"/>
    <n v="2"/>
    <x v="0"/>
    <n v="1"/>
  </r>
  <r>
    <s v="C1347"/>
    <n v="49"/>
    <x v="0"/>
    <n v="1"/>
    <x v="0"/>
    <n v="2"/>
    <x v="15"/>
    <n v="3"/>
    <x v="1346"/>
    <x v="20"/>
    <x v="77"/>
    <n v="32"/>
    <x v="1"/>
    <n v="2"/>
    <x v="1"/>
    <n v="0"/>
  </r>
  <r>
    <s v="C1348"/>
    <n v="30"/>
    <x v="0"/>
    <n v="1"/>
    <x v="3"/>
    <n v="3"/>
    <x v="0"/>
    <n v="4"/>
    <x v="1347"/>
    <x v="44"/>
    <x v="37"/>
    <n v="76"/>
    <x v="0"/>
    <n v="1"/>
    <x v="0"/>
    <n v="1"/>
  </r>
  <r>
    <s v="C1349"/>
    <n v="50"/>
    <x v="0"/>
    <n v="1"/>
    <x v="3"/>
    <n v="3"/>
    <x v="3"/>
    <n v="1"/>
    <x v="1348"/>
    <x v="34"/>
    <x v="33"/>
    <n v="55"/>
    <x v="0"/>
    <n v="1"/>
    <x v="1"/>
    <n v="0"/>
  </r>
  <r>
    <s v="C1350"/>
    <n v="23"/>
    <x v="1"/>
    <n v="0"/>
    <x v="3"/>
    <n v="3"/>
    <x v="7"/>
    <n v="3"/>
    <x v="1349"/>
    <x v="10"/>
    <x v="68"/>
    <n v="35"/>
    <x v="1"/>
    <n v="2"/>
    <x v="1"/>
    <n v="0"/>
  </r>
  <r>
    <s v="C1351"/>
    <n v="32"/>
    <x v="0"/>
    <n v="1"/>
    <x v="0"/>
    <n v="2"/>
    <x v="9"/>
    <n v="4"/>
    <x v="1350"/>
    <x v="86"/>
    <x v="76"/>
    <n v="53"/>
    <x v="1"/>
    <n v="2"/>
    <x v="1"/>
    <n v="0"/>
  </r>
  <r>
    <s v="C1352"/>
    <n v="30"/>
    <x v="0"/>
    <n v="1"/>
    <x v="0"/>
    <n v="2"/>
    <x v="3"/>
    <n v="1"/>
    <x v="1351"/>
    <x v="73"/>
    <x v="50"/>
    <n v="18"/>
    <x v="0"/>
    <n v="1"/>
    <x v="1"/>
    <n v="0"/>
  </r>
  <r>
    <s v="C1353"/>
    <n v="22"/>
    <x v="1"/>
    <n v="0"/>
    <x v="0"/>
    <n v="2"/>
    <x v="14"/>
    <n v="3"/>
    <x v="1352"/>
    <x v="60"/>
    <x v="85"/>
    <n v="42"/>
    <x v="1"/>
    <n v="2"/>
    <x v="1"/>
    <n v="0"/>
  </r>
  <r>
    <s v="C1354"/>
    <n v="20"/>
    <x v="0"/>
    <n v="1"/>
    <x v="0"/>
    <n v="2"/>
    <x v="10"/>
    <n v="2"/>
    <x v="1353"/>
    <x v="70"/>
    <x v="68"/>
    <n v="11"/>
    <x v="0"/>
    <n v="1"/>
    <x v="0"/>
    <n v="1"/>
  </r>
  <r>
    <s v="C1355"/>
    <n v="25"/>
    <x v="1"/>
    <n v="0"/>
    <x v="0"/>
    <n v="2"/>
    <x v="3"/>
    <n v="2"/>
    <x v="1354"/>
    <x v="44"/>
    <x v="23"/>
    <n v="10"/>
    <x v="0"/>
    <n v="1"/>
    <x v="1"/>
    <n v="0"/>
  </r>
  <r>
    <s v="C1356"/>
    <n v="37"/>
    <x v="0"/>
    <n v="1"/>
    <x v="2"/>
    <n v="1"/>
    <x v="4"/>
    <n v="2"/>
    <x v="1355"/>
    <x v="46"/>
    <x v="9"/>
    <n v="69"/>
    <x v="1"/>
    <n v="2"/>
    <x v="1"/>
    <n v="0"/>
  </r>
  <r>
    <s v="C1357"/>
    <n v="43"/>
    <x v="1"/>
    <n v="0"/>
    <x v="0"/>
    <n v="2"/>
    <x v="13"/>
    <n v="4"/>
    <x v="1356"/>
    <x v="31"/>
    <x v="28"/>
    <n v="11"/>
    <x v="1"/>
    <n v="2"/>
    <x v="1"/>
    <n v="0"/>
  </r>
  <r>
    <s v="C1358"/>
    <n v="29"/>
    <x v="0"/>
    <n v="1"/>
    <x v="0"/>
    <n v="2"/>
    <x v="7"/>
    <n v="2"/>
    <x v="1357"/>
    <x v="57"/>
    <x v="82"/>
    <n v="90"/>
    <x v="1"/>
    <n v="2"/>
    <x v="1"/>
    <n v="0"/>
  </r>
  <r>
    <s v="C1359"/>
    <n v="24"/>
    <x v="1"/>
    <n v="0"/>
    <x v="0"/>
    <n v="2"/>
    <x v="2"/>
    <n v="5"/>
    <x v="1358"/>
    <x v="15"/>
    <x v="26"/>
    <n v="40"/>
    <x v="1"/>
    <n v="2"/>
    <x v="1"/>
    <n v="0"/>
  </r>
  <r>
    <s v="C1360"/>
    <n v="42"/>
    <x v="0"/>
    <n v="1"/>
    <x v="3"/>
    <n v="3"/>
    <x v="2"/>
    <n v="1"/>
    <x v="1359"/>
    <x v="67"/>
    <x v="33"/>
    <n v="24"/>
    <x v="2"/>
    <n v="3"/>
    <x v="1"/>
    <n v="0"/>
  </r>
  <r>
    <s v="C1361"/>
    <n v="29"/>
    <x v="0"/>
    <n v="1"/>
    <x v="0"/>
    <n v="2"/>
    <x v="3"/>
    <n v="4"/>
    <x v="1360"/>
    <x v="31"/>
    <x v="9"/>
    <n v="2"/>
    <x v="1"/>
    <n v="2"/>
    <x v="1"/>
    <n v="0"/>
  </r>
  <r>
    <s v="C1362"/>
    <n v="31"/>
    <x v="1"/>
    <n v="0"/>
    <x v="2"/>
    <n v="1"/>
    <x v="11"/>
    <n v="2"/>
    <x v="1361"/>
    <x v="97"/>
    <x v="22"/>
    <n v="2"/>
    <x v="0"/>
    <n v="1"/>
    <x v="0"/>
    <n v="1"/>
  </r>
  <r>
    <s v="C1363"/>
    <n v="21"/>
    <x v="1"/>
    <n v="0"/>
    <x v="3"/>
    <n v="3"/>
    <x v="0"/>
    <n v="1"/>
    <x v="1362"/>
    <x v="97"/>
    <x v="11"/>
    <n v="83"/>
    <x v="1"/>
    <n v="2"/>
    <x v="1"/>
    <n v="0"/>
  </r>
  <r>
    <s v="C1364"/>
    <n v="32"/>
    <x v="1"/>
    <n v="0"/>
    <x v="2"/>
    <n v="1"/>
    <x v="15"/>
    <n v="3"/>
    <x v="1363"/>
    <x v="74"/>
    <x v="18"/>
    <n v="27"/>
    <x v="0"/>
    <n v="1"/>
    <x v="0"/>
    <n v="1"/>
  </r>
  <r>
    <s v="C1365"/>
    <n v="27"/>
    <x v="1"/>
    <n v="0"/>
    <x v="3"/>
    <n v="3"/>
    <x v="2"/>
    <n v="2"/>
    <x v="1364"/>
    <x v="59"/>
    <x v="7"/>
    <n v="22"/>
    <x v="2"/>
    <n v="3"/>
    <x v="1"/>
    <n v="0"/>
  </r>
  <r>
    <s v="C1366"/>
    <n v="21"/>
    <x v="0"/>
    <n v="1"/>
    <x v="3"/>
    <n v="3"/>
    <x v="11"/>
    <n v="1"/>
    <x v="1365"/>
    <x v="44"/>
    <x v="83"/>
    <n v="47"/>
    <x v="0"/>
    <n v="1"/>
    <x v="0"/>
    <n v="1"/>
  </r>
  <r>
    <s v="C1367"/>
    <n v="39"/>
    <x v="0"/>
    <n v="1"/>
    <x v="0"/>
    <n v="2"/>
    <x v="1"/>
    <n v="5"/>
    <x v="1366"/>
    <x v="67"/>
    <x v="54"/>
    <n v="66"/>
    <x v="1"/>
    <n v="2"/>
    <x v="1"/>
    <n v="0"/>
  </r>
  <r>
    <s v="C1368"/>
    <n v="20"/>
    <x v="1"/>
    <n v="0"/>
    <x v="3"/>
    <n v="3"/>
    <x v="2"/>
    <n v="3"/>
    <x v="1367"/>
    <x v="79"/>
    <x v="64"/>
    <n v="41"/>
    <x v="0"/>
    <n v="1"/>
    <x v="0"/>
    <n v="1"/>
  </r>
  <r>
    <s v="C1369"/>
    <n v="50"/>
    <x v="0"/>
    <n v="1"/>
    <x v="0"/>
    <n v="2"/>
    <x v="11"/>
    <n v="5"/>
    <x v="1368"/>
    <x v="70"/>
    <x v="78"/>
    <n v="87"/>
    <x v="2"/>
    <n v="3"/>
    <x v="1"/>
    <n v="0"/>
  </r>
  <r>
    <s v="C1370"/>
    <n v="24"/>
    <x v="1"/>
    <n v="0"/>
    <x v="0"/>
    <n v="2"/>
    <x v="8"/>
    <n v="1"/>
    <x v="1369"/>
    <x v="28"/>
    <x v="43"/>
    <n v="39"/>
    <x v="1"/>
    <n v="2"/>
    <x v="1"/>
    <n v="0"/>
  </r>
  <r>
    <s v="C1371"/>
    <n v="28"/>
    <x v="1"/>
    <n v="0"/>
    <x v="2"/>
    <n v="1"/>
    <x v="0"/>
    <n v="5"/>
    <x v="1370"/>
    <x v="7"/>
    <x v="83"/>
    <n v="5"/>
    <x v="2"/>
    <n v="3"/>
    <x v="1"/>
    <n v="0"/>
  </r>
  <r>
    <s v="C1372"/>
    <n v="36"/>
    <x v="0"/>
    <n v="1"/>
    <x v="0"/>
    <n v="2"/>
    <x v="12"/>
    <n v="1"/>
    <x v="1371"/>
    <x v="62"/>
    <x v="73"/>
    <n v="19"/>
    <x v="0"/>
    <n v="1"/>
    <x v="1"/>
    <n v="0"/>
  </r>
  <r>
    <s v="C1373"/>
    <n v="28"/>
    <x v="0"/>
    <n v="1"/>
    <x v="1"/>
    <n v="4"/>
    <x v="2"/>
    <n v="1"/>
    <x v="1372"/>
    <x v="57"/>
    <x v="53"/>
    <n v="10"/>
    <x v="0"/>
    <n v="1"/>
    <x v="0"/>
    <n v="1"/>
  </r>
  <r>
    <s v="C1374"/>
    <n v="30"/>
    <x v="0"/>
    <n v="1"/>
    <x v="0"/>
    <n v="2"/>
    <x v="4"/>
    <n v="5"/>
    <x v="1373"/>
    <x v="53"/>
    <x v="47"/>
    <n v="95"/>
    <x v="0"/>
    <n v="1"/>
    <x v="0"/>
    <n v="1"/>
  </r>
  <r>
    <s v="C1375"/>
    <n v="34"/>
    <x v="0"/>
    <n v="1"/>
    <x v="0"/>
    <n v="2"/>
    <x v="14"/>
    <n v="1"/>
    <x v="1374"/>
    <x v="63"/>
    <x v="94"/>
    <n v="26"/>
    <x v="2"/>
    <n v="3"/>
    <x v="1"/>
    <n v="0"/>
  </r>
  <r>
    <s v="C1376"/>
    <n v="43"/>
    <x v="0"/>
    <n v="1"/>
    <x v="0"/>
    <n v="2"/>
    <x v="6"/>
    <n v="2"/>
    <x v="1375"/>
    <x v="31"/>
    <x v="44"/>
    <n v="20"/>
    <x v="2"/>
    <n v="3"/>
    <x v="1"/>
    <n v="0"/>
  </r>
  <r>
    <s v="C1377"/>
    <n v="25"/>
    <x v="0"/>
    <n v="1"/>
    <x v="0"/>
    <n v="2"/>
    <x v="7"/>
    <n v="1"/>
    <x v="1376"/>
    <x v="30"/>
    <x v="93"/>
    <n v="12"/>
    <x v="0"/>
    <n v="1"/>
    <x v="0"/>
    <n v="1"/>
  </r>
  <r>
    <s v="C1378"/>
    <n v="42"/>
    <x v="0"/>
    <n v="1"/>
    <x v="2"/>
    <n v="1"/>
    <x v="11"/>
    <n v="4"/>
    <x v="1377"/>
    <x v="52"/>
    <x v="27"/>
    <n v="85"/>
    <x v="0"/>
    <n v="1"/>
    <x v="0"/>
    <n v="1"/>
  </r>
  <r>
    <s v="C1379"/>
    <n v="22"/>
    <x v="1"/>
    <n v="0"/>
    <x v="0"/>
    <n v="2"/>
    <x v="14"/>
    <n v="1"/>
    <x v="1378"/>
    <x v="1"/>
    <x v="81"/>
    <n v="34"/>
    <x v="1"/>
    <n v="2"/>
    <x v="1"/>
    <n v="0"/>
  </r>
  <r>
    <s v="C1380"/>
    <n v="49"/>
    <x v="1"/>
    <n v="0"/>
    <x v="3"/>
    <n v="3"/>
    <x v="7"/>
    <n v="4"/>
    <x v="1379"/>
    <x v="95"/>
    <x v="66"/>
    <n v="46"/>
    <x v="0"/>
    <n v="1"/>
    <x v="1"/>
    <n v="0"/>
  </r>
  <r>
    <s v="C1381"/>
    <n v="50"/>
    <x v="1"/>
    <n v="0"/>
    <x v="0"/>
    <n v="2"/>
    <x v="6"/>
    <n v="1"/>
    <x v="1380"/>
    <x v="95"/>
    <x v="56"/>
    <n v="85"/>
    <x v="0"/>
    <n v="1"/>
    <x v="0"/>
    <n v="1"/>
  </r>
  <r>
    <s v="C1382"/>
    <n v="36"/>
    <x v="1"/>
    <n v="0"/>
    <x v="0"/>
    <n v="2"/>
    <x v="9"/>
    <n v="1"/>
    <x v="1381"/>
    <x v="58"/>
    <x v="35"/>
    <n v="27"/>
    <x v="0"/>
    <n v="1"/>
    <x v="0"/>
    <n v="1"/>
  </r>
  <r>
    <s v="C1383"/>
    <n v="24"/>
    <x v="1"/>
    <n v="0"/>
    <x v="2"/>
    <n v="1"/>
    <x v="9"/>
    <n v="5"/>
    <x v="1382"/>
    <x v="30"/>
    <x v="9"/>
    <n v="20"/>
    <x v="0"/>
    <n v="1"/>
    <x v="0"/>
    <n v="1"/>
  </r>
  <r>
    <s v="C1384"/>
    <n v="49"/>
    <x v="0"/>
    <n v="1"/>
    <x v="0"/>
    <n v="2"/>
    <x v="15"/>
    <n v="2"/>
    <x v="1383"/>
    <x v="47"/>
    <x v="77"/>
    <n v="17"/>
    <x v="0"/>
    <n v="1"/>
    <x v="0"/>
    <n v="1"/>
  </r>
  <r>
    <s v="C1385"/>
    <n v="47"/>
    <x v="1"/>
    <n v="0"/>
    <x v="3"/>
    <n v="3"/>
    <x v="14"/>
    <n v="2"/>
    <x v="1384"/>
    <x v="74"/>
    <x v="97"/>
    <n v="30"/>
    <x v="0"/>
    <n v="1"/>
    <x v="1"/>
    <n v="0"/>
  </r>
  <r>
    <s v="C1386"/>
    <n v="31"/>
    <x v="1"/>
    <n v="0"/>
    <x v="2"/>
    <n v="1"/>
    <x v="0"/>
    <n v="3"/>
    <x v="1385"/>
    <x v="71"/>
    <x v="99"/>
    <n v="59"/>
    <x v="1"/>
    <n v="2"/>
    <x v="0"/>
    <n v="1"/>
  </r>
  <r>
    <s v="C1387"/>
    <n v="37"/>
    <x v="1"/>
    <n v="0"/>
    <x v="2"/>
    <n v="1"/>
    <x v="11"/>
    <n v="5"/>
    <x v="1386"/>
    <x v="77"/>
    <x v="74"/>
    <n v="36"/>
    <x v="2"/>
    <n v="3"/>
    <x v="0"/>
    <n v="1"/>
  </r>
  <r>
    <s v="C1388"/>
    <n v="33"/>
    <x v="1"/>
    <n v="0"/>
    <x v="0"/>
    <n v="2"/>
    <x v="10"/>
    <n v="5"/>
    <x v="1387"/>
    <x v="73"/>
    <x v="43"/>
    <n v="20"/>
    <x v="1"/>
    <n v="2"/>
    <x v="0"/>
    <n v="1"/>
  </r>
  <r>
    <s v="C1389"/>
    <n v="40"/>
    <x v="1"/>
    <n v="0"/>
    <x v="3"/>
    <n v="3"/>
    <x v="8"/>
    <n v="2"/>
    <x v="1388"/>
    <x v="3"/>
    <x v="1"/>
    <n v="13"/>
    <x v="1"/>
    <n v="2"/>
    <x v="1"/>
    <n v="0"/>
  </r>
  <r>
    <s v="C1390"/>
    <n v="43"/>
    <x v="1"/>
    <n v="0"/>
    <x v="0"/>
    <n v="2"/>
    <x v="9"/>
    <n v="5"/>
    <x v="1389"/>
    <x v="67"/>
    <x v="21"/>
    <n v="88"/>
    <x v="0"/>
    <n v="1"/>
    <x v="0"/>
    <n v="1"/>
  </r>
  <r>
    <s v="C1391"/>
    <n v="30"/>
    <x v="1"/>
    <n v="0"/>
    <x v="0"/>
    <n v="2"/>
    <x v="0"/>
    <n v="2"/>
    <x v="1390"/>
    <x v="16"/>
    <x v="56"/>
    <n v="90"/>
    <x v="1"/>
    <n v="2"/>
    <x v="0"/>
    <n v="1"/>
  </r>
  <r>
    <s v="C1392"/>
    <n v="28"/>
    <x v="0"/>
    <n v="1"/>
    <x v="3"/>
    <n v="3"/>
    <x v="5"/>
    <n v="5"/>
    <x v="1391"/>
    <x v="62"/>
    <x v="41"/>
    <n v="59"/>
    <x v="1"/>
    <n v="2"/>
    <x v="0"/>
    <n v="1"/>
  </r>
  <r>
    <s v="C1393"/>
    <n v="21"/>
    <x v="0"/>
    <n v="1"/>
    <x v="0"/>
    <n v="2"/>
    <x v="14"/>
    <n v="1"/>
    <x v="1392"/>
    <x v="28"/>
    <x v="96"/>
    <n v="22"/>
    <x v="1"/>
    <n v="2"/>
    <x v="1"/>
    <n v="0"/>
  </r>
  <r>
    <s v="C1394"/>
    <n v="31"/>
    <x v="1"/>
    <n v="0"/>
    <x v="3"/>
    <n v="3"/>
    <x v="9"/>
    <n v="2"/>
    <x v="1393"/>
    <x v="28"/>
    <x v="76"/>
    <n v="94"/>
    <x v="0"/>
    <n v="1"/>
    <x v="0"/>
    <n v="1"/>
  </r>
  <r>
    <s v="C1395"/>
    <n v="22"/>
    <x v="0"/>
    <n v="1"/>
    <x v="3"/>
    <n v="3"/>
    <x v="9"/>
    <n v="2"/>
    <x v="1394"/>
    <x v="79"/>
    <x v="84"/>
    <n v="28"/>
    <x v="2"/>
    <n v="3"/>
    <x v="1"/>
    <n v="0"/>
  </r>
  <r>
    <s v="C1396"/>
    <n v="22"/>
    <x v="0"/>
    <n v="1"/>
    <x v="0"/>
    <n v="2"/>
    <x v="8"/>
    <n v="4"/>
    <x v="1395"/>
    <x v="45"/>
    <x v="97"/>
    <n v="46"/>
    <x v="0"/>
    <n v="1"/>
    <x v="1"/>
    <n v="0"/>
  </r>
  <r>
    <s v="C1397"/>
    <n v="20"/>
    <x v="0"/>
    <n v="1"/>
    <x v="0"/>
    <n v="2"/>
    <x v="10"/>
    <n v="5"/>
    <x v="1396"/>
    <x v="19"/>
    <x v="40"/>
    <n v="29"/>
    <x v="1"/>
    <n v="2"/>
    <x v="1"/>
    <n v="0"/>
  </r>
  <r>
    <s v="C1398"/>
    <n v="27"/>
    <x v="0"/>
    <n v="1"/>
    <x v="2"/>
    <n v="1"/>
    <x v="2"/>
    <n v="5"/>
    <x v="1397"/>
    <x v="40"/>
    <x v="78"/>
    <n v="89"/>
    <x v="2"/>
    <n v="3"/>
    <x v="1"/>
    <n v="0"/>
  </r>
  <r>
    <s v="C1399"/>
    <n v="41"/>
    <x v="1"/>
    <n v="0"/>
    <x v="0"/>
    <n v="2"/>
    <x v="3"/>
    <n v="2"/>
    <x v="1398"/>
    <x v="8"/>
    <x v="83"/>
    <n v="83"/>
    <x v="1"/>
    <n v="2"/>
    <x v="0"/>
    <n v="1"/>
  </r>
  <r>
    <s v="C1400"/>
    <n v="47"/>
    <x v="0"/>
    <n v="1"/>
    <x v="1"/>
    <n v="4"/>
    <x v="14"/>
    <n v="1"/>
    <x v="1399"/>
    <x v="99"/>
    <x v="80"/>
    <n v="37"/>
    <x v="1"/>
    <n v="2"/>
    <x v="1"/>
    <n v="0"/>
  </r>
  <r>
    <s v="C1401"/>
    <n v="48"/>
    <x v="0"/>
    <n v="1"/>
    <x v="0"/>
    <n v="2"/>
    <x v="15"/>
    <n v="1"/>
    <x v="1400"/>
    <x v="45"/>
    <x v="71"/>
    <n v="82"/>
    <x v="2"/>
    <n v="3"/>
    <x v="1"/>
    <n v="0"/>
  </r>
  <r>
    <s v="C1402"/>
    <n v="27"/>
    <x v="0"/>
    <n v="1"/>
    <x v="0"/>
    <n v="2"/>
    <x v="12"/>
    <n v="1"/>
    <x v="1401"/>
    <x v="71"/>
    <x v="10"/>
    <n v="26"/>
    <x v="1"/>
    <n v="2"/>
    <x v="0"/>
    <n v="1"/>
  </r>
  <r>
    <s v="C1403"/>
    <n v="30"/>
    <x v="1"/>
    <n v="0"/>
    <x v="3"/>
    <n v="3"/>
    <x v="5"/>
    <n v="5"/>
    <x v="1402"/>
    <x v="46"/>
    <x v="95"/>
    <n v="88"/>
    <x v="0"/>
    <n v="1"/>
    <x v="1"/>
    <n v="0"/>
  </r>
  <r>
    <s v="C1404"/>
    <n v="28"/>
    <x v="1"/>
    <n v="0"/>
    <x v="0"/>
    <n v="2"/>
    <x v="8"/>
    <n v="4"/>
    <x v="1403"/>
    <x v="17"/>
    <x v="93"/>
    <n v="86"/>
    <x v="2"/>
    <n v="3"/>
    <x v="1"/>
    <n v="0"/>
  </r>
  <r>
    <s v="C1405"/>
    <n v="24"/>
    <x v="1"/>
    <n v="0"/>
    <x v="2"/>
    <n v="1"/>
    <x v="9"/>
    <n v="2"/>
    <x v="1404"/>
    <x v="76"/>
    <x v="14"/>
    <n v="92"/>
    <x v="0"/>
    <n v="1"/>
    <x v="1"/>
    <n v="0"/>
  </r>
  <r>
    <s v="C1406"/>
    <n v="33"/>
    <x v="1"/>
    <n v="0"/>
    <x v="0"/>
    <n v="2"/>
    <x v="14"/>
    <n v="3"/>
    <x v="1405"/>
    <x v="48"/>
    <x v="52"/>
    <n v="14"/>
    <x v="2"/>
    <n v="3"/>
    <x v="1"/>
    <n v="0"/>
  </r>
  <r>
    <s v="C1407"/>
    <n v="47"/>
    <x v="1"/>
    <n v="0"/>
    <x v="0"/>
    <n v="2"/>
    <x v="5"/>
    <n v="4"/>
    <x v="1406"/>
    <x v="39"/>
    <x v="32"/>
    <n v="58"/>
    <x v="0"/>
    <n v="1"/>
    <x v="1"/>
    <n v="0"/>
  </r>
  <r>
    <s v="C1408"/>
    <n v="49"/>
    <x v="1"/>
    <n v="0"/>
    <x v="3"/>
    <n v="3"/>
    <x v="9"/>
    <n v="3"/>
    <x v="1407"/>
    <x v="19"/>
    <x v="42"/>
    <n v="2"/>
    <x v="1"/>
    <n v="2"/>
    <x v="1"/>
    <n v="0"/>
  </r>
  <r>
    <s v="C1409"/>
    <n v="22"/>
    <x v="1"/>
    <n v="0"/>
    <x v="2"/>
    <n v="1"/>
    <x v="4"/>
    <n v="4"/>
    <x v="1408"/>
    <x v="77"/>
    <x v="47"/>
    <n v="9"/>
    <x v="1"/>
    <n v="2"/>
    <x v="0"/>
    <n v="1"/>
  </r>
  <r>
    <s v="C1410"/>
    <n v="40"/>
    <x v="0"/>
    <n v="1"/>
    <x v="0"/>
    <n v="2"/>
    <x v="6"/>
    <n v="1"/>
    <x v="1409"/>
    <x v="3"/>
    <x v="61"/>
    <n v="78"/>
    <x v="2"/>
    <n v="3"/>
    <x v="0"/>
    <n v="1"/>
  </r>
  <r>
    <s v="C1411"/>
    <n v="24"/>
    <x v="0"/>
    <n v="1"/>
    <x v="0"/>
    <n v="2"/>
    <x v="1"/>
    <n v="5"/>
    <x v="1410"/>
    <x v="36"/>
    <x v="60"/>
    <n v="79"/>
    <x v="1"/>
    <n v="2"/>
    <x v="0"/>
    <n v="1"/>
  </r>
  <r>
    <s v="C1412"/>
    <n v="24"/>
    <x v="0"/>
    <n v="1"/>
    <x v="0"/>
    <n v="2"/>
    <x v="12"/>
    <n v="3"/>
    <x v="1411"/>
    <x v="58"/>
    <x v="8"/>
    <n v="16"/>
    <x v="0"/>
    <n v="1"/>
    <x v="0"/>
    <n v="1"/>
  </r>
  <r>
    <s v="C1413"/>
    <n v="38"/>
    <x v="1"/>
    <n v="0"/>
    <x v="0"/>
    <n v="2"/>
    <x v="5"/>
    <n v="4"/>
    <x v="1412"/>
    <x v="78"/>
    <x v="34"/>
    <n v="82"/>
    <x v="1"/>
    <n v="2"/>
    <x v="1"/>
    <n v="0"/>
  </r>
  <r>
    <s v="C1414"/>
    <n v="46"/>
    <x v="1"/>
    <n v="0"/>
    <x v="0"/>
    <n v="2"/>
    <x v="10"/>
    <n v="5"/>
    <x v="1413"/>
    <x v="88"/>
    <x v="81"/>
    <n v="10"/>
    <x v="0"/>
    <n v="1"/>
    <x v="1"/>
    <n v="0"/>
  </r>
  <r>
    <s v="C1415"/>
    <n v="33"/>
    <x v="1"/>
    <n v="0"/>
    <x v="0"/>
    <n v="2"/>
    <x v="7"/>
    <n v="3"/>
    <x v="1414"/>
    <x v="79"/>
    <x v="79"/>
    <n v="47"/>
    <x v="1"/>
    <n v="2"/>
    <x v="1"/>
    <n v="0"/>
  </r>
  <r>
    <s v="C1416"/>
    <n v="45"/>
    <x v="1"/>
    <n v="0"/>
    <x v="1"/>
    <n v="4"/>
    <x v="11"/>
    <n v="2"/>
    <x v="1415"/>
    <x v="44"/>
    <x v="39"/>
    <n v="4"/>
    <x v="2"/>
    <n v="3"/>
    <x v="0"/>
    <n v="1"/>
  </r>
  <r>
    <s v="C1417"/>
    <n v="49"/>
    <x v="1"/>
    <n v="0"/>
    <x v="0"/>
    <n v="2"/>
    <x v="9"/>
    <n v="4"/>
    <x v="1416"/>
    <x v="98"/>
    <x v="66"/>
    <n v="68"/>
    <x v="1"/>
    <n v="2"/>
    <x v="0"/>
    <n v="1"/>
  </r>
  <r>
    <s v="C1418"/>
    <n v="23"/>
    <x v="0"/>
    <n v="1"/>
    <x v="2"/>
    <n v="1"/>
    <x v="6"/>
    <n v="2"/>
    <x v="1417"/>
    <x v="38"/>
    <x v="17"/>
    <n v="63"/>
    <x v="1"/>
    <n v="2"/>
    <x v="1"/>
    <n v="0"/>
  </r>
  <r>
    <s v="C1419"/>
    <n v="44"/>
    <x v="0"/>
    <n v="1"/>
    <x v="0"/>
    <n v="2"/>
    <x v="3"/>
    <n v="1"/>
    <x v="1418"/>
    <x v="30"/>
    <x v="13"/>
    <n v="13"/>
    <x v="0"/>
    <n v="1"/>
    <x v="1"/>
    <n v="0"/>
  </r>
  <r>
    <s v="C1420"/>
    <n v="32"/>
    <x v="1"/>
    <n v="0"/>
    <x v="3"/>
    <n v="3"/>
    <x v="11"/>
    <n v="2"/>
    <x v="1419"/>
    <x v="44"/>
    <x v="8"/>
    <n v="49"/>
    <x v="1"/>
    <n v="2"/>
    <x v="0"/>
    <n v="1"/>
  </r>
  <r>
    <s v="C1421"/>
    <n v="29"/>
    <x v="1"/>
    <n v="0"/>
    <x v="3"/>
    <n v="3"/>
    <x v="12"/>
    <n v="2"/>
    <x v="1420"/>
    <x v="28"/>
    <x v="34"/>
    <n v="25"/>
    <x v="1"/>
    <n v="2"/>
    <x v="0"/>
    <n v="1"/>
  </r>
  <r>
    <s v="C1422"/>
    <n v="44"/>
    <x v="1"/>
    <n v="0"/>
    <x v="2"/>
    <n v="1"/>
    <x v="11"/>
    <n v="4"/>
    <x v="1421"/>
    <x v="37"/>
    <x v="20"/>
    <n v="71"/>
    <x v="1"/>
    <n v="2"/>
    <x v="0"/>
    <n v="1"/>
  </r>
  <r>
    <s v="C1423"/>
    <n v="37"/>
    <x v="1"/>
    <n v="0"/>
    <x v="1"/>
    <n v="4"/>
    <x v="2"/>
    <n v="1"/>
    <x v="1422"/>
    <x v="33"/>
    <x v="57"/>
    <n v="68"/>
    <x v="0"/>
    <n v="1"/>
    <x v="0"/>
    <n v="1"/>
  </r>
  <r>
    <s v="C1424"/>
    <n v="27"/>
    <x v="0"/>
    <n v="1"/>
    <x v="0"/>
    <n v="2"/>
    <x v="8"/>
    <n v="2"/>
    <x v="1423"/>
    <x v="85"/>
    <x v="24"/>
    <n v="6"/>
    <x v="1"/>
    <n v="2"/>
    <x v="1"/>
    <n v="0"/>
  </r>
  <r>
    <s v="C1425"/>
    <n v="27"/>
    <x v="1"/>
    <n v="0"/>
    <x v="2"/>
    <n v="1"/>
    <x v="9"/>
    <n v="5"/>
    <x v="1424"/>
    <x v="77"/>
    <x v="31"/>
    <n v="15"/>
    <x v="0"/>
    <n v="1"/>
    <x v="0"/>
    <n v="1"/>
  </r>
  <r>
    <s v="C1426"/>
    <n v="26"/>
    <x v="1"/>
    <n v="0"/>
    <x v="2"/>
    <n v="1"/>
    <x v="11"/>
    <n v="3"/>
    <x v="1425"/>
    <x v="89"/>
    <x v="17"/>
    <n v="54"/>
    <x v="1"/>
    <n v="2"/>
    <x v="0"/>
    <n v="1"/>
  </r>
  <r>
    <s v="C1427"/>
    <n v="27"/>
    <x v="1"/>
    <n v="0"/>
    <x v="2"/>
    <n v="1"/>
    <x v="7"/>
    <n v="2"/>
    <x v="1426"/>
    <x v="38"/>
    <x v="70"/>
    <n v="77"/>
    <x v="0"/>
    <n v="1"/>
    <x v="1"/>
    <n v="0"/>
  </r>
  <r>
    <s v="C1428"/>
    <n v="33"/>
    <x v="1"/>
    <n v="0"/>
    <x v="3"/>
    <n v="3"/>
    <x v="7"/>
    <n v="1"/>
    <x v="1427"/>
    <x v="21"/>
    <x v="31"/>
    <n v="100"/>
    <x v="2"/>
    <n v="3"/>
    <x v="1"/>
    <n v="0"/>
  </r>
  <r>
    <s v="C1429"/>
    <n v="38"/>
    <x v="0"/>
    <n v="1"/>
    <x v="2"/>
    <n v="1"/>
    <x v="9"/>
    <n v="2"/>
    <x v="1428"/>
    <x v="8"/>
    <x v="62"/>
    <n v="55"/>
    <x v="0"/>
    <n v="1"/>
    <x v="1"/>
    <n v="0"/>
  </r>
  <r>
    <s v="C1430"/>
    <n v="48"/>
    <x v="1"/>
    <n v="0"/>
    <x v="2"/>
    <n v="1"/>
    <x v="13"/>
    <n v="3"/>
    <x v="1429"/>
    <x v="27"/>
    <x v="24"/>
    <n v="3"/>
    <x v="1"/>
    <n v="2"/>
    <x v="0"/>
    <n v="1"/>
  </r>
  <r>
    <s v="C1431"/>
    <n v="25"/>
    <x v="1"/>
    <n v="0"/>
    <x v="3"/>
    <n v="3"/>
    <x v="7"/>
    <n v="1"/>
    <x v="1430"/>
    <x v="54"/>
    <x v="69"/>
    <n v="99"/>
    <x v="0"/>
    <n v="1"/>
    <x v="0"/>
    <n v="1"/>
  </r>
  <r>
    <s v="C1432"/>
    <n v="20"/>
    <x v="0"/>
    <n v="1"/>
    <x v="0"/>
    <n v="2"/>
    <x v="11"/>
    <n v="4"/>
    <x v="1431"/>
    <x v="47"/>
    <x v="75"/>
    <n v="47"/>
    <x v="1"/>
    <n v="2"/>
    <x v="0"/>
    <n v="1"/>
  </r>
  <r>
    <s v="C1433"/>
    <n v="42"/>
    <x v="0"/>
    <n v="1"/>
    <x v="2"/>
    <n v="1"/>
    <x v="15"/>
    <n v="1"/>
    <x v="1432"/>
    <x v="22"/>
    <x v="83"/>
    <n v="16"/>
    <x v="1"/>
    <n v="2"/>
    <x v="0"/>
    <n v="1"/>
  </r>
  <r>
    <s v="C1434"/>
    <n v="50"/>
    <x v="0"/>
    <n v="1"/>
    <x v="2"/>
    <n v="1"/>
    <x v="8"/>
    <n v="4"/>
    <x v="1433"/>
    <x v="40"/>
    <x v="21"/>
    <n v="35"/>
    <x v="1"/>
    <n v="2"/>
    <x v="1"/>
    <n v="0"/>
  </r>
  <r>
    <s v="C1435"/>
    <n v="34"/>
    <x v="1"/>
    <n v="0"/>
    <x v="2"/>
    <n v="1"/>
    <x v="0"/>
    <n v="1"/>
    <x v="1434"/>
    <x v="7"/>
    <x v="89"/>
    <n v="69"/>
    <x v="0"/>
    <n v="1"/>
    <x v="1"/>
    <n v="0"/>
  </r>
  <r>
    <s v="C1436"/>
    <n v="20"/>
    <x v="1"/>
    <n v="0"/>
    <x v="0"/>
    <n v="2"/>
    <x v="5"/>
    <n v="3"/>
    <x v="1435"/>
    <x v="98"/>
    <x v="22"/>
    <n v="79"/>
    <x v="1"/>
    <n v="2"/>
    <x v="0"/>
    <n v="1"/>
  </r>
  <r>
    <s v="C1437"/>
    <n v="44"/>
    <x v="0"/>
    <n v="1"/>
    <x v="0"/>
    <n v="2"/>
    <x v="7"/>
    <n v="3"/>
    <x v="1436"/>
    <x v="24"/>
    <x v="4"/>
    <n v="92"/>
    <x v="0"/>
    <n v="1"/>
    <x v="0"/>
    <n v="1"/>
  </r>
  <r>
    <s v="C1438"/>
    <n v="36"/>
    <x v="0"/>
    <n v="1"/>
    <x v="2"/>
    <n v="1"/>
    <x v="14"/>
    <n v="1"/>
    <x v="1437"/>
    <x v="95"/>
    <x v="61"/>
    <n v="99"/>
    <x v="0"/>
    <n v="1"/>
    <x v="0"/>
    <n v="1"/>
  </r>
  <r>
    <s v="C1439"/>
    <n v="20"/>
    <x v="0"/>
    <n v="1"/>
    <x v="2"/>
    <n v="1"/>
    <x v="12"/>
    <n v="2"/>
    <x v="1438"/>
    <x v="60"/>
    <x v="69"/>
    <n v="37"/>
    <x v="1"/>
    <n v="2"/>
    <x v="1"/>
    <n v="0"/>
  </r>
  <r>
    <s v="C1440"/>
    <n v="34"/>
    <x v="0"/>
    <n v="1"/>
    <x v="3"/>
    <n v="3"/>
    <x v="13"/>
    <n v="3"/>
    <x v="1439"/>
    <x v="55"/>
    <x v="36"/>
    <n v="100"/>
    <x v="0"/>
    <n v="1"/>
    <x v="0"/>
    <n v="1"/>
  </r>
  <r>
    <s v="C1441"/>
    <n v="42"/>
    <x v="0"/>
    <n v="1"/>
    <x v="0"/>
    <n v="2"/>
    <x v="14"/>
    <n v="4"/>
    <x v="1440"/>
    <x v="44"/>
    <x v="26"/>
    <n v="61"/>
    <x v="0"/>
    <n v="1"/>
    <x v="1"/>
    <n v="0"/>
  </r>
  <r>
    <s v="C1442"/>
    <n v="21"/>
    <x v="0"/>
    <n v="1"/>
    <x v="0"/>
    <n v="2"/>
    <x v="11"/>
    <n v="4"/>
    <x v="1441"/>
    <x v="80"/>
    <x v="96"/>
    <n v="47"/>
    <x v="2"/>
    <n v="3"/>
    <x v="0"/>
    <n v="1"/>
  </r>
  <r>
    <s v="C1443"/>
    <n v="33"/>
    <x v="1"/>
    <n v="0"/>
    <x v="0"/>
    <n v="2"/>
    <x v="5"/>
    <n v="5"/>
    <x v="1442"/>
    <x v="33"/>
    <x v="80"/>
    <n v="9"/>
    <x v="2"/>
    <n v="3"/>
    <x v="1"/>
    <n v="0"/>
  </r>
  <r>
    <s v="C1444"/>
    <n v="40"/>
    <x v="1"/>
    <n v="0"/>
    <x v="0"/>
    <n v="2"/>
    <x v="10"/>
    <n v="4"/>
    <x v="1443"/>
    <x v="84"/>
    <x v="59"/>
    <n v="35"/>
    <x v="1"/>
    <n v="2"/>
    <x v="1"/>
    <n v="0"/>
  </r>
  <r>
    <s v="C1445"/>
    <n v="27"/>
    <x v="1"/>
    <n v="0"/>
    <x v="0"/>
    <n v="2"/>
    <x v="4"/>
    <n v="5"/>
    <x v="1444"/>
    <x v="30"/>
    <x v="1"/>
    <n v="28"/>
    <x v="0"/>
    <n v="1"/>
    <x v="0"/>
    <n v="1"/>
  </r>
  <r>
    <s v="C1446"/>
    <n v="27"/>
    <x v="0"/>
    <n v="1"/>
    <x v="0"/>
    <n v="2"/>
    <x v="5"/>
    <n v="1"/>
    <x v="1445"/>
    <x v="31"/>
    <x v="30"/>
    <n v="77"/>
    <x v="0"/>
    <n v="1"/>
    <x v="1"/>
    <n v="0"/>
  </r>
  <r>
    <s v="C1447"/>
    <n v="38"/>
    <x v="0"/>
    <n v="1"/>
    <x v="0"/>
    <n v="2"/>
    <x v="10"/>
    <n v="1"/>
    <x v="1446"/>
    <x v="64"/>
    <x v="81"/>
    <n v="3"/>
    <x v="1"/>
    <n v="2"/>
    <x v="1"/>
    <n v="0"/>
  </r>
  <r>
    <s v="C1448"/>
    <n v="26"/>
    <x v="0"/>
    <n v="1"/>
    <x v="1"/>
    <n v="4"/>
    <x v="2"/>
    <n v="1"/>
    <x v="1447"/>
    <x v="56"/>
    <x v="97"/>
    <n v="43"/>
    <x v="0"/>
    <n v="1"/>
    <x v="0"/>
    <n v="1"/>
  </r>
  <r>
    <s v="C1449"/>
    <n v="38"/>
    <x v="0"/>
    <n v="1"/>
    <x v="2"/>
    <n v="1"/>
    <x v="14"/>
    <n v="2"/>
    <x v="1448"/>
    <x v="28"/>
    <x v="27"/>
    <n v="55"/>
    <x v="2"/>
    <n v="3"/>
    <x v="1"/>
    <n v="0"/>
  </r>
  <r>
    <s v="C1450"/>
    <n v="25"/>
    <x v="0"/>
    <n v="1"/>
    <x v="3"/>
    <n v="3"/>
    <x v="4"/>
    <n v="2"/>
    <x v="1449"/>
    <x v="13"/>
    <x v="6"/>
    <n v="41"/>
    <x v="0"/>
    <n v="1"/>
    <x v="0"/>
    <n v="1"/>
  </r>
  <r>
    <s v="C1451"/>
    <n v="25"/>
    <x v="0"/>
    <n v="1"/>
    <x v="2"/>
    <n v="1"/>
    <x v="2"/>
    <n v="5"/>
    <x v="1450"/>
    <x v="64"/>
    <x v="75"/>
    <n v="99"/>
    <x v="2"/>
    <n v="3"/>
    <x v="1"/>
    <n v="0"/>
  </r>
  <r>
    <s v="C1452"/>
    <n v="22"/>
    <x v="1"/>
    <n v="0"/>
    <x v="3"/>
    <n v="3"/>
    <x v="4"/>
    <n v="4"/>
    <x v="1451"/>
    <x v="7"/>
    <x v="43"/>
    <n v="12"/>
    <x v="1"/>
    <n v="2"/>
    <x v="1"/>
    <n v="0"/>
  </r>
  <r>
    <s v="C1453"/>
    <n v="26"/>
    <x v="1"/>
    <n v="0"/>
    <x v="0"/>
    <n v="2"/>
    <x v="8"/>
    <n v="4"/>
    <x v="1452"/>
    <x v="31"/>
    <x v="85"/>
    <n v="45"/>
    <x v="1"/>
    <n v="2"/>
    <x v="1"/>
    <n v="0"/>
  </r>
  <r>
    <s v="C1454"/>
    <n v="38"/>
    <x v="0"/>
    <n v="1"/>
    <x v="3"/>
    <n v="3"/>
    <x v="4"/>
    <n v="1"/>
    <x v="1453"/>
    <x v="75"/>
    <x v="7"/>
    <n v="81"/>
    <x v="0"/>
    <n v="1"/>
    <x v="1"/>
    <n v="0"/>
  </r>
  <r>
    <s v="C1455"/>
    <n v="27"/>
    <x v="1"/>
    <n v="0"/>
    <x v="2"/>
    <n v="1"/>
    <x v="8"/>
    <n v="3"/>
    <x v="1454"/>
    <x v="90"/>
    <x v="35"/>
    <n v="32"/>
    <x v="2"/>
    <n v="3"/>
    <x v="0"/>
    <n v="1"/>
  </r>
  <r>
    <s v="C1456"/>
    <n v="29"/>
    <x v="0"/>
    <n v="1"/>
    <x v="0"/>
    <n v="2"/>
    <x v="0"/>
    <n v="2"/>
    <x v="1455"/>
    <x v="56"/>
    <x v="51"/>
    <n v="20"/>
    <x v="0"/>
    <n v="1"/>
    <x v="0"/>
    <n v="1"/>
  </r>
  <r>
    <s v="C1457"/>
    <n v="39"/>
    <x v="1"/>
    <n v="0"/>
    <x v="0"/>
    <n v="2"/>
    <x v="3"/>
    <n v="2"/>
    <x v="1456"/>
    <x v="20"/>
    <x v="29"/>
    <n v="79"/>
    <x v="1"/>
    <n v="2"/>
    <x v="0"/>
    <n v="1"/>
  </r>
  <r>
    <s v="C1458"/>
    <n v="34"/>
    <x v="0"/>
    <n v="1"/>
    <x v="3"/>
    <n v="3"/>
    <x v="12"/>
    <n v="1"/>
    <x v="1457"/>
    <x v="59"/>
    <x v="33"/>
    <n v="78"/>
    <x v="2"/>
    <n v="3"/>
    <x v="1"/>
    <n v="0"/>
  </r>
  <r>
    <s v="C1459"/>
    <n v="34"/>
    <x v="0"/>
    <n v="1"/>
    <x v="0"/>
    <n v="2"/>
    <x v="10"/>
    <n v="2"/>
    <x v="1458"/>
    <x v="28"/>
    <x v="52"/>
    <n v="56"/>
    <x v="0"/>
    <n v="1"/>
    <x v="1"/>
    <n v="0"/>
  </r>
  <r>
    <s v="C1460"/>
    <n v="48"/>
    <x v="1"/>
    <n v="0"/>
    <x v="0"/>
    <n v="2"/>
    <x v="6"/>
    <n v="1"/>
    <x v="1459"/>
    <x v="40"/>
    <x v="78"/>
    <n v="68"/>
    <x v="1"/>
    <n v="2"/>
    <x v="0"/>
    <n v="1"/>
  </r>
  <r>
    <s v="C1461"/>
    <n v="20"/>
    <x v="1"/>
    <n v="0"/>
    <x v="0"/>
    <n v="2"/>
    <x v="7"/>
    <n v="5"/>
    <x v="1460"/>
    <x v="8"/>
    <x v="31"/>
    <n v="69"/>
    <x v="1"/>
    <n v="2"/>
    <x v="0"/>
    <n v="1"/>
  </r>
  <r>
    <s v="C1462"/>
    <n v="39"/>
    <x v="0"/>
    <n v="1"/>
    <x v="0"/>
    <n v="2"/>
    <x v="11"/>
    <n v="4"/>
    <x v="1461"/>
    <x v="72"/>
    <x v="61"/>
    <n v="66"/>
    <x v="1"/>
    <n v="2"/>
    <x v="0"/>
    <n v="1"/>
  </r>
  <r>
    <s v="C1463"/>
    <n v="49"/>
    <x v="0"/>
    <n v="1"/>
    <x v="0"/>
    <n v="2"/>
    <x v="13"/>
    <n v="3"/>
    <x v="1462"/>
    <x v="49"/>
    <x v="29"/>
    <n v="47"/>
    <x v="1"/>
    <n v="2"/>
    <x v="0"/>
    <n v="1"/>
  </r>
  <r>
    <s v="C1464"/>
    <n v="26"/>
    <x v="1"/>
    <n v="0"/>
    <x v="2"/>
    <n v="1"/>
    <x v="12"/>
    <n v="4"/>
    <x v="1463"/>
    <x v="0"/>
    <x v="25"/>
    <n v="75"/>
    <x v="1"/>
    <n v="2"/>
    <x v="1"/>
    <n v="0"/>
  </r>
  <r>
    <s v="C1465"/>
    <n v="46"/>
    <x v="1"/>
    <n v="0"/>
    <x v="1"/>
    <n v="4"/>
    <x v="2"/>
    <n v="4"/>
    <x v="1464"/>
    <x v="14"/>
    <x v="60"/>
    <n v="99"/>
    <x v="1"/>
    <n v="2"/>
    <x v="0"/>
    <n v="1"/>
  </r>
  <r>
    <s v="C1466"/>
    <n v="23"/>
    <x v="0"/>
    <n v="1"/>
    <x v="3"/>
    <n v="3"/>
    <x v="0"/>
    <n v="5"/>
    <x v="1465"/>
    <x v="84"/>
    <x v="10"/>
    <n v="32"/>
    <x v="1"/>
    <n v="2"/>
    <x v="1"/>
    <n v="0"/>
  </r>
  <r>
    <s v="C1467"/>
    <n v="48"/>
    <x v="1"/>
    <n v="0"/>
    <x v="1"/>
    <n v="4"/>
    <x v="2"/>
    <n v="2"/>
    <x v="1466"/>
    <x v="8"/>
    <x v="94"/>
    <n v="35"/>
    <x v="1"/>
    <n v="2"/>
    <x v="0"/>
    <n v="1"/>
  </r>
  <r>
    <s v="C1468"/>
    <n v="25"/>
    <x v="0"/>
    <n v="1"/>
    <x v="0"/>
    <n v="2"/>
    <x v="3"/>
    <n v="3"/>
    <x v="1467"/>
    <x v="94"/>
    <x v="75"/>
    <n v="32"/>
    <x v="0"/>
    <n v="1"/>
    <x v="1"/>
    <n v="0"/>
  </r>
  <r>
    <s v="C1469"/>
    <n v="44"/>
    <x v="0"/>
    <n v="1"/>
    <x v="3"/>
    <n v="3"/>
    <x v="13"/>
    <n v="2"/>
    <x v="1468"/>
    <x v="15"/>
    <x v="68"/>
    <n v="30"/>
    <x v="2"/>
    <n v="3"/>
    <x v="0"/>
    <n v="1"/>
  </r>
  <r>
    <s v="C1470"/>
    <n v="20"/>
    <x v="0"/>
    <n v="1"/>
    <x v="3"/>
    <n v="3"/>
    <x v="6"/>
    <n v="4"/>
    <x v="1469"/>
    <x v="23"/>
    <x v="64"/>
    <n v="20"/>
    <x v="2"/>
    <n v="3"/>
    <x v="0"/>
    <n v="1"/>
  </r>
  <r>
    <s v="C1471"/>
    <n v="48"/>
    <x v="0"/>
    <n v="1"/>
    <x v="0"/>
    <n v="2"/>
    <x v="1"/>
    <n v="1"/>
    <x v="1470"/>
    <x v="95"/>
    <x v="4"/>
    <n v="26"/>
    <x v="1"/>
    <n v="2"/>
    <x v="1"/>
    <n v="0"/>
  </r>
  <r>
    <s v="C1472"/>
    <n v="24"/>
    <x v="1"/>
    <n v="0"/>
    <x v="0"/>
    <n v="2"/>
    <x v="0"/>
    <n v="4"/>
    <x v="1471"/>
    <x v="93"/>
    <x v="30"/>
    <n v="90"/>
    <x v="1"/>
    <n v="2"/>
    <x v="1"/>
    <n v="0"/>
  </r>
  <r>
    <s v="C1473"/>
    <n v="46"/>
    <x v="1"/>
    <n v="0"/>
    <x v="0"/>
    <n v="2"/>
    <x v="2"/>
    <n v="2"/>
    <x v="1472"/>
    <x v="19"/>
    <x v="53"/>
    <n v="71"/>
    <x v="1"/>
    <n v="2"/>
    <x v="0"/>
    <n v="1"/>
  </r>
  <r>
    <s v="C1474"/>
    <n v="42"/>
    <x v="1"/>
    <n v="0"/>
    <x v="3"/>
    <n v="3"/>
    <x v="3"/>
    <n v="4"/>
    <x v="1473"/>
    <x v="96"/>
    <x v="38"/>
    <n v="100"/>
    <x v="1"/>
    <n v="2"/>
    <x v="1"/>
    <n v="0"/>
  </r>
  <r>
    <s v="C1475"/>
    <n v="20"/>
    <x v="1"/>
    <n v="0"/>
    <x v="0"/>
    <n v="2"/>
    <x v="1"/>
    <n v="1"/>
    <x v="1474"/>
    <x v="1"/>
    <x v="82"/>
    <n v="61"/>
    <x v="1"/>
    <n v="2"/>
    <x v="0"/>
    <n v="1"/>
  </r>
  <r>
    <s v="C1476"/>
    <n v="49"/>
    <x v="1"/>
    <n v="0"/>
    <x v="2"/>
    <n v="1"/>
    <x v="5"/>
    <n v="5"/>
    <x v="1475"/>
    <x v="68"/>
    <x v="9"/>
    <n v="95"/>
    <x v="0"/>
    <n v="1"/>
    <x v="1"/>
    <n v="0"/>
  </r>
  <r>
    <s v="C1477"/>
    <n v="23"/>
    <x v="1"/>
    <n v="0"/>
    <x v="0"/>
    <n v="2"/>
    <x v="11"/>
    <n v="2"/>
    <x v="1476"/>
    <x v="46"/>
    <x v="91"/>
    <n v="25"/>
    <x v="1"/>
    <n v="2"/>
    <x v="0"/>
    <n v="1"/>
  </r>
  <r>
    <s v="C1478"/>
    <n v="41"/>
    <x v="1"/>
    <n v="0"/>
    <x v="1"/>
    <n v="4"/>
    <x v="11"/>
    <n v="4"/>
    <x v="1477"/>
    <x v="27"/>
    <x v="56"/>
    <n v="65"/>
    <x v="0"/>
    <n v="1"/>
    <x v="0"/>
    <n v="1"/>
  </r>
  <r>
    <s v="C1479"/>
    <n v="21"/>
    <x v="0"/>
    <n v="1"/>
    <x v="3"/>
    <n v="3"/>
    <x v="6"/>
    <n v="2"/>
    <x v="1478"/>
    <x v="5"/>
    <x v="59"/>
    <n v="11"/>
    <x v="0"/>
    <n v="1"/>
    <x v="0"/>
    <n v="1"/>
  </r>
  <r>
    <s v="C1480"/>
    <n v="29"/>
    <x v="1"/>
    <n v="0"/>
    <x v="1"/>
    <n v="4"/>
    <x v="2"/>
    <n v="5"/>
    <x v="1479"/>
    <x v="21"/>
    <x v="47"/>
    <n v="21"/>
    <x v="1"/>
    <n v="2"/>
    <x v="0"/>
    <n v="1"/>
  </r>
  <r>
    <s v="C1481"/>
    <n v="24"/>
    <x v="1"/>
    <n v="0"/>
    <x v="0"/>
    <n v="2"/>
    <x v="5"/>
    <n v="4"/>
    <x v="1480"/>
    <x v="58"/>
    <x v="40"/>
    <n v="16"/>
    <x v="1"/>
    <n v="2"/>
    <x v="0"/>
    <n v="1"/>
  </r>
  <r>
    <s v="C1482"/>
    <n v="46"/>
    <x v="0"/>
    <n v="1"/>
    <x v="0"/>
    <n v="2"/>
    <x v="6"/>
    <n v="4"/>
    <x v="1481"/>
    <x v="26"/>
    <x v="4"/>
    <n v="6"/>
    <x v="1"/>
    <n v="2"/>
    <x v="0"/>
    <n v="1"/>
  </r>
  <r>
    <s v="C1483"/>
    <n v="29"/>
    <x v="1"/>
    <n v="0"/>
    <x v="2"/>
    <n v="1"/>
    <x v="12"/>
    <n v="2"/>
    <x v="1482"/>
    <x v="72"/>
    <x v="23"/>
    <n v="67"/>
    <x v="1"/>
    <n v="2"/>
    <x v="0"/>
    <n v="1"/>
  </r>
  <r>
    <s v="C1484"/>
    <n v="20"/>
    <x v="1"/>
    <n v="0"/>
    <x v="2"/>
    <n v="1"/>
    <x v="13"/>
    <n v="2"/>
    <x v="1483"/>
    <x v="18"/>
    <x v="59"/>
    <n v="36"/>
    <x v="2"/>
    <n v="3"/>
    <x v="0"/>
    <n v="1"/>
  </r>
  <r>
    <s v="C1485"/>
    <n v="41"/>
    <x v="0"/>
    <n v="1"/>
    <x v="2"/>
    <n v="1"/>
    <x v="9"/>
    <n v="1"/>
    <x v="1484"/>
    <x v="5"/>
    <x v="19"/>
    <n v="37"/>
    <x v="1"/>
    <n v="2"/>
    <x v="1"/>
    <n v="0"/>
  </r>
  <r>
    <s v="C1486"/>
    <n v="25"/>
    <x v="1"/>
    <n v="0"/>
    <x v="0"/>
    <n v="2"/>
    <x v="12"/>
    <n v="5"/>
    <x v="1485"/>
    <x v="99"/>
    <x v="24"/>
    <n v="95"/>
    <x v="1"/>
    <n v="2"/>
    <x v="1"/>
    <n v="0"/>
  </r>
  <r>
    <s v="C1487"/>
    <n v="32"/>
    <x v="1"/>
    <n v="0"/>
    <x v="2"/>
    <n v="1"/>
    <x v="11"/>
    <n v="1"/>
    <x v="1486"/>
    <x v="83"/>
    <x v="16"/>
    <n v="10"/>
    <x v="0"/>
    <n v="1"/>
    <x v="1"/>
    <n v="0"/>
  </r>
  <r>
    <s v="C1488"/>
    <n v="50"/>
    <x v="1"/>
    <n v="0"/>
    <x v="0"/>
    <n v="2"/>
    <x v="13"/>
    <n v="4"/>
    <x v="1487"/>
    <x v="91"/>
    <x v="69"/>
    <n v="0"/>
    <x v="0"/>
    <n v="1"/>
    <x v="0"/>
    <n v="1"/>
  </r>
  <r>
    <s v="C1489"/>
    <n v="34"/>
    <x v="0"/>
    <n v="1"/>
    <x v="1"/>
    <n v="4"/>
    <x v="3"/>
    <n v="2"/>
    <x v="1488"/>
    <x v="2"/>
    <x v="24"/>
    <n v="24"/>
    <x v="1"/>
    <n v="2"/>
    <x v="0"/>
    <n v="1"/>
  </r>
  <r>
    <s v="C1490"/>
    <n v="23"/>
    <x v="1"/>
    <n v="0"/>
    <x v="0"/>
    <n v="2"/>
    <x v="0"/>
    <n v="4"/>
    <x v="1489"/>
    <x v="24"/>
    <x v="53"/>
    <n v="41"/>
    <x v="1"/>
    <n v="2"/>
    <x v="0"/>
    <n v="1"/>
  </r>
  <r>
    <s v="C1491"/>
    <n v="32"/>
    <x v="1"/>
    <n v="0"/>
    <x v="3"/>
    <n v="3"/>
    <x v="15"/>
    <n v="4"/>
    <x v="1490"/>
    <x v="2"/>
    <x v="62"/>
    <n v="51"/>
    <x v="1"/>
    <n v="2"/>
    <x v="1"/>
    <n v="0"/>
  </r>
  <r>
    <s v="C1492"/>
    <n v="43"/>
    <x v="0"/>
    <n v="1"/>
    <x v="0"/>
    <n v="2"/>
    <x v="8"/>
    <n v="3"/>
    <x v="1491"/>
    <x v="53"/>
    <x v="61"/>
    <n v="23"/>
    <x v="1"/>
    <n v="2"/>
    <x v="1"/>
    <n v="0"/>
  </r>
  <r>
    <s v="C1493"/>
    <n v="39"/>
    <x v="1"/>
    <n v="0"/>
    <x v="0"/>
    <n v="2"/>
    <x v="14"/>
    <n v="3"/>
    <x v="1492"/>
    <x v="55"/>
    <x v="94"/>
    <n v="52"/>
    <x v="1"/>
    <n v="2"/>
    <x v="1"/>
    <n v="0"/>
  </r>
  <r>
    <s v="C1494"/>
    <n v="43"/>
    <x v="0"/>
    <n v="1"/>
    <x v="0"/>
    <n v="2"/>
    <x v="5"/>
    <n v="4"/>
    <x v="1493"/>
    <x v="77"/>
    <x v="21"/>
    <n v="55"/>
    <x v="0"/>
    <n v="1"/>
    <x v="1"/>
    <n v="0"/>
  </r>
  <r>
    <s v="C1495"/>
    <n v="34"/>
    <x v="0"/>
    <n v="1"/>
    <x v="2"/>
    <n v="1"/>
    <x v="4"/>
    <n v="2"/>
    <x v="1494"/>
    <x v="53"/>
    <x v="35"/>
    <n v="62"/>
    <x v="0"/>
    <n v="1"/>
    <x v="1"/>
    <n v="0"/>
  </r>
  <r>
    <s v="C1496"/>
    <n v="48"/>
    <x v="1"/>
    <n v="0"/>
    <x v="0"/>
    <n v="2"/>
    <x v="2"/>
    <n v="4"/>
    <x v="1495"/>
    <x v="54"/>
    <x v="6"/>
    <n v="80"/>
    <x v="2"/>
    <n v="3"/>
    <x v="0"/>
    <n v="1"/>
  </r>
  <r>
    <s v="C1497"/>
    <n v="27"/>
    <x v="0"/>
    <n v="1"/>
    <x v="0"/>
    <n v="2"/>
    <x v="15"/>
    <n v="3"/>
    <x v="1496"/>
    <x v="39"/>
    <x v="67"/>
    <n v="7"/>
    <x v="1"/>
    <n v="2"/>
    <x v="1"/>
    <n v="0"/>
  </r>
  <r>
    <s v="C1498"/>
    <n v="24"/>
    <x v="0"/>
    <n v="1"/>
    <x v="2"/>
    <n v="1"/>
    <x v="10"/>
    <n v="2"/>
    <x v="1497"/>
    <x v="97"/>
    <x v="74"/>
    <n v="58"/>
    <x v="0"/>
    <n v="1"/>
    <x v="0"/>
    <n v="1"/>
  </r>
  <r>
    <s v="C1499"/>
    <n v="48"/>
    <x v="1"/>
    <n v="0"/>
    <x v="0"/>
    <n v="2"/>
    <x v="13"/>
    <n v="4"/>
    <x v="1498"/>
    <x v="51"/>
    <x v="42"/>
    <n v="44"/>
    <x v="1"/>
    <n v="2"/>
    <x v="0"/>
    <n v="1"/>
  </r>
  <r>
    <s v="C1500"/>
    <n v="34"/>
    <x v="0"/>
    <n v="1"/>
    <x v="0"/>
    <n v="2"/>
    <x v="14"/>
    <n v="5"/>
    <x v="1499"/>
    <x v="81"/>
    <x v="40"/>
    <n v="26"/>
    <x v="1"/>
    <n v="2"/>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290DF8-5337-40EC-ADA3-9BFF5833C221}" name="Experienc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Experience Range">
  <location ref="G5:H11" firstHeaderRow="1" firstDataRow="1" firstDataCol="1"/>
  <pivotFields count="16">
    <pivotField showAll="0"/>
    <pivotField showAll="0"/>
    <pivotField showAll="0">
      <items count="3">
        <item x="0"/>
        <item x="1"/>
        <item t="default"/>
      </items>
    </pivotField>
    <pivotField showAll="0"/>
    <pivotField showAll="0">
      <items count="5">
        <item x="2"/>
        <item x="0"/>
        <item x="3"/>
        <item x="1"/>
        <item t="default"/>
      </items>
    </pivotField>
    <pivotField showAll="0"/>
    <pivotField axis="axisRow" showAll="0">
      <items count="8">
        <item x="0"/>
        <item x="1"/>
        <item x="2"/>
        <item x="3"/>
        <item x="4"/>
        <item x="5"/>
        <item x="6"/>
        <item t="default"/>
      </items>
    </pivotField>
    <pivotField showAll="0"/>
    <pivotField showAll="0"/>
    <pivotField showAll="0"/>
    <pivotField showAll="0"/>
    <pivotField showAll="0"/>
    <pivotField showAll="0">
      <items count="4">
        <item x="0"/>
        <item x="2"/>
        <item x="1"/>
        <item t="default"/>
      </items>
    </pivotField>
    <pivotField showAll="0"/>
    <pivotField showAll="0">
      <items count="3">
        <item x="0"/>
        <item x="1"/>
        <item t="default"/>
      </items>
    </pivotField>
    <pivotField dataField="1" showAll="0"/>
  </pivotFields>
  <rowFields count="1">
    <field x="6"/>
  </rowFields>
  <rowItems count="6">
    <i>
      <x v="1"/>
    </i>
    <i>
      <x v="2"/>
    </i>
    <i>
      <x v="3"/>
    </i>
    <i>
      <x v="4"/>
    </i>
    <i>
      <x v="5"/>
    </i>
    <i t="grand">
      <x/>
    </i>
  </rowItems>
  <colItems count="1">
    <i/>
  </colItems>
  <dataFields count="1">
    <dataField name="Candidates" fld="15" subtotal="count" baseField="5" baseItem="0"/>
  </dataFields>
  <formats count="12">
    <format dxfId="81">
      <pivotArea type="all" dataOnly="0" outline="0" fieldPosition="0"/>
    </format>
    <format dxfId="80">
      <pivotArea outline="0" collapsedLevelsAreSubtotals="1" fieldPosition="0"/>
    </format>
    <format dxfId="79">
      <pivotArea field="6" type="button" dataOnly="0" labelOnly="1" outline="0" axis="axisRow" fieldPosition="0"/>
    </format>
    <format dxfId="78">
      <pivotArea dataOnly="0" labelOnly="1" fieldPosition="0">
        <references count="1">
          <reference field="6" count="5">
            <x v="1"/>
            <x v="2"/>
            <x v="3"/>
            <x v="4"/>
            <x v="5"/>
          </reference>
        </references>
      </pivotArea>
    </format>
    <format dxfId="77">
      <pivotArea dataOnly="0" labelOnly="1" grandRow="1" outline="0" fieldPosition="0"/>
    </format>
    <format dxfId="76">
      <pivotArea dataOnly="0" labelOnly="1" outline="0" axis="axisValues" fieldPosition="0"/>
    </format>
    <format dxfId="75">
      <pivotArea type="all" dataOnly="0" outline="0" fieldPosition="0"/>
    </format>
    <format dxfId="74">
      <pivotArea outline="0" collapsedLevelsAreSubtotals="1" fieldPosition="0"/>
    </format>
    <format dxfId="73">
      <pivotArea field="6" type="button" dataOnly="0" labelOnly="1" outline="0" axis="axisRow" fieldPosition="0"/>
    </format>
    <format dxfId="72">
      <pivotArea dataOnly="0" labelOnly="1" fieldPosition="0">
        <references count="1">
          <reference field="6" count="5">
            <x v="1"/>
            <x v="2"/>
            <x v="3"/>
            <x v="4"/>
            <x v="5"/>
          </reference>
        </references>
      </pivotArea>
    </format>
    <format dxfId="71">
      <pivotArea dataOnly="0" labelOnly="1" grandRow="1" outline="0" fieldPosition="0"/>
    </format>
    <format dxfId="7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9C35E2-A098-4828-A198-C123CE8C14E9}" name="Interview"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Interview Scores">
  <location ref="D12:E18" firstHeaderRow="1" firstDataRow="1" firstDataCol="1"/>
  <pivotFields count="16">
    <pivotField showAll="0"/>
    <pivotField showAll="0"/>
    <pivotField showAll="0">
      <items count="3">
        <item x="0"/>
        <item x="1"/>
        <item t="default"/>
      </items>
    </pivotField>
    <pivotField showAll="0"/>
    <pivotField showAll="0">
      <items count="5">
        <item x="2"/>
        <item x="0"/>
        <item x="3"/>
        <item x="1"/>
        <item t="default"/>
      </items>
    </pivotField>
    <pivotField showAll="0"/>
    <pivotField showAll="0"/>
    <pivotField showAll="0"/>
    <pivotField showAll="0"/>
    <pivotField axis="axisRow" showAll="0">
      <items count="8">
        <item x="0"/>
        <item x="1"/>
        <item x="2"/>
        <item x="3"/>
        <item x="4"/>
        <item x="5"/>
        <item x="6"/>
        <item t="default"/>
      </items>
    </pivotField>
    <pivotField showAll="0"/>
    <pivotField showAll="0"/>
    <pivotField showAll="0">
      <items count="4">
        <item x="0"/>
        <item x="2"/>
        <item x="1"/>
        <item t="default"/>
      </items>
    </pivotField>
    <pivotField showAll="0"/>
    <pivotField showAll="0">
      <items count="3">
        <item x="0"/>
        <item x="1"/>
        <item t="default"/>
      </items>
    </pivotField>
    <pivotField dataField="1" showAll="0"/>
  </pivotFields>
  <rowFields count="1">
    <field x="9"/>
  </rowFields>
  <rowItems count="6">
    <i>
      <x v="1"/>
    </i>
    <i>
      <x v="2"/>
    </i>
    <i>
      <x v="3"/>
    </i>
    <i>
      <x v="4"/>
    </i>
    <i>
      <x v="5"/>
    </i>
    <i t="grand">
      <x/>
    </i>
  </rowItems>
  <colItems count="1">
    <i/>
  </colItems>
  <dataFields count="1">
    <dataField name="Candidates" fld="15" subtotal="count" baseField="8" baseItem="1"/>
  </dataFields>
  <formats count="12">
    <format dxfId="93">
      <pivotArea type="all" dataOnly="0" outline="0" fieldPosition="0"/>
    </format>
    <format dxfId="92">
      <pivotArea outline="0" collapsedLevelsAreSubtotals="1" fieldPosition="0"/>
    </format>
    <format dxfId="91">
      <pivotArea field="9" type="button" dataOnly="0" labelOnly="1" outline="0" axis="axisRow" fieldPosition="0"/>
    </format>
    <format dxfId="90">
      <pivotArea dataOnly="0" labelOnly="1" fieldPosition="0">
        <references count="1">
          <reference field="9" count="5">
            <x v="1"/>
            <x v="2"/>
            <x v="3"/>
            <x v="4"/>
            <x v="5"/>
          </reference>
        </references>
      </pivotArea>
    </format>
    <format dxfId="89">
      <pivotArea dataOnly="0" labelOnly="1" grandRow="1" outline="0" fieldPosition="0"/>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9" type="button" dataOnly="0" labelOnly="1" outline="0" axis="axisRow" fieldPosition="0"/>
    </format>
    <format dxfId="84">
      <pivotArea dataOnly="0" labelOnly="1" fieldPosition="0">
        <references count="1">
          <reference field="9" count="5">
            <x v="1"/>
            <x v="2"/>
            <x v="3"/>
            <x v="4"/>
            <x v="5"/>
          </reference>
        </references>
      </pivotArea>
    </format>
    <format dxfId="83">
      <pivotArea dataOnly="0" labelOnly="1" grandRow="1" outline="0" fieldPosition="0"/>
    </format>
    <format dxfId="8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F15937-B623-4873-9A51-90F5DD75AE4C}" name="Strateg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Recruitment Strategy">
  <location ref="D5:E9" firstHeaderRow="1" firstDataRow="1" firstDataCol="1"/>
  <pivotFields count="16">
    <pivotField showAll="0"/>
    <pivotField showAll="0"/>
    <pivotField showAll="0">
      <items count="3">
        <item x="0"/>
        <item x="1"/>
        <item t="default"/>
      </items>
    </pivotField>
    <pivotField showAll="0"/>
    <pivotField showAll="0">
      <items count="5">
        <item x="2"/>
        <item x="0"/>
        <item x="3"/>
        <item x="1"/>
        <item t="default"/>
      </items>
    </pivotField>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items count="3">
        <item x="0"/>
        <item x="1"/>
        <item t="default"/>
      </items>
    </pivotField>
    <pivotField dataField="1" showAll="0"/>
  </pivotFields>
  <rowFields count="1">
    <field x="12"/>
  </rowFields>
  <rowItems count="4">
    <i>
      <x/>
    </i>
    <i>
      <x v="1"/>
    </i>
    <i>
      <x v="2"/>
    </i>
    <i t="grand">
      <x/>
    </i>
  </rowItems>
  <colItems count="1">
    <i/>
  </colItems>
  <dataFields count="1">
    <dataField name="Candidates" fld="15" subtotal="count" baseField="11" baseItem="0"/>
  </dataFields>
  <formats count="12">
    <format dxfId="105">
      <pivotArea type="all" dataOnly="0" outline="0" fieldPosition="0"/>
    </format>
    <format dxfId="104">
      <pivotArea outline="0" collapsedLevelsAreSubtotals="1" fieldPosition="0"/>
    </format>
    <format dxfId="103">
      <pivotArea field="12" type="button" dataOnly="0" labelOnly="1" outline="0" axis="axisRow" fieldPosition="0"/>
    </format>
    <format dxfId="102">
      <pivotArea dataOnly="0" labelOnly="1" fieldPosition="0">
        <references count="1">
          <reference field="12" count="0"/>
        </references>
      </pivotArea>
    </format>
    <format dxfId="101">
      <pivotArea dataOnly="0" labelOnly="1" grandRow="1" outline="0"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12" type="button" dataOnly="0" labelOnly="1" outline="0" axis="axisRow" fieldPosition="0"/>
    </format>
    <format dxfId="96">
      <pivotArea dataOnly="0" labelOnly="1" fieldPosition="0">
        <references count="1">
          <reference field="12" count="0"/>
        </references>
      </pivotArea>
    </format>
    <format dxfId="95">
      <pivotArea dataOnly="0" labelOnly="1" grandRow="1" outline="0" fieldPosition="0"/>
    </format>
    <format dxfId="9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732AF8-2143-44BD-960F-E94910588756}" name="Educ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Education Level">
  <location ref="A14:B19" firstHeaderRow="1" firstDataRow="1" firstDataCol="1" rowPageCount="1" colPageCount="1"/>
  <pivotFields count="16">
    <pivotField showAll="0"/>
    <pivotField showAll="0"/>
    <pivotField showAll="0">
      <items count="3">
        <item x="0"/>
        <item x="1"/>
        <item t="default"/>
      </items>
    </pivotField>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showAll="0">
      <items count="4">
        <item x="0"/>
        <item x="2"/>
        <item x="1"/>
        <item t="default"/>
      </items>
    </pivotField>
    <pivotField showAll="0"/>
    <pivotField axis="axisPage" multipleItemSelectionAllowed="1" showAll="0">
      <items count="3">
        <item x="0"/>
        <item x="1"/>
        <item t="default"/>
      </items>
    </pivotField>
    <pivotField dataField="1" showAll="0"/>
  </pivotFields>
  <rowFields count="1">
    <field x="4"/>
  </rowFields>
  <rowItems count="5">
    <i>
      <x/>
    </i>
    <i>
      <x v="1"/>
    </i>
    <i>
      <x v="2"/>
    </i>
    <i>
      <x v="3"/>
    </i>
    <i t="grand">
      <x/>
    </i>
  </rowItems>
  <colItems count="1">
    <i/>
  </colItems>
  <pageFields count="1">
    <pageField fld="14" hier="-1"/>
  </pageFields>
  <dataFields count="1">
    <dataField name="Candidates" fld="15" subtotal="count" baseField="3" baseItem="0"/>
  </dataFields>
  <formats count="24">
    <format dxfId="129">
      <pivotArea type="all" dataOnly="0" outline="0" fieldPosition="0"/>
    </format>
    <format dxfId="128">
      <pivotArea outline="0" collapsedLevelsAreSubtotals="1" fieldPosition="0"/>
    </format>
    <format dxfId="127">
      <pivotArea field="4" type="button" dataOnly="0" labelOnly="1" outline="0" axis="axisRow" fieldPosition="0"/>
    </format>
    <format dxfId="126">
      <pivotArea dataOnly="0" labelOnly="1" fieldPosition="0">
        <references count="1">
          <reference field="4" count="0"/>
        </references>
      </pivotArea>
    </format>
    <format dxfId="125">
      <pivotArea dataOnly="0" labelOnly="1" grandRow="1" outline="0" fieldPosition="0"/>
    </format>
    <format dxfId="124">
      <pivotArea dataOnly="0" labelOnly="1" outline="0" axis="axisValues" fieldPosition="0"/>
    </format>
    <format dxfId="123">
      <pivotArea type="all" dataOnly="0" outline="0" fieldPosition="0"/>
    </format>
    <format dxfId="122">
      <pivotArea outline="0" collapsedLevelsAreSubtotals="1" fieldPosition="0"/>
    </format>
    <format dxfId="121">
      <pivotArea field="4" type="button" dataOnly="0" labelOnly="1" outline="0" axis="axisRow" fieldPosition="0"/>
    </format>
    <format dxfId="120">
      <pivotArea dataOnly="0" labelOnly="1" fieldPosition="0">
        <references count="1">
          <reference field="4" count="0"/>
        </references>
      </pivotArea>
    </format>
    <format dxfId="119">
      <pivotArea dataOnly="0" labelOnly="1" grandRow="1" outline="0"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field="4" type="button" dataOnly="0" labelOnly="1" outline="0" axis="axisRow" fieldPosition="0"/>
    </format>
    <format dxfId="114">
      <pivotArea dataOnly="0" labelOnly="1" fieldPosition="0">
        <references count="1">
          <reference field="4" count="0"/>
        </references>
      </pivotArea>
    </format>
    <format dxfId="113">
      <pivotArea dataOnly="0" labelOnly="1" grandRow="1" outline="0"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field="4" type="button" dataOnly="0" labelOnly="1" outline="0" axis="axisRow" fieldPosition="0"/>
    </format>
    <format dxfId="108">
      <pivotArea dataOnly="0" labelOnly="1" outline="0" axis="axisValues" fieldPosition="0"/>
    </format>
    <format dxfId="107">
      <pivotArea dataOnly="0" labelOnly="1" fieldPosition="0">
        <references count="1">
          <reference field="4" count="0"/>
        </references>
      </pivotArea>
    </format>
    <format dxfId="106">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B6963B-4480-43BA-8465-EA2D6765333F}" name="Skill Sco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Skill Score">
  <location ref="G14:H19" firstHeaderRow="1" firstDataRow="1" firstDataCol="1"/>
  <pivotFields count="16">
    <pivotField showAll="0"/>
    <pivotField showAll="0"/>
    <pivotField showAll="0">
      <items count="3">
        <item x="0"/>
        <item x="1"/>
        <item t="default"/>
      </items>
    </pivotField>
    <pivotField showAll="0"/>
    <pivotField showAll="0">
      <items count="5">
        <item x="2"/>
        <item x="0"/>
        <item x="3"/>
        <item x="1"/>
        <item t="default"/>
      </items>
    </pivotField>
    <pivotField showAll="0"/>
    <pivotField showAll="0"/>
    <pivotField showAll="0"/>
    <pivotField showAll="0"/>
    <pivotField showAll="0"/>
    <pivotField axis="axisRow" showAll="0">
      <items count="7">
        <item x="0"/>
        <item x="1"/>
        <item x="2"/>
        <item x="3"/>
        <item x="4"/>
        <item x="5"/>
        <item t="default"/>
      </items>
    </pivotField>
    <pivotField showAll="0"/>
    <pivotField showAll="0">
      <items count="4">
        <item x="0"/>
        <item x="2"/>
        <item x="1"/>
        <item t="default"/>
      </items>
    </pivotField>
    <pivotField showAll="0"/>
    <pivotField showAll="0">
      <items count="3">
        <item x="0"/>
        <item x="1"/>
        <item t="default"/>
      </items>
    </pivotField>
    <pivotField dataField="1" showAll="0"/>
  </pivotFields>
  <rowFields count="1">
    <field x="10"/>
  </rowFields>
  <rowItems count="5">
    <i>
      <x v="1"/>
    </i>
    <i>
      <x v="2"/>
    </i>
    <i>
      <x v="3"/>
    </i>
    <i>
      <x v="4"/>
    </i>
    <i t="grand">
      <x/>
    </i>
  </rowItems>
  <colItems count="1">
    <i/>
  </colItems>
  <dataFields count="1">
    <dataField name="Candidates" fld="15" subtotal="average" baseField="9" baseItem="0"/>
  </dataFields>
  <formats count="12">
    <format dxfId="141">
      <pivotArea type="all" dataOnly="0" outline="0" fieldPosition="0"/>
    </format>
    <format dxfId="140">
      <pivotArea outline="0" collapsedLevelsAreSubtotals="1" fieldPosition="0"/>
    </format>
    <format dxfId="139">
      <pivotArea field="10" type="button" dataOnly="0" labelOnly="1" outline="0" axis="axisRow" fieldPosition="0"/>
    </format>
    <format dxfId="138">
      <pivotArea dataOnly="0" labelOnly="1" fieldPosition="0">
        <references count="1">
          <reference field="10" count="4">
            <x v="1"/>
            <x v="2"/>
            <x v="3"/>
            <x v="4"/>
          </reference>
        </references>
      </pivotArea>
    </format>
    <format dxfId="137">
      <pivotArea dataOnly="0" labelOnly="1" grandRow="1" outline="0" fieldPosition="0"/>
    </format>
    <format dxfId="136">
      <pivotArea dataOnly="0" labelOnly="1" outline="0" axis="axisValues" fieldPosition="0"/>
    </format>
    <format dxfId="135">
      <pivotArea type="all" dataOnly="0" outline="0" fieldPosition="0"/>
    </format>
    <format dxfId="134">
      <pivotArea outline="0" collapsedLevelsAreSubtotals="1" fieldPosition="0"/>
    </format>
    <format dxfId="133">
      <pivotArea field="10" type="button" dataOnly="0" labelOnly="1" outline="0" axis="axisRow" fieldPosition="0"/>
    </format>
    <format dxfId="132">
      <pivotArea dataOnly="0" labelOnly="1" fieldPosition="0">
        <references count="1">
          <reference field="10" count="4">
            <x v="1"/>
            <x v="2"/>
            <x v="3"/>
            <x v="4"/>
          </reference>
        </references>
      </pivotArea>
    </format>
    <format dxfId="131">
      <pivotArea dataOnly="0" labelOnly="1" grandRow="1" outline="0" fieldPosition="0"/>
    </format>
    <format dxfId="1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7575E2-EA69-4077-872A-5F7B4D1A8EB1}"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licers">
  <location ref="R1:R83" firstHeaderRow="1" firstDataRow="1" firstDataCol="1"/>
  <pivotFields count="16">
    <pivotField showAll="0"/>
    <pivotField showAll="0"/>
    <pivotField axis="axisRow" showAll="0">
      <items count="3">
        <item x="0"/>
        <item x="1"/>
        <item t="default"/>
      </items>
    </pivotField>
    <pivotField showAll="0"/>
    <pivotField axis="axisRow" showAll="0">
      <items count="5">
        <item x="2"/>
        <item x="0"/>
        <item x="3"/>
        <item x="1"/>
        <item t="default"/>
      </items>
    </pivotField>
    <pivotField showAll="0"/>
    <pivotField showAll="0"/>
    <pivotField showAll="0"/>
    <pivotField showAll="0"/>
    <pivotField showAll="0"/>
    <pivotField showAll="0"/>
    <pivotField showAll="0"/>
    <pivotField axis="axisRow" showAll="0">
      <items count="4">
        <item x="0"/>
        <item x="2"/>
        <item x="1"/>
        <item t="default"/>
      </items>
    </pivotField>
    <pivotField showAll="0"/>
    <pivotField axis="axisRow" showAll="0">
      <items count="3">
        <item x="0"/>
        <item x="1"/>
        <item t="default"/>
      </items>
    </pivotField>
    <pivotField showAll="0"/>
  </pivotFields>
  <rowFields count="4">
    <field x="2"/>
    <field x="4"/>
    <field x="12"/>
    <field x="14"/>
  </rowFields>
  <rowItems count="82">
    <i>
      <x/>
    </i>
    <i r="1">
      <x/>
    </i>
    <i r="2">
      <x/>
    </i>
    <i r="3">
      <x/>
    </i>
    <i r="3">
      <x v="1"/>
    </i>
    <i r="2">
      <x v="1"/>
    </i>
    <i r="3">
      <x v="1"/>
    </i>
    <i r="2">
      <x v="2"/>
    </i>
    <i r="3">
      <x/>
    </i>
    <i r="3">
      <x v="1"/>
    </i>
    <i r="1">
      <x v="1"/>
    </i>
    <i r="2">
      <x/>
    </i>
    <i r="3">
      <x/>
    </i>
    <i r="3">
      <x v="1"/>
    </i>
    <i r="2">
      <x v="1"/>
    </i>
    <i r="3">
      <x/>
    </i>
    <i r="3">
      <x v="1"/>
    </i>
    <i r="2">
      <x v="2"/>
    </i>
    <i r="3">
      <x/>
    </i>
    <i r="3">
      <x v="1"/>
    </i>
    <i r="1">
      <x v="2"/>
    </i>
    <i r="2">
      <x/>
    </i>
    <i r="3">
      <x/>
    </i>
    <i r="3">
      <x v="1"/>
    </i>
    <i r="2">
      <x v="1"/>
    </i>
    <i r="3">
      <x/>
    </i>
    <i r="3">
      <x v="1"/>
    </i>
    <i r="2">
      <x v="2"/>
    </i>
    <i r="3">
      <x/>
    </i>
    <i r="3">
      <x v="1"/>
    </i>
    <i r="1">
      <x v="3"/>
    </i>
    <i r="2">
      <x/>
    </i>
    <i r="3">
      <x/>
    </i>
    <i r="3">
      <x v="1"/>
    </i>
    <i r="2">
      <x v="1"/>
    </i>
    <i r="3">
      <x/>
    </i>
    <i r="3">
      <x v="1"/>
    </i>
    <i r="2">
      <x v="2"/>
    </i>
    <i r="3">
      <x/>
    </i>
    <i r="3">
      <x v="1"/>
    </i>
    <i>
      <x v="1"/>
    </i>
    <i r="1">
      <x/>
    </i>
    <i r="2">
      <x/>
    </i>
    <i r="3">
      <x/>
    </i>
    <i r="3">
      <x v="1"/>
    </i>
    <i r="2">
      <x v="1"/>
    </i>
    <i r="3">
      <x/>
    </i>
    <i r="3">
      <x v="1"/>
    </i>
    <i r="2">
      <x v="2"/>
    </i>
    <i r="3">
      <x/>
    </i>
    <i r="3">
      <x v="1"/>
    </i>
    <i r="1">
      <x v="1"/>
    </i>
    <i r="2">
      <x/>
    </i>
    <i r="3">
      <x/>
    </i>
    <i r="3">
      <x v="1"/>
    </i>
    <i r="2">
      <x v="1"/>
    </i>
    <i r="3">
      <x/>
    </i>
    <i r="3">
      <x v="1"/>
    </i>
    <i r="2">
      <x v="2"/>
    </i>
    <i r="3">
      <x/>
    </i>
    <i r="3">
      <x v="1"/>
    </i>
    <i r="1">
      <x v="2"/>
    </i>
    <i r="2">
      <x/>
    </i>
    <i r="3">
      <x/>
    </i>
    <i r="3">
      <x v="1"/>
    </i>
    <i r="2">
      <x v="1"/>
    </i>
    <i r="3">
      <x/>
    </i>
    <i r="3">
      <x v="1"/>
    </i>
    <i r="2">
      <x v="2"/>
    </i>
    <i r="3">
      <x/>
    </i>
    <i r="3">
      <x v="1"/>
    </i>
    <i r="1">
      <x v="3"/>
    </i>
    <i r="2">
      <x/>
    </i>
    <i r="3">
      <x/>
    </i>
    <i r="3">
      <x v="1"/>
    </i>
    <i r="2">
      <x v="1"/>
    </i>
    <i r="3">
      <x/>
    </i>
    <i r="3">
      <x v="1"/>
    </i>
    <i r="2">
      <x v="2"/>
    </i>
    <i r="3">
      <x/>
    </i>
    <i r="3">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1999B30-5767-48C8-9DE8-87B9497FA7DA}" autoFormatId="16" applyNumberFormats="0" applyBorderFormats="0" applyFontFormats="0" applyPatternFormats="0" applyAlignmentFormats="0" applyWidthHeightFormats="0">
  <queryTableRefresh nextId="18" unboundColumnsLeft="1">
    <queryTableFields count="16">
      <queryTableField id="17" dataBound="0" tableColumnId="16"/>
      <queryTableField id="1" name="Age" tableColumnId="1"/>
      <queryTableField id="12" dataBound="0" tableColumnId="12"/>
      <queryTableField id="2" name="Gender" tableColumnId="2"/>
      <queryTableField id="13" dataBound="0" tableColumnId="13"/>
      <queryTableField id="3" name="EducationLevel" tableColumnId="3"/>
      <queryTableField id="4" name="ExperienceYears" tableColumnId="4"/>
      <queryTableField id="5" name="PreviousCompanies" tableColumnId="5"/>
      <queryTableField id="6" name="DistanceFromCompany" tableColumnId="6"/>
      <queryTableField id="7" name="InterviewScore" tableColumnId="7"/>
      <queryTableField id="8" name="SkillScore" tableColumnId="8"/>
      <queryTableField id="9" name="PersonalityScore" tableColumnId="9"/>
      <queryTableField id="14" dataBound="0" tableColumnId="14"/>
      <queryTableField id="10" name="RecruitmentStrategy" tableColumnId="10"/>
      <queryTableField id="15" dataBound="0" tableColumnId="15"/>
      <queryTableField id="11" name="HiringDecision"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ing_Status" xr10:uid="{76240B6D-5919-4B8D-9AE3-0ED151040C2B}" sourceName="Hiring Status">
  <pivotTables>
    <pivotTable tabId="4" name="PivotTable14"/>
    <pivotTable tabId="6" name="Education"/>
    <pivotTable tabId="6" name="Experience"/>
    <pivotTable tabId="6" name="Interview"/>
    <pivotTable tabId="6" name="Skill Score"/>
    <pivotTable tabId="6" name="Strategy"/>
  </pivotTables>
  <data>
    <tabular pivotCacheId="88476354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ruitment_Strategy" xr10:uid="{FD048EFF-2ECE-49BA-B983-F92F383D4FDA}" sourceName="Recruitment Strategy">
  <pivotTables>
    <pivotTable tabId="4" name="PivotTable14"/>
    <pivotTable tabId="6" name="Education"/>
    <pivotTable tabId="6" name="Experience"/>
    <pivotTable tabId="6" name="Interview"/>
    <pivotTable tabId="6" name="Skill Score"/>
    <pivotTable tabId="6" name="Strategy"/>
  </pivotTables>
  <data>
    <tabular pivotCacheId="88476354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_Label" xr10:uid="{867E61BD-34B4-4683-B239-8CF1F39DDBA6}" sourceName="Education Label">
  <pivotTables>
    <pivotTable tabId="4" name="PivotTable14"/>
    <pivotTable tabId="6" name="Education"/>
    <pivotTable tabId="6" name="Experience"/>
    <pivotTable tabId="6" name="Interview"/>
    <pivotTable tabId="6" name="Skill Score"/>
    <pivotTable tabId="6" name="Strategy"/>
  </pivotTables>
  <data>
    <tabular pivotCacheId="884763544">
      <items count="4">
        <i x="2" s="1"/>
        <i x="0"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Label" xr10:uid="{E62F7371-9077-40BB-96C0-3335B330EBAC}" sourceName="Gender Label">
  <pivotTables>
    <pivotTable tabId="4" name="PivotTable14"/>
    <pivotTable tabId="6" name="Education"/>
    <pivotTable tabId="6" name="Experience"/>
    <pivotTable tabId="6" name="Interview"/>
    <pivotTable tabId="6" name="Skill Score"/>
    <pivotTable tabId="6" name="Strategy"/>
  </pivotTables>
  <data>
    <tabular pivotCacheId="88476354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iring Status" xr10:uid="{89E12E07-983A-4031-A38E-5FF1460B192C}" cache="Slicer_Hiring_Status" caption="Hiring Status" rowHeight="241300"/>
  <slicer name="Recruitment Strategy" xr10:uid="{F75B5AF2-F3EB-4803-B448-FB30C88DD510}" cache="Slicer_Recruitment_Strategy" caption="Recruitment Strategy" rowHeight="241300"/>
  <slicer name="Education Label" xr10:uid="{2FC04AF4-8D4B-412A-999A-02A651916961}" cache="Slicer_Education_Label" caption="Education Label" rowHeight="241300"/>
  <slicer name="Gender Label" xr10:uid="{9827C77C-3769-47D9-AE35-52D2C14A28BD}" cache="Slicer_Gender_Label" caption="Gender Label" rowHeight="24130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5D4C2-9BFB-49BD-9218-0DFA566DE1FB}" name="KPI" displayName="KPI" ref="A5:B9" totalsRowShown="0" headerRowDxfId="69" headerRowBorderDxfId="68" tableBorderDxfId="67" totalsRowBorderDxfId="66">
  <autoFilter ref="A5:B9" xr:uid="{0475D4C2-9BFB-49BD-9218-0DFA566DE1FB}"/>
  <tableColumns count="2">
    <tableColumn id="1" xr3:uid="{4DB005C9-E5D3-4CD7-AF4A-B3050DB2E790}" name="KPI" dataDxfId="65"/>
    <tableColumn id="2" xr3:uid="{2FF95229-B9FF-4282-B248-D87B36B942EC}" name="Values" dataDxfId="64">
      <calculatedColumnFormula>COUNTA(recruitment_data3[Age])</calculatedColumnFormula>
    </tableColumn>
  </tableColumns>
  <tableStyleInfo name="TableStyleMedium2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4D794B-0761-48B5-8F80-090D6A36A596}" name="Table5" displayName="Table5" ref="J5:K9" totalsRowShown="0" headerRowDxfId="63" headerRowBorderDxfId="62" tableBorderDxfId="61" totalsRowBorderDxfId="60">
  <autoFilter ref="J5:K9" xr:uid="{3C4D794B-0761-48B5-8F80-090D6A36A596}"/>
  <tableColumns count="2">
    <tableColumn id="1" xr3:uid="{757B8BE7-2677-47C5-887D-75B0D58D9B21}" name="Stages" dataDxfId="59"/>
    <tableColumn id="2" xr3:uid="{DCFCDB75-F005-47FA-8571-57167C29EF13}" name="Count" dataDxfId="58"/>
  </tableColumns>
  <tableStyleInfo name="TableStyleMedium2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FDA2F2-5393-4A3C-A1B3-BEC7E382B742}" name="CandidateAnalyzerMetrics" displayName="CandidateAnalyzerMetrics" ref="A22:B25" totalsRowShown="0" headerRowDxfId="49" dataDxfId="47" headerRowBorderDxfId="48" tableBorderDxfId="46" totalsRowBorderDxfId="45">
  <autoFilter ref="A22:B25" xr:uid="{2EFDA2F2-5393-4A3C-A1B3-BEC7E382B742}"/>
  <tableColumns count="2">
    <tableColumn id="1" xr3:uid="{B137F44E-F261-4093-8385-0ADD0A4214D9}" name="Metrics" dataDxfId="44"/>
    <tableColumn id="2" xr3:uid="{554495B6-8809-424D-A560-EC3F45B9E82A}" name="Score" dataDxfId="43">
      <calculatedColumnFormula>B10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0317C7B-E39B-4DE4-8366-D25D52B84142}" name="Table4" displayName="Table4" ref="A38:C54" totalsRowShown="0" headerRowDxfId="42" dataDxfId="40" headerRowBorderDxfId="41" tableBorderDxfId="39" totalsRowBorderDxfId="38">
  <autoFilter ref="A38:C54" xr:uid="{50317C7B-E39B-4DE4-8366-D25D52B84142}"/>
  <tableColumns count="3">
    <tableColumn id="1" xr3:uid="{9D0B0BE4-A45D-4E71-940F-6B29355E5C9F}" name="Parameters" dataDxfId="37"/>
    <tableColumn id="2" xr3:uid="{CBCA60FD-7D13-49DF-8B2E-56BEED70FFE3}" name="Candidate A" dataDxfId="36"/>
    <tableColumn id="3" xr3:uid="{81FEC0AC-AA21-48FA-A48B-72F8EC6DAF94}" name="Candidate B" dataDxfId="3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BF319D-CE02-44FE-A21E-0375BE938846}" name="CandidatecomparisonAnalyzerMetrics7" displayName="CandidatecomparisonAnalyzerMetrics7" ref="A56:C59" totalsRowShown="0" headerRowDxfId="34" dataDxfId="32" headerRowBorderDxfId="33" tableBorderDxfId="31" totalsRowBorderDxfId="30">
  <autoFilter ref="A56:C59" xr:uid="{DEBF319D-CE02-44FE-A21E-0375BE938846}"/>
  <tableColumns count="3">
    <tableColumn id="1" xr3:uid="{6E72D741-72D3-489E-805A-FB0E511E3F63}" name="Metrics" dataDxfId="29"/>
    <tableColumn id="2" xr3:uid="{7042DDEF-F7C3-4CDA-8E77-272928336D46}" name="Candidate A" dataDxfId="28">
      <calculatedColumnFormula>B44</calculatedColumnFormula>
    </tableColumn>
    <tableColumn id="3" xr3:uid="{0B95DCED-717C-4296-A55D-643B6021E23C}" name="Candidate B" dataDxfId="27">
      <calculatedColumnFormula>C44</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7635A25-B693-4C39-8478-516E387C8E8E}" name="CandidateRanking" displayName="CandidateRanking" ref="A29:B31" totalsRowShown="0" headerRowDxfId="26" headerRowBorderDxfId="25" tableBorderDxfId="24" totalsRowBorderDxfId="23">
  <autoFilter ref="A29:B31" xr:uid="{57635A25-B693-4C39-8478-516E387C8E8E}"/>
  <tableColumns count="2">
    <tableColumn id="1" xr3:uid="{69F78D3C-5176-4BFB-8756-2A5F83C5161C}" name="Metrics" dataDxfId="22"/>
    <tableColumn id="2" xr3:uid="{DCCBE5C3-1D23-4AAB-BF74-D39114628223}" name="Values" dataDxfId="2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449D62-0E07-444B-A485-27784157AF78}" name="recruitment_data3" displayName="recruitment_data3" ref="A1:P1501" tableType="queryTable" totalsRowShown="0" headerRowDxfId="20" dataDxfId="18" headerRowBorderDxfId="19" tableBorderDxfId="17" totalsRowBorderDxfId="16">
  <autoFilter ref="A1:P1501" xr:uid="{DB449D62-0E07-444B-A485-27784157AF78}"/>
  <tableColumns count="16">
    <tableColumn id="16" xr3:uid="{D1A7F3FF-BF2B-49AB-8C44-49207B865416}" uniqueName="16" name="Candidate ID" queryTableFieldId="17" dataDxfId="15">
      <calculatedColumnFormula>"C"&amp;TEXT(ROW()-1,"0000")</calculatedColumnFormula>
    </tableColumn>
    <tableColumn id="1" xr3:uid="{AB94E67A-14AB-4E7D-9D85-D69FCBB72C3B}" uniqueName="1" name="Age" queryTableFieldId="1" dataDxfId="14"/>
    <tableColumn id="12" xr3:uid="{E78C2DF6-23A7-47B9-8B22-629AE3FE5C1D}" uniqueName="12" name="Gender Label" queryTableFieldId="12" dataDxfId="13">
      <calculatedColumnFormula>IF(recruitment_data3[[#This Row],[Gender]]=1,"Female","Male")</calculatedColumnFormula>
    </tableColumn>
    <tableColumn id="2" xr3:uid="{75AB3C52-96E9-4932-A3BA-B92D55E59BE1}" uniqueName="2" name="Gender" queryTableFieldId="2" dataDxfId="12"/>
    <tableColumn id="13" xr3:uid="{A5CF6F12-4865-43EF-99D6-E5A8585F16C1}" uniqueName="13" name="Education Label" queryTableFieldId="13" dataDxfId="11">
      <calculatedColumnFormula>_xlfn.SWITCH(recruitment_data3[[#This Row],[EducationLevel]], 1,"Bachelor Type 1", 2,"Bachelor Type 2", 3,"Masters", 4,"PhD")</calculatedColumnFormula>
    </tableColumn>
    <tableColumn id="3" xr3:uid="{D3C9A30E-9A2D-4CF8-AB9D-D87AA3375A1F}" uniqueName="3" name="EducationLevel" queryTableFieldId="3" dataDxfId="10"/>
    <tableColumn id="4" xr3:uid="{D5942AC6-6E39-449D-AD0B-8710DF91E95D}" uniqueName="4" name="ExperienceYears" queryTableFieldId="4" dataDxfId="9"/>
    <tableColumn id="5" xr3:uid="{FC2C4434-F482-40DD-889F-F4DC09C27D6A}" uniqueName="5" name="PreviousCompanies" queryTableFieldId="5" dataDxfId="8"/>
    <tableColumn id="6" xr3:uid="{C08C0404-8FC5-4775-AD29-5C1382FA62EE}" uniqueName="6" name="DistanceFromCompany" queryTableFieldId="6" dataDxfId="7"/>
    <tableColumn id="7" xr3:uid="{48E5BF9A-A9A2-4FDD-965F-0408ADFDDCAA}" uniqueName="7" name="InterviewScore" queryTableFieldId="7" dataDxfId="6"/>
    <tableColumn id="8" xr3:uid="{D5606304-2376-47A8-A2DE-A76A9DD41FF7}" uniqueName="8" name="SkillScore" queryTableFieldId="8" dataDxfId="5"/>
    <tableColumn id="9" xr3:uid="{CE4C67C0-0667-4EAF-BFB3-DA91EC4C26BD}" uniqueName="9" name="PersonalityScore" queryTableFieldId="9" dataDxfId="4"/>
    <tableColumn id="14" xr3:uid="{A7457113-3EC6-4B79-A39D-97AB03763764}" uniqueName="14" name="Recruitment Strategy" queryTableFieldId="14" dataDxfId="3">
      <calculatedColumnFormula>_xlfn.SWITCH(recruitment_data3[[#This Row],[RecruitmentStrategy]], 1,"Aggressive", 2,"Moderate", 3,"Conservative")</calculatedColumnFormula>
    </tableColumn>
    <tableColumn id="10" xr3:uid="{40FDB6A7-24FA-4905-A969-3C2720DB21D9}" uniqueName="10" name="RecruitmentStrategy" queryTableFieldId="10" dataDxfId="2"/>
    <tableColumn id="15" xr3:uid="{62B3F41A-EC8C-49C2-B3A7-E40884D25895}" uniqueName="15" name="Hiring Status" queryTableFieldId="15" dataDxfId="1">
      <calculatedColumnFormula>IF(recruitment_data3[[#This Row],[HiringDecision]]=1,"Hired","Rejected")</calculatedColumnFormula>
    </tableColumn>
    <tableColumn id="11" xr3:uid="{DFB3C8BA-4165-4A14-AF9E-07DBBDF01CC9}" uniqueName="11" name="HiringDecision" queryTableFieldId="11"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A389-D698-458D-9906-681A5A5F854D}">
  <sheetPr codeName="Sheet1"/>
  <dimension ref="A29:AD69"/>
  <sheetViews>
    <sheetView showGridLines="0" tabSelected="1" zoomScaleNormal="100" workbookViewId="0">
      <selection activeCell="M63" sqref="M63"/>
    </sheetView>
  </sheetViews>
  <sheetFormatPr defaultRowHeight="21.95" customHeight="1" x14ac:dyDescent="0.25"/>
  <sheetData>
    <row r="29" spans="10:10" ht="21.95" customHeight="1" x14ac:dyDescent="0.25">
      <c r="J29" s="17"/>
    </row>
    <row r="53" spans="14:25" ht="21.95" customHeight="1" x14ac:dyDescent="0.25">
      <c r="Y53" s="81"/>
    </row>
    <row r="55" spans="14:25" ht="21.95" customHeight="1" x14ac:dyDescent="0.25">
      <c r="N55" s="81"/>
    </row>
    <row r="69" spans="1:30" ht="21.95" customHeight="1" x14ac:dyDescent="0.25">
      <c r="A69" s="82" t="s">
        <v>102</v>
      </c>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row>
  </sheetData>
  <mergeCells count="1">
    <mergeCell ref="A69:AD6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CandidateAnalyzer">
                <anchor moveWithCells="1">
                  <from>
                    <xdr:col>24</xdr:col>
                    <xdr:colOff>523875</xdr:colOff>
                    <xdr:row>66</xdr:row>
                    <xdr:rowOff>9525</xdr:rowOff>
                  </from>
                  <to>
                    <xdr:col>27</xdr:col>
                    <xdr:colOff>447675</xdr:colOff>
                    <xdr:row>66</xdr:row>
                    <xdr:rowOff>247650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C2EDA-DC5D-41C3-8095-3D5006A22B77}">
  <sheetPr codeName="Sheet2"/>
  <dimension ref="A1:Z19"/>
  <sheetViews>
    <sheetView zoomScale="110" zoomScaleNormal="110" workbookViewId="0">
      <selection activeCell="AB5" sqref="AB5"/>
    </sheetView>
  </sheetViews>
  <sheetFormatPr defaultRowHeight="15" x14ac:dyDescent="0.25"/>
  <cols>
    <col min="1" max="1" width="19.5703125" bestFit="1" customWidth="1"/>
    <col min="2" max="2" width="10.85546875" bestFit="1" customWidth="1"/>
    <col min="4" max="4" width="22.28515625" bestFit="1" customWidth="1"/>
    <col min="5" max="5" width="10.85546875" bestFit="1" customWidth="1"/>
    <col min="7" max="8" width="12.28515625" bestFit="1" customWidth="1"/>
    <col min="10" max="10" width="11.85546875" bestFit="1" customWidth="1"/>
  </cols>
  <sheetData>
    <row r="1" spans="1:26" ht="23.25" x14ac:dyDescent="0.25">
      <c r="A1" s="86" t="s">
        <v>45</v>
      </c>
      <c r="B1" s="87"/>
      <c r="C1" s="87"/>
      <c r="D1" s="87"/>
      <c r="E1" s="87"/>
      <c r="F1" s="87"/>
      <c r="G1" s="87"/>
      <c r="H1" s="87"/>
      <c r="I1" s="87"/>
      <c r="J1" s="87"/>
      <c r="K1" s="87"/>
      <c r="L1" s="87"/>
      <c r="M1" s="87"/>
      <c r="N1" s="87"/>
      <c r="O1" s="87"/>
      <c r="P1" s="87"/>
      <c r="Q1" s="87"/>
      <c r="R1" s="87"/>
      <c r="S1" s="87"/>
      <c r="T1" s="87"/>
      <c r="U1" s="87"/>
      <c r="V1" s="87"/>
      <c r="W1" s="87"/>
      <c r="X1" s="87"/>
      <c r="Y1" s="87"/>
      <c r="Z1" s="88"/>
    </row>
    <row r="2" spans="1:26" ht="24" thickBot="1" x14ac:dyDescent="0.4">
      <c r="A2" s="89" t="s">
        <v>46</v>
      </c>
      <c r="B2" s="90"/>
      <c r="C2" s="90"/>
      <c r="D2" s="90"/>
      <c r="E2" s="90"/>
      <c r="F2" s="90"/>
      <c r="G2" s="90"/>
      <c r="H2" s="90"/>
      <c r="I2" s="90"/>
      <c r="J2" s="90"/>
      <c r="K2" s="90"/>
      <c r="L2" s="90"/>
      <c r="M2" s="90"/>
      <c r="N2" s="90"/>
      <c r="O2" s="90"/>
      <c r="P2" s="90"/>
      <c r="Q2" s="90"/>
      <c r="R2" s="90"/>
      <c r="S2" s="90"/>
      <c r="T2" s="90"/>
      <c r="U2" s="90"/>
      <c r="V2" s="90"/>
      <c r="W2" s="90"/>
      <c r="X2" s="90"/>
      <c r="Y2" s="90"/>
      <c r="Z2" s="91"/>
    </row>
    <row r="4" spans="1:26" x14ac:dyDescent="0.25">
      <c r="A4" s="84" t="s">
        <v>53</v>
      </c>
      <c r="B4" s="84"/>
      <c r="D4" s="84" t="s">
        <v>55</v>
      </c>
      <c r="E4" s="84"/>
      <c r="G4" s="92" t="s">
        <v>57</v>
      </c>
      <c r="H4" s="92"/>
      <c r="J4" s="84" t="s">
        <v>97</v>
      </c>
      <c r="K4" s="84"/>
    </row>
    <row r="5" spans="1:26" x14ac:dyDescent="0.25">
      <c r="A5" s="13" t="s">
        <v>47</v>
      </c>
      <c r="B5" s="14" t="s">
        <v>48</v>
      </c>
      <c r="D5" s="22" t="s">
        <v>13</v>
      </c>
      <c r="E5" s="23" t="s">
        <v>44</v>
      </c>
      <c r="G5" s="22" t="s">
        <v>33</v>
      </c>
      <c r="H5" s="23" t="s">
        <v>44</v>
      </c>
      <c r="J5" s="69" t="s">
        <v>92</v>
      </c>
      <c r="K5" s="70" t="s">
        <v>93</v>
      </c>
    </row>
    <row r="6" spans="1:26" x14ac:dyDescent="0.25">
      <c r="A6" s="28" t="s">
        <v>49</v>
      </c>
      <c r="B6" s="15">
        <f>COUNTA(recruitment_data3[Age])</f>
        <v>1500</v>
      </c>
      <c r="D6" s="24" t="s">
        <v>23</v>
      </c>
      <c r="E6" s="23">
        <v>445</v>
      </c>
      <c r="G6" s="24" t="s">
        <v>34</v>
      </c>
      <c r="H6" s="23">
        <v>270</v>
      </c>
      <c r="J6" s="67" t="s">
        <v>94</v>
      </c>
      <c r="K6" s="68">
        <v>1500</v>
      </c>
    </row>
    <row r="7" spans="1:26" x14ac:dyDescent="0.25">
      <c r="A7" s="28" t="s">
        <v>50</v>
      </c>
      <c r="B7" s="15">
        <f>COUNTIF(recruitment_data3[HiringDecision], 1)</f>
        <v>465</v>
      </c>
      <c r="D7" s="24" t="s">
        <v>24</v>
      </c>
      <c r="E7" s="23">
        <v>285</v>
      </c>
      <c r="G7" s="24" t="s">
        <v>35</v>
      </c>
      <c r="H7" s="23">
        <v>270</v>
      </c>
      <c r="J7" s="67" t="s">
        <v>95</v>
      </c>
      <c r="K7" s="68">
        <v>900</v>
      </c>
    </row>
    <row r="8" spans="1:26" x14ac:dyDescent="0.25">
      <c r="A8" s="28" t="s">
        <v>51</v>
      </c>
      <c r="B8" s="12">
        <f>B7/B6</f>
        <v>0.31</v>
      </c>
      <c r="D8" s="24" t="s">
        <v>25</v>
      </c>
      <c r="E8" s="23">
        <v>770</v>
      </c>
      <c r="G8" s="24" t="s">
        <v>36</v>
      </c>
      <c r="H8" s="23">
        <v>272</v>
      </c>
      <c r="J8" s="67" t="s">
        <v>96</v>
      </c>
      <c r="K8" s="68">
        <v>650</v>
      </c>
    </row>
    <row r="9" spans="1:26" x14ac:dyDescent="0.25">
      <c r="A9" s="29" t="s">
        <v>52</v>
      </c>
      <c r="B9" s="16">
        <f>AVERAGE(recruitment_data3[InterviewScore])</f>
        <v>50.564</v>
      </c>
      <c r="D9" s="24" t="s">
        <v>19</v>
      </c>
      <c r="E9" s="23">
        <v>1500</v>
      </c>
      <c r="G9" s="24" t="s">
        <v>37</v>
      </c>
      <c r="H9" s="23">
        <v>286</v>
      </c>
      <c r="J9" s="71" t="s">
        <v>21</v>
      </c>
      <c r="K9" s="72">
        <v>465</v>
      </c>
    </row>
    <row r="10" spans="1:26" x14ac:dyDescent="0.25">
      <c r="A10" s="20"/>
      <c r="B10" s="21"/>
      <c r="G10" s="24" t="s">
        <v>38</v>
      </c>
      <c r="H10" s="23">
        <v>402</v>
      </c>
    </row>
    <row r="11" spans="1:26" x14ac:dyDescent="0.25">
      <c r="A11" s="84" t="s">
        <v>54</v>
      </c>
      <c r="B11" s="84"/>
      <c r="D11" s="84" t="s">
        <v>56</v>
      </c>
      <c r="E11" s="85"/>
      <c r="G11" s="24" t="s">
        <v>19</v>
      </c>
      <c r="H11" s="23">
        <v>1500</v>
      </c>
    </row>
    <row r="12" spans="1:26" x14ac:dyDescent="0.25">
      <c r="A12" s="18" t="s">
        <v>14</v>
      </c>
      <c r="B12" s="19" t="s">
        <v>20</v>
      </c>
      <c r="D12" s="22" t="s">
        <v>32</v>
      </c>
      <c r="E12" s="23" t="s">
        <v>44</v>
      </c>
    </row>
    <row r="13" spans="1:26" x14ac:dyDescent="0.25">
      <c r="A13" s="19"/>
      <c r="B13" s="19"/>
      <c r="D13" s="24" t="s">
        <v>27</v>
      </c>
      <c r="E13" s="23">
        <v>283</v>
      </c>
      <c r="G13" s="84" t="s">
        <v>58</v>
      </c>
      <c r="H13" s="85"/>
    </row>
    <row r="14" spans="1:26" x14ac:dyDescent="0.25">
      <c r="A14" s="18" t="s">
        <v>26</v>
      </c>
      <c r="B14" s="19" t="s">
        <v>44</v>
      </c>
      <c r="D14" s="24" t="s">
        <v>28</v>
      </c>
      <c r="E14" s="23">
        <v>295</v>
      </c>
      <c r="G14" s="22" t="s">
        <v>39</v>
      </c>
      <c r="H14" s="23" t="s">
        <v>44</v>
      </c>
    </row>
    <row r="15" spans="1:26" x14ac:dyDescent="0.25">
      <c r="A15" s="19" t="s">
        <v>15</v>
      </c>
      <c r="B15" s="19">
        <v>307</v>
      </c>
      <c r="D15" s="24" t="s">
        <v>29</v>
      </c>
      <c r="E15" s="23">
        <v>283</v>
      </c>
      <c r="G15" s="24" t="s">
        <v>40</v>
      </c>
      <c r="H15" s="23">
        <v>0.19887955182072828</v>
      </c>
    </row>
    <row r="16" spans="1:26" x14ac:dyDescent="0.25">
      <c r="A16" s="19" t="s">
        <v>16</v>
      </c>
      <c r="B16" s="19">
        <v>740</v>
      </c>
      <c r="D16" s="24" t="s">
        <v>30</v>
      </c>
      <c r="E16" s="23">
        <v>341</v>
      </c>
      <c r="G16" s="24" t="s">
        <v>41</v>
      </c>
      <c r="H16" s="23">
        <v>0.21470588235294116</v>
      </c>
    </row>
    <row r="17" spans="1:8" x14ac:dyDescent="0.25">
      <c r="A17" s="19" t="s">
        <v>17</v>
      </c>
      <c r="B17" s="19">
        <v>317</v>
      </c>
      <c r="D17" s="24" t="s">
        <v>31</v>
      </c>
      <c r="E17" s="23">
        <v>298</v>
      </c>
      <c r="G17" s="24" t="s">
        <v>42</v>
      </c>
      <c r="H17" s="23">
        <v>0.38481012658227848</v>
      </c>
    </row>
    <row r="18" spans="1:8" x14ac:dyDescent="0.25">
      <c r="A18" s="19" t="s">
        <v>18</v>
      </c>
      <c r="B18" s="19">
        <v>136</v>
      </c>
      <c r="D18" s="24" t="s">
        <v>19</v>
      </c>
      <c r="E18" s="23">
        <v>1500</v>
      </c>
      <c r="G18" s="24" t="s">
        <v>43</v>
      </c>
      <c r="H18" s="23">
        <v>0.41421568627450983</v>
      </c>
    </row>
    <row r="19" spans="1:8" x14ac:dyDescent="0.25">
      <c r="A19" s="19" t="s">
        <v>19</v>
      </c>
      <c r="B19" s="19">
        <v>1500</v>
      </c>
      <c r="G19" s="24" t="s">
        <v>19</v>
      </c>
      <c r="H19" s="23">
        <v>0.31</v>
      </c>
    </row>
  </sheetData>
  <mergeCells count="9">
    <mergeCell ref="G13:H13"/>
    <mergeCell ref="A1:Z1"/>
    <mergeCell ref="A2:Z2"/>
    <mergeCell ref="A4:B4"/>
    <mergeCell ref="A11:B11"/>
    <mergeCell ref="D4:E4"/>
    <mergeCell ref="D11:E11"/>
    <mergeCell ref="G4:H4"/>
    <mergeCell ref="J4:K4"/>
  </mergeCells>
  <pageMargins left="0.7" right="0.7" top="0.75" bottom="0.75" header="0.3" footer="0.3"/>
  <ignoredErrors>
    <ignoredError sqref="B7:B9" calculatedColumn="1"/>
  </ignoredError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BA2C-C06F-41AF-B93F-E3CC689C0F4A}">
  <sheetPr codeName="Sheet3"/>
  <dimension ref="A1:AD62"/>
  <sheetViews>
    <sheetView showGridLines="0" zoomScaleNormal="100" workbookViewId="0">
      <selection activeCell="O35" sqref="O35"/>
    </sheetView>
  </sheetViews>
  <sheetFormatPr defaultRowHeight="14.25" x14ac:dyDescent="0.2"/>
  <cols>
    <col min="1" max="1" width="25" style="32" bestFit="1" customWidth="1"/>
    <col min="2" max="2" width="28.85546875" style="34" customWidth="1"/>
    <col min="3" max="3" width="17.7109375" style="34" customWidth="1"/>
    <col min="4" max="4" width="17.7109375" style="32" bestFit="1" customWidth="1"/>
    <col min="5" max="5" width="16.42578125" style="32" bestFit="1" customWidth="1"/>
    <col min="6" max="6" width="16.28515625" style="32" bestFit="1" customWidth="1"/>
    <col min="7" max="7" width="16.140625" style="32" bestFit="1" customWidth="1"/>
    <col min="8" max="10" width="9.140625" style="32"/>
    <col min="11" max="11" width="22.7109375" style="32" customWidth="1"/>
    <col min="12" max="12" width="23.85546875" style="32" bestFit="1" customWidth="1"/>
    <col min="13" max="16384" width="9.140625" style="32"/>
  </cols>
  <sheetData>
    <row r="1" spans="1:12" ht="18.75" thickBot="1" x14ac:dyDescent="0.3">
      <c r="A1" s="94" t="s">
        <v>63</v>
      </c>
      <c r="B1" s="95"/>
      <c r="C1" s="31"/>
      <c r="K1" s="93" t="s">
        <v>87</v>
      </c>
      <c r="L1" s="93"/>
    </row>
    <row r="2" spans="1:12" x14ac:dyDescent="0.2">
      <c r="K2" s="35"/>
      <c r="L2" s="35"/>
    </row>
    <row r="3" spans="1:12" ht="15" x14ac:dyDescent="0.25">
      <c r="A3" s="33" t="s">
        <v>64</v>
      </c>
      <c r="K3" s="47" t="s">
        <v>84</v>
      </c>
      <c r="L3" s="47" t="s">
        <v>91</v>
      </c>
    </row>
    <row r="4" spans="1:12" x14ac:dyDescent="0.2">
      <c r="A4" s="32" t="s">
        <v>71</v>
      </c>
      <c r="K4" s="47" t="s">
        <v>68</v>
      </c>
      <c r="L4" s="47">
        <f>B10</f>
        <v>48</v>
      </c>
    </row>
    <row r="5" spans="1:12" x14ac:dyDescent="0.2">
      <c r="A5" s="35" t="s">
        <v>0</v>
      </c>
      <c r="B5" s="36">
        <f>IFERROR(INDEX(Data_Model!B:B, MATCH($A$4, Data_Model!A:A, 0)), "")</f>
        <v>26</v>
      </c>
      <c r="K5" s="47" t="s">
        <v>39</v>
      </c>
      <c r="L5" s="47">
        <f>B11</f>
        <v>78</v>
      </c>
    </row>
    <row r="6" spans="1:12" x14ac:dyDescent="0.2">
      <c r="A6" s="35" t="s">
        <v>1</v>
      </c>
      <c r="B6" s="36" t="str">
        <f>IFERROR(INDEX(Data_Model!C:C, MATCH($A$4, Data_Model!A:A, 0)), "")</f>
        <v>Female</v>
      </c>
      <c r="K6" s="47" t="s">
        <v>69</v>
      </c>
      <c r="L6" s="47">
        <f>B12</f>
        <v>26</v>
      </c>
    </row>
    <row r="7" spans="1:12" ht="15" x14ac:dyDescent="0.2">
      <c r="A7" s="35" t="s">
        <v>65</v>
      </c>
      <c r="B7" s="36" t="str">
        <f>IFERROR(INDEX(Data_Model!E:E, MATCH($A$4, Data_Model!A:A, 0)), "")</f>
        <v>Bachelor Type 2</v>
      </c>
      <c r="K7" s="30" t="s">
        <v>88</v>
      </c>
      <c r="L7" s="65">
        <f>0.4*L4 + 0.35*L5 + 0.25*L6</f>
        <v>53</v>
      </c>
    </row>
    <row r="8" spans="1:12" ht="15" x14ac:dyDescent="0.2">
      <c r="A8" s="35" t="s">
        <v>66</v>
      </c>
      <c r="B8" s="36">
        <f>IFERROR(INDEX(Data_Model!G:G, MATCH($A$4, Data_Model!A:A, 0)), "")</f>
        <v>0</v>
      </c>
      <c r="C8" s="41"/>
      <c r="K8" s="65" t="s">
        <v>89</v>
      </c>
      <c r="L8" s="66">
        <f>IF(L7="","",L7/100)</f>
        <v>0.53</v>
      </c>
    </row>
    <row r="9" spans="1:12" ht="15" x14ac:dyDescent="0.2">
      <c r="A9" s="35" t="s">
        <v>67</v>
      </c>
      <c r="B9" s="36">
        <f>IFERROR(INDEX(Data_Model!H:H, MATCH($A$4, Data_Model!A:A, 0)), "")</f>
        <v>3</v>
      </c>
      <c r="K9" s="30" t="s">
        <v>90</v>
      </c>
      <c r="L9" s="30" t="str">
        <f>IF(L8="","",IF(L8&gt;=0.7,"Recommended for Hiring",IF(L8&gt;=0.5,"Needs Further Evaluation","Low Fit Candidate")))</f>
        <v>Needs Further Evaluation</v>
      </c>
    </row>
    <row r="10" spans="1:12" x14ac:dyDescent="0.2">
      <c r="A10" s="35" t="s">
        <v>68</v>
      </c>
      <c r="B10" s="36">
        <f>IFERROR(INDEX(Data_Model!J:J, MATCH($A$4, Data_Model!A:A, 0)), "")</f>
        <v>48</v>
      </c>
    </row>
    <row r="11" spans="1:12" ht="18" x14ac:dyDescent="0.2">
      <c r="A11" s="35" t="s">
        <v>39</v>
      </c>
      <c r="B11" s="36">
        <f>IFERROR(INDEX(Data_Model!K:K, MATCH($A$4, Data_Model!A:A, 0)), "")</f>
        <v>78</v>
      </c>
      <c r="K11" s="98" t="s">
        <v>99</v>
      </c>
      <c r="L11" s="99"/>
    </row>
    <row r="12" spans="1:12" ht="15" x14ac:dyDescent="0.25">
      <c r="A12" s="35" t="s">
        <v>69</v>
      </c>
      <c r="B12" s="44">
        <f>IFERROR(INDEX(Data_Model!B:B, MATCH($A$4, Data_Model!A:A, 0)), "")</f>
        <v>26</v>
      </c>
      <c r="C12" s="45"/>
      <c r="E12" s="46"/>
      <c r="K12" s="80" t="s">
        <v>73</v>
      </c>
      <c r="L12" s="80" t="s">
        <v>74</v>
      </c>
    </row>
    <row r="13" spans="1:12" ht="15" x14ac:dyDescent="0.2">
      <c r="A13" s="35" t="s">
        <v>13</v>
      </c>
      <c r="B13" s="44" t="str">
        <f>IFERROR(INDEX(Data_Model!M:M, MATCH($A$4, Data_Model!A:A, 0)), "")</f>
        <v>Aggressive</v>
      </c>
      <c r="C13" s="45"/>
      <c r="K13" s="47" t="s">
        <v>100</v>
      </c>
      <c r="L13" s="30">
        <f>MAX(Data_Model!J:J)</f>
        <v>100</v>
      </c>
    </row>
    <row r="14" spans="1:12" ht="15" x14ac:dyDescent="0.2">
      <c r="A14" s="35" t="s">
        <v>70</v>
      </c>
      <c r="B14" s="36" t="str">
        <f>IFERROR(INDEX(Data_Model!O:O, MATCH($A$4, Data_Model!A:A, 0)), "")</f>
        <v>Hired</v>
      </c>
      <c r="K14" s="47" t="s">
        <v>101</v>
      </c>
      <c r="L14" s="30" t="str">
        <f>INDEX(Data_Model!A:A,MATCH(MAX(Data_Model!J:J),Data_Model!J:J,0))</f>
        <v>C0028</v>
      </c>
    </row>
    <row r="15" spans="1:12" x14ac:dyDescent="0.2">
      <c r="A15" s="36" t="s">
        <v>75</v>
      </c>
      <c r="B15" s="36">
        <f>0.4*B10 + 0.35*B11 + 0.25*B12</f>
        <v>53</v>
      </c>
    </row>
    <row r="16" spans="1:12" x14ac:dyDescent="0.2">
      <c r="A16" s="36" t="s">
        <v>76</v>
      </c>
      <c r="B16" s="36" t="str">
        <f>IF(INDEX(Data_Model!J:J, MATCH($A$4, Data_Model!A:A, 0))&gt;50,"Excellent Fit","Moderate Fit")</f>
        <v>Moderate Fit</v>
      </c>
    </row>
    <row r="17" spans="1:3" x14ac:dyDescent="0.2">
      <c r="A17" s="47" t="s">
        <v>77</v>
      </c>
      <c r="B17" s="47">
        <f>IF(A4="","",_xlfn.RANK.EQ(B10,Data_Model!J:J,0))</f>
        <v>798</v>
      </c>
      <c r="C17" s="48"/>
    </row>
    <row r="18" spans="1:3" x14ac:dyDescent="0.2">
      <c r="A18" s="47" t="s">
        <v>78</v>
      </c>
      <c r="B18" s="49">
        <f>IF(A4="","",(1500-B17+1)/1500)</f>
        <v>0.46866666666666668</v>
      </c>
      <c r="C18" s="50"/>
    </row>
    <row r="19" spans="1:3" x14ac:dyDescent="0.2">
      <c r="A19" s="47" t="s">
        <v>79</v>
      </c>
      <c r="B19" s="47" t="str">
        <f>IF(A4="","",IF(B17&lt;=150,"Top 10% Talent","Standard Talent"))</f>
        <v>Standard Talent</v>
      </c>
      <c r="C19" s="48"/>
    </row>
    <row r="20" spans="1:3" x14ac:dyDescent="0.2">
      <c r="A20" s="47" t="s">
        <v>80</v>
      </c>
      <c r="B20" s="36" t="str">
        <f>IF(A4="","",IF(B17&lt;=150,"Top Candidate","Not Top Candidate"))</f>
        <v>Not Top Candidate</v>
      </c>
    </row>
    <row r="21" spans="1:3" x14ac:dyDescent="0.2">
      <c r="A21" s="48"/>
    </row>
    <row r="22" spans="1:3" x14ac:dyDescent="0.2">
      <c r="A22" s="37" t="s">
        <v>73</v>
      </c>
      <c r="B22" s="38" t="s">
        <v>74</v>
      </c>
    </row>
    <row r="23" spans="1:3" x14ac:dyDescent="0.2">
      <c r="A23" s="39" t="s">
        <v>68</v>
      </c>
      <c r="B23" s="40">
        <f>B10</f>
        <v>48</v>
      </c>
    </row>
    <row r="24" spans="1:3" x14ac:dyDescent="0.2">
      <c r="A24" s="39" t="s">
        <v>39</v>
      </c>
      <c r="B24" s="40">
        <f>B11</f>
        <v>78</v>
      </c>
    </row>
    <row r="25" spans="1:3" x14ac:dyDescent="0.2">
      <c r="A25" s="42" t="s">
        <v>69</v>
      </c>
      <c r="B25" s="43">
        <f>B12</f>
        <v>26</v>
      </c>
    </row>
    <row r="26" spans="1:3" x14ac:dyDescent="0.2">
      <c r="A26" s="79"/>
      <c r="B26" s="79"/>
    </row>
    <row r="27" spans="1:3" ht="18" x14ac:dyDescent="0.2">
      <c r="A27" s="97" t="s">
        <v>98</v>
      </c>
      <c r="B27" s="97"/>
    </row>
    <row r="28" spans="1:3" x14ac:dyDescent="0.2">
      <c r="B28" s="32"/>
    </row>
    <row r="29" spans="1:3" ht="15" x14ac:dyDescent="0.2">
      <c r="A29" s="77" t="s">
        <v>73</v>
      </c>
      <c r="B29" s="78" t="s">
        <v>48</v>
      </c>
    </row>
    <row r="30" spans="1:3" x14ac:dyDescent="0.2">
      <c r="A30" s="73" t="s">
        <v>77</v>
      </c>
      <c r="B30" s="74">
        <f>B17</f>
        <v>798</v>
      </c>
    </row>
    <row r="31" spans="1:3" x14ac:dyDescent="0.2">
      <c r="A31" s="75" t="s">
        <v>49</v>
      </c>
      <c r="B31" s="76">
        <v>1500</v>
      </c>
    </row>
    <row r="33" spans="1:6" ht="20.25" x14ac:dyDescent="0.2">
      <c r="A33" s="96" t="s">
        <v>81</v>
      </c>
      <c r="B33" s="96"/>
      <c r="C33" s="51"/>
    </row>
    <row r="35" spans="1:6" ht="15" x14ac:dyDescent="0.25">
      <c r="A35" s="52" t="s">
        <v>82</v>
      </c>
      <c r="B35" s="36" t="s">
        <v>71</v>
      </c>
    </row>
    <row r="36" spans="1:6" ht="15" x14ac:dyDescent="0.25">
      <c r="A36" s="52" t="s">
        <v>83</v>
      </c>
      <c r="B36" s="36" t="s">
        <v>72</v>
      </c>
    </row>
    <row r="38" spans="1:6" ht="15" x14ac:dyDescent="0.25">
      <c r="A38" s="53" t="s">
        <v>84</v>
      </c>
      <c r="B38" s="54" t="s">
        <v>85</v>
      </c>
      <c r="C38" s="55" t="s">
        <v>86</v>
      </c>
    </row>
    <row r="39" spans="1:6" x14ac:dyDescent="0.2">
      <c r="A39" s="57" t="s">
        <v>0</v>
      </c>
      <c r="B39" s="36">
        <f>IFERROR(INDEX(Data_Model!B:B,MATCH($B$35,Data_Model!A:A,0)),"")</f>
        <v>26</v>
      </c>
      <c r="C39" s="58">
        <f>IFERROR(INDEX(Data_Model!B:B,MATCH($B$36,Data_Model!A:A,0)),"")</f>
        <v>39</v>
      </c>
    </row>
    <row r="40" spans="1:6" x14ac:dyDescent="0.2">
      <c r="A40" s="57" t="s">
        <v>1</v>
      </c>
      <c r="B40" s="36" t="str">
        <f>IFERROR(INDEX(Data_Model!C:C,MATCH($B$35,Data_Model!A:A,0)),"")</f>
        <v>Female</v>
      </c>
      <c r="C40" s="58" t="str">
        <f>IFERROR(INDEX(Data_Model!C:C,MATCH($B$36,Data_Model!A:A,0)),"")</f>
        <v>Female</v>
      </c>
    </row>
    <row r="41" spans="1:6" x14ac:dyDescent="0.2">
      <c r="A41" s="57" t="s">
        <v>65</v>
      </c>
      <c r="B41" s="36" t="str">
        <f>IFERROR(INDEX(Data_Model!E:E,MATCH($B$35,Data_Model!A:A,0)),"")</f>
        <v>Bachelor Type 2</v>
      </c>
      <c r="C41" s="58" t="str">
        <f>IFERROR(INDEX(Data_Model!E:E,MATCH($B$36,Data_Model!A:A,0)),"")</f>
        <v>PhD</v>
      </c>
    </row>
    <row r="42" spans="1:6" x14ac:dyDescent="0.2">
      <c r="A42" s="57" t="s">
        <v>66</v>
      </c>
      <c r="B42" s="36">
        <f>IFERROR(INDEX(Data_Model!G:G,MATCH($B$35,Data_Model!A:A,0)),"")</f>
        <v>0</v>
      </c>
      <c r="C42" s="58">
        <f>IFERROR(INDEX(Data_Model!G:G,MATCH($B$36,Data_Model!A:A,0)),"")</f>
        <v>12</v>
      </c>
      <c r="F42" s="48"/>
    </row>
    <row r="43" spans="1:6" x14ac:dyDescent="0.2">
      <c r="A43" s="57" t="s">
        <v>67</v>
      </c>
      <c r="B43" s="36">
        <f>IFERROR(INDEX(Data_Model!H:H,MATCH($B$35,Data_Model!A:A,0)),"")</f>
        <v>3</v>
      </c>
      <c r="C43" s="58">
        <f>IFERROR(INDEX(Data_Model!H:H,MATCH($B$36,Data_Model!A:A,0)),"")</f>
        <v>3</v>
      </c>
      <c r="F43" s="48"/>
    </row>
    <row r="44" spans="1:6" x14ac:dyDescent="0.2">
      <c r="A44" s="57" t="s">
        <v>68</v>
      </c>
      <c r="B44" s="36">
        <f>IFERROR(INDEX(Data_Model!J:J,MATCH($B$35,Data_Model!A:A,0)),"")</f>
        <v>48</v>
      </c>
      <c r="C44" s="58">
        <f>IFERROR(INDEX(Data_Model!J:J,MATCH($B$36,Data_Model!A:A,0)),"")</f>
        <v>35</v>
      </c>
      <c r="F44" s="48"/>
    </row>
    <row r="45" spans="1:6" x14ac:dyDescent="0.2">
      <c r="A45" s="57" t="s">
        <v>39</v>
      </c>
      <c r="B45" s="36">
        <f>IFERROR(INDEX(Data_Model!K:K,MATCH($B$35,Data_Model!A:A,0)),"")</f>
        <v>78</v>
      </c>
      <c r="C45" s="58">
        <f>IFERROR(INDEX(Data_Model!K:K,MATCH($B$36,Data_Model!A:A,0)),"")</f>
        <v>68</v>
      </c>
      <c r="F45" s="48"/>
    </row>
    <row r="46" spans="1:6" x14ac:dyDescent="0.2">
      <c r="A46" s="57" t="s">
        <v>69</v>
      </c>
      <c r="B46" s="36">
        <f>IFERROR(INDEX(Data_Model!L:L,MATCH($B$35,Data_Model!A:A,0)),"")</f>
        <v>91</v>
      </c>
      <c r="C46" s="58">
        <f>IFERROR(INDEX(Data_Model!L:L,MATCH($B$36,Data_Model!A:A,0)),"")</f>
        <v>80</v>
      </c>
      <c r="F46" s="48"/>
    </row>
    <row r="47" spans="1:6" x14ac:dyDescent="0.2">
      <c r="A47" s="57" t="s">
        <v>13</v>
      </c>
      <c r="B47" s="36" t="str">
        <f>IFERROR(INDEX(Data_Model!M:M,MATCH($B$35,Data_Model!A:A,0)),"")</f>
        <v>Aggressive</v>
      </c>
      <c r="C47" s="58" t="str">
        <f>IFERROR(INDEX(Data_Model!M:M,MATCH($B$36,Data_Model!A:A,0)),"")</f>
        <v>Moderate</v>
      </c>
      <c r="F47" s="48"/>
    </row>
    <row r="48" spans="1:6" x14ac:dyDescent="0.2">
      <c r="A48" s="57" t="s">
        <v>70</v>
      </c>
      <c r="B48" s="36" t="str">
        <f>IFERROR(INDEX(Data_Model!O:O,MATCH($B$35,Data_Model!A:A,0)),"")</f>
        <v>Hired</v>
      </c>
      <c r="C48" s="58" t="str">
        <f>IFERROR(INDEX(Data_Model!O:O,MATCH($B$36,Data_Model!A:A,0)),"")</f>
        <v>Hired</v>
      </c>
      <c r="F48" s="48"/>
    </row>
    <row r="49" spans="1:30" x14ac:dyDescent="0.2">
      <c r="A49" s="57" t="s">
        <v>75</v>
      </c>
      <c r="B49" s="36">
        <f>IF(B44="","",0.4*B44+0.35*B45+0.25*B46)</f>
        <v>69.25</v>
      </c>
      <c r="C49" s="58">
        <f>IF(C44="","",0.4*C44+0.35*C45+0.25*C46)</f>
        <v>57.8</v>
      </c>
      <c r="F49" s="48"/>
    </row>
    <row r="50" spans="1:30" x14ac:dyDescent="0.2">
      <c r="A50" s="57" t="s">
        <v>76</v>
      </c>
      <c r="B50" s="36" t="str">
        <f>IF(B44="","",IF(B44&gt;50,"Excellent Fit","Moderate Fit"))</f>
        <v>Moderate Fit</v>
      </c>
      <c r="C50" s="58" t="str">
        <f>IF(C44="","",IF(C44&gt;50,"Excellent Fit","Moderate Fit"))</f>
        <v>Moderate Fit</v>
      </c>
      <c r="F50" s="48"/>
    </row>
    <row r="51" spans="1:30" x14ac:dyDescent="0.2">
      <c r="A51" s="57" t="s">
        <v>77</v>
      </c>
      <c r="B51" s="36">
        <f>IF(B44="","",_xlfn.RANK.EQ(B44,Data_Model!J:J,0))</f>
        <v>798</v>
      </c>
      <c r="C51" s="58">
        <f>IF(C44="","",_xlfn.RANK.EQ(C44,Data_Model!J:J,0))</f>
        <v>977</v>
      </c>
      <c r="F51" s="48"/>
    </row>
    <row r="52" spans="1:30" x14ac:dyDescent="0.2">
      <c r="A52" s="57" t="s">
        <v>78</v>
      </c>
      <c r="B52" s="60">
        <f>IF(B51="","",(1500-B51+1)/1500)</f>
        <v>0.46866666666666668</v>
      </c>
      <c r="C52" s="61">
        <f>IF(C51="","",(1500-C51+1)/1500)</f>
        <v>0.34933333333333333</v>
      </c>
      <c r="F52" s="48"/>
    </row>
    <row r="53" spans="1:30" x14ac:dyDescent="0.2">
      <c r="A53" s="57" t="s">
        <v>79</v>
      </c>
      <c r="B53" s="36" t="str">
        <f>IF(B52="","",IF(B52&gt;=0.9,"Top 10% Talent","Standard Talent"))</f>
        <v>Standard Talent</v>
      </c>
      <c r="C53" s="58" t="str">
        <f>IF(C52="","",IF(C52&gt;=0.9,"Top 10% Talent","Standard Talent"))</f>
        <v>Standard Talent</v>
      </c>
      <c r="F53" s="48"/>
    </row>
    <row r="54" spans="1:30" x14ac:dyDescent="0.2">
      <c r="A54" s="62" t="s">
        <v>80</v>
      </c>
      <c r="B54" s="63" t="str">
        <f>IF(B51="","",IF(B51&lt;=150,"Top Candidate","Not Top Candidate"))</f>
        <v>Not Top Candidate</v>
      </c>
      <c r="C54" s="64" t="str">
        <f>IF(C51="","",IF(C51&lt;=150,"Top Candidate","Not Top Candidate"))</f>
        <v>Not Top Candidate</v>
      </c>
      <c r="F54" s="48"/>
    </row>
    <row r="56" spans="1:30" x14ac:dyDescent="0.2">
      <c r="A56" s="37" t="s">
        <v>73</v>
      </c>
      <c r="B56" s="38" t="s">
        <v>85</v>
      </c>
      <c r="C56" s="56" t="s">
        <v>86</v>
      </c>
    </row>
    <row r="57" spans="1:30" x14ac:dyDescent="0.2">
      <c r="A57" s="39" t="s">
        <v>68</v>
      </c>
      <c r="B57" s="40">
        <f t="shared" ref="B57:B59" si="0">B44</f>
        <v>48</v>
      </c>
      <c r="C57" s="59">
        <f t="shared" ref="C57:C59" si="1">C44</f>
        <v>35</v>
      </c>
    </row>
    <row r="58" spans="1:30" x14ac:dyDescent="0.2">
      <c r="A58" s="39" t="s">
        <v>39</v>
      </c>
      <c r="B58" s="40">
        <f t="shared" si="0"/>
        <v>78</v>
      </c>
      <c r="C58" s="40">
        <f t="shared" si="1"/>
        <v>68</v>
      </c>
    </row>
    <row r="59" spans="1:30" x14ac:dyDescent="0.2">
      <c r="A59" s="42" t="s">
        <v>69</v>
      </c>
      <c r="B59" s="43">
        <f t="shared" si="0"/>
        <v>91</v>
      </c>
      <c r="C59" s="43">
        <f t="shared" si="1"/>
        <v>80</v>
      </c>
    </row>
    <row r="62" spans="1:30" ht="15" x14ac:dyDescent="0.2">
      <c r="A62" s="82" t="s">
        <v>102</v>
      </c>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row>
  </sheetData>
  <mergeCells count="6">
    <mergeCell ref="A62:AD62"/>
    <mergeCell ref="K1:L1"/>
    <mergeCell ref="A1:B1"/>
    <mergeCell ref="A33:B33"/>
    <mergeCell ref="A27:B27"/>
    <mergeCell ref="K11:L11"/>
  </mergeCells>
  <phoneticPr fontId="9" type="noConversion"/>
  <conditionalFormatting sqref="B20:C31">
    <cfRule type="containsText" dxfId="57" priority="5" operator="containsText" text="&quot;Top Candidate&quot;">
      <formula>NOT(ISERROR(SEARCH("""Top Candidate""",B20)))</formula>
    </cfRule>
    <cfRule type="containsText" dxfId="56" priority="6" operator="containsText" text="&quot;Not Top Candidate&quot;">
      <formula>NOT(ISERROR(SEARCH("""Not Top Candidate""",B20)))</formula>
    </cfRule>
    <cfRule type="containsText" dxfId="55" priority="7" operator="containsText" text="&quot;Not Top Candidate&quot;">
      <formula>NOT(ISERROR(SEARCH("""Not Top Candidate""",B20)))</formula>
    </cfRule>
    <cfRule type="containsText" dxfId="54" priority="8" operator="containsText" text="&quot;Top Candidate&quot;">
      <formula>NOT(ISERROR(SEARCH("""Top Candidate""",B20)))</formula>
    </cfRule>
  </conditionalFormatting>
  <conditionalFormatting sqref="L12">
    <cfRule type="containsText" dxfId="53" priority="1" operator="containsText" text="&quot;Top Candidate&quot;">
      <formula>NOT(ISERROR(SEARCH("""Top Candidate""",L12)))</formula>
    </cfRule>
    <cfRule type="containsText" dxfId="52" priority="2" operator="containsText" text="&quot;Not Top Candidate&quot;">
      <formula>NOT(ISERROR(SEARCH("""Not Top Candidate""",L12)))</formula>
    </cfRule>
    <cfRule type="containsText" dxfId="51" priority="3" operator="containsText" text="&quot;Not Top Candidate&quot;">
      <formula>NOT(ISERROR(SEARCH("""Not Top Candidate""",L12)))</formula>
    </cfRule>
    <cfRule type="containsText" dxfId="50" priority="4" operator="containsText" text="&quot;Top Candidate&quot;">
      <formula>NOT(ISERROR(SEARCH("""Top Candidate""",L12)))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Dashboard">
                <anchor moveWithCells="1">
                  <from>
                    <xdr:col>15</xdr:col>
                    <xdr:colOff>0</xdr:colOff>
                    <xdr:row>1</xdr:row>
                    <xdr:rowOff>0</xdr:rowOff>
                  </from>
                  <to>
                    <xdr:col>16</xdr:col>
                    <xdr:colOff>542925</xdr:colOff>
                    <xdr:row>2</xdr:row>
                    <xdr:rowOff>57150</xdr:rowOff>
                  </to>
                </anchor>
              </controlPr>
            </control>
          </mc:Choice>
        </mc:AlternateContent>
      </controls>
    </mc:Choice>
  </mc:AlternateContent>
  <tableParts count="4">
    <tablePart r:id="rId4"/>
    <tablePart r:id="rId5"/>
    <tablePart r:id="rId6"/>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8A813BE9-F75E-444F-8B35-D151F9A18343}">
          <x14:formula1>
            <xm:f>Data_Model!$A:$A</xm:f>
          </x14:formula1>
          <xm:sqref>A4 B35:C36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EB1A0-37AE-4F82-B459-5AEBD8AE1309}">
  <sheetPr codeName="Sheet4"/>
  <dimension ref="A1:R1501"/>
  <sheetViews>
    <sheetView workbookViewId="0">
      <selection sqref="A1:P1"/>
    </sheetView>
  </sheetViews>
  <sheetFormatPr defaultRowHeight="15" x14ac:dyDescent="0.25"/>
  <cols>
    <col min="1" max="1" width="16.85546875" bestFit="1" customWidth="1"/>
    <col min="2" max="2" width="9" bestFit="1" customWidth="1"/>
    <col min="3" max="3" width="17.42578125" bestFit="1" customWidth="1"/>
    <col min="4" max="4" width="12.28515625" bestFit="1" customWidth="1"/>
    <col min="5" max="5" width="19.5703125" bestFit="1" customWidth="1"/>
    <col min="6" max="6" width="19.140625" bestFit="1" customWidth="1"/>
    <col min="7" max="7" width="20.42578125" bestFit="1" customWidth="1"/>
    <col min="8" max="8" width="23.42578125" bestFit="1" customWidth="1"/>
    <col min="9" max="9" width="26.42578125" bestFit="1" customWidth="1"/>
    <col min="10" max="10" width="19.140625" bestFit="1" customWidth="1"/>
    <col min="11" max="11" width="14.140625" bestFit="1" customWidth="1"/>
    <col min="12" max="12" width="20.5703125" bestFit="1" customWidth="1"/>
    <col min="13" max="13" width="24.5703125" bestFit="1" customWidth="1"/>
    <col min="14" max="14" width="24.140625" bestFit="1" customWidth="1"/>
    <col min="15" max="15" width="16.7109375" bestFit="1" customWidth="1"/>
    <col min="16" max="16" width="18.5703125" bestFit="1" customWidth="1"/>
    <col min="17" max="18" width="18.7109375" bestFit="1" customWidth="1"/>
  </cols>
  <sheetData>
    <row r="1" spans="1:18" x14ac:dyDescent="0.25">
      <c r="A1" s="2" t="s">
        <v>62</v>
      </c>
      <c r="B1" s="1" t="s">
        <v>0</v>
      </c>
      <c r="C1" s="2" t="s">
        <v>11</v>
      </c>
      <c r="D1" s="2" t="s">
        <v>1</v>
      </c>
      <c r="E1" s="2" t="s">
        <v>12</v>
      </c>
      <c r="F1" s="2" t="s">
        <v>2</v>
      </c>
      <c r="G1" s="2" t="s">
        <v>3</v>
      </c>
      <c r="H1" s="2" t="s">
        <v>4</v>
      </c>
      <c r="I1" s="2" t="s">
        <v>5</v>
      </c>
      <c r="J1" s="2" t="s">
        <v>6</v>
      </c>
      <c r="K1" s="2" t="s">
        <v>7</v>
      </c>
      <c r="L1" s="2" t="s">
        <v>8</v>
      </c>
      <c r="M1" s="2" t="s">
        <v>13</v>
      </c>
      <c r="N1" s="2" t="s">
        <v>9</v>
      </c>
      <c r="O1" s="2" t="s">
        <v>14</v>
      </c>
      <c r="P1" s="3" t="s">
        <v>10</v>
      </c>
      <c r="R1" s="10" t="s">
        <v>61</v>
      </c>
    </row>
    <row r="2" spans="1:18" x14ac:dyDescent="0.25">
      <c r="A2" s="1" t="str">
        <f t="shared" ref="A2:A65" si="0">"C"&amp;TEXT(ROW()-1,"0000")</f>
        <v>C0001</v>
      </c>
      <c r="B2" s="4">
        <v>26</v>
      </c>
      <c r="C2" s="5" t="str">
        <f>IF(recruitment_data3[[#This Row],[Gender]]=1,"Female","Male")</f>
        <v>Female</v>
      </c>
      <c r="D2" s="5">
        <v>1</v>
      </c>
      <c r="E2" s="5" t="str">
        <f>_xlfn.SWITCH(recruitment_data3[[#This Row],[EducationLevel]], 1,"Bachelor Type 1", 2,"Bachelor Type 2", 3,"Masters", 4,"PhD")</f>
        <v>Bachelor Type 2</v>
      </c>
      <c r="F2" s="5">
        <v>2</v>
      </c>
      <c r="G2" s="5">
        <v>0</v>
      </c>
      <c r="H2" s="5">
        <v>3</v>
      </c>
      <c r="I2" s="5">
        <v>26.783827553853655</v>
      </c>
      <c r="J2" s="5">
        <v>48</v>
      </c>
      <c r="K2" s="5">
        <v>78</v>
      </c>
      <c r="L2" s="5">
        <v>91</v>
      </c>
      <c r="M2" s="5" t="str">
        <f>_xlfn.SWITCH(recruitment_data3[[#This Row],[RecruitmentStrategy]], 1,"Aggressive", 2,"Moderate", 3,"Conservative")</f>
        <v>Aggressive</v>
      </c>
      <c r="N2" s="5">
        <v>1</v>
      </c>
      <c r="O2" s="5" t="str">
        <f>IF(recruitment_data3[[#This Row],[HiringDecision]]=1,"Hired","Rejected")</f>
        <v>Hired</v>
      </c>
      <c r="P2" s="6">
        <v>1</v>
      </c>
      <c r="R2" s="11" t="s">
        <v>59</v>
      </c>
    </row>
    <row r="3" spans="1:18" x14ac:dyDescent="0.25">
      <c r="A3" s="4" t="str">
        <f t="shared" si="0"/>
        <v>C0002</v>
      </c>
      <c r="B3" s="4">
        <v>39</v>
      </c>
      <c r="C3" s="5" t="str">
        <f>IF(recruitment_data3[[#This Row],[Gender]]=1,"Female","Male")</f>
        <v>Female</v>
      </c>
      <c r="D3" s="5">
        <v>1</v>
      </c>
      <c r="E3" s="5" t="str">
        <f>_xlfn.SWITCH(recruitment_data3[[#This Row],[EducationLevel]], 1,"Bachelor Type 1", 2,"Bachelor Type 2", 3,"Masters", 4,"PhD")</f>
        <v>PhD</v>
      </c>
      <c r="F3" s="5">
        <v>4</v>
      </c>
      <c r="G3" s="5">
        <v>12</v>
      </c>
      <c r="H3" s="5">
        <v>3</v>
      </c>
      <c r="I3" s="5">
        <v>25.862694329543899</v>
      </c>
      <c r="J3" s="5">
        <v>35</v>
      </c>
      <c r="K3" s="5">
        <v>68</v>
      </c>
      <c r="L3" s="5">
        <v>80</v>
      </c>
      <c r="M3" s="5" t="str">
        <f>_xlfn.SWITCH(recruitment_data3[[#This Row],[RecruitmentStrategy]], 1,"Aggressive", 2,"Moderate", 3,"Conservative")</f>
        <v>Moderate</v>
      </c>
      <c r="N3" s="5">
        <v>2</v>
      </c>
      <c r="O3" s="5" t="str">
        <f>IF(recruitment_data3[[#This Row],[HiringDecision]]=1,"Hired","Rejected")</f>
        <v>Hired</v>
      </c>
      <c r="P3" s="6">
        <v>1</v>
      </c>
      <c r="R3" s="25" t="s">
        <v>15</v>
      </c>
    </row>
    <row r="4" spans="1:18" x14ac:dyDescent="0.25">
      <c r="A4" s="4" t="str">
        <f t="shared" si="0"/>
        <v>C0003</v>
      </c>
      <c r="B4" s="4">
        <v>48</v>
      </c>
      <c r="C4" s="5" t="str">
        <f>IF(recruitment_data3[[#This Row],[Gender]]=1,"Female","Male")</f>
        <v>Male</v>
      </c>
      <c r="D4" s="5">
        <v>0</v>
      </c>
      <c r="E4" s="5" t="str">
        <f>_xlfn.SWITCH(recruitment_data3[[#This Row],[EducationLevel]], 1,"Bachelor Type 1", 2,"Bachelor Type 2", 3,"Masters", 4,"PhD")</f>
        <v>Bachelor Type 2</v>
      </c>
      <c r="F4" s="5">
        <v>2</v>
      </c>
      <c r="G4" s="5">
        <v>3</v>
      </c>
      <c r="H4" s="5">
        <v>2</v>
      </c>
      <c r="I4" s="5">
        <v>9.9208048281747878</v>
      </c>
      <c r="J4" s="5">
        <v>20</v>
      </c>
      <c r="K4" s="5">
        <v>67</v>
      </c>
      <c r="L4" s="5">
        <v>13</v>
      </c>
      <c r="M4" s="5" t="str">
        <f>_xlfn.SWITCH(recruitment_data3[[#This Row],[RecruitmentStrategy]], 1,"Aggressive", 2,"Moderate", 3,"Conservative")</f>
        <v>Moderate</v>
      </c>
      <c r="N4" s="5">
        <v>2</v>
      </c>
      <c r="O4" s="5" t="str">
        <f>IF(recruitment_data3[[#This Row],[HiringDecision]]=1,"Hired","Rejected")</f>
        <v>Rejected</v>
      </c>
      <c r="P4" s="6">
        <v>0</v>
      </c>
      <c r="R4" s="26" t="s">
        <v>23</v>
      </c>
    </row>
    <row r="5" spans="1:18" x14ac:dyDescent="0.25">
      <c r="A5" s="4" t="str">
        <f t="shared" si="0"/>
        <v>C0004</v>
      </c>
      <c r="B5" s="4">
        <v>34</v>
      </c>
      <c r="C5" s="5" t="str">
        <f>IF(recruitment_data3[[#This Row],[Gender]]=1,"Female","Male")</f>
        <v>Female</v>
      </c>
      <c r="D5" s="5">
        <v>1</v>
      </c>
      <c r="E5" s="5" t="str">
        <f>_xlfn.SWITCH(recruitment_data3[[#This Row],[EducationLevel]], 1,"Bachelor Type 1", 2,"Bachelor Type 2", 3,"Masters", 4,"PhD")</f>
        <v>Bachelor Type 2</v>
      </c>
      <c r="F5" s="5">
        <v>2</v>
      </c>
      <c r="G5" s="5">
        <v>5</v>
      </c>
      <c r="H5" s="5">
        <v>2</v>
      </c>
      <c r="I5" s="5">
        <v>6.4077507286678372</v>
      </c>
      <c r="J5" s="5">
        <v>36</v>
      </c>
      <c r="K5" s="5">
        <v>27</v>
      </c>
      <c r="L5" s="5">
        <v>70</v>
      </c>
      <c r="M5" s="5" t="str">
        <f>_xlfn.SWITCH(recruitment_data3[[#This Row],[RecruitmentStrategy]], 1,"Aggressive", 2,"Moderate", 3,"Conservative")</f>
        <v>Conservative</v>
      </c>
      <c r="N5" s="5">
        <v>3</v>
      </c>
      <c r="O5" s="5" t="str">
        <f>IF(recruitment_data3[[#This Row],[HiringDecision]]=1,"Hired","Rejected")</f>
        <v>Rejected</v>
      </c>
      <c r="P5" s="6">
        <v>0</v>
      </c>
      <c r="R5" s="27" t="s">
        <v>21</v>
      </c>
    </row>
    <row r="6" spans="1:18" x14ac:dyDescent="0.25">
      <c r="A6" s="4" t="str">
        <f t="shared" si="0"/>
        <v>C0005</v>
      </c>
      <c r="B6" s="4">
        <v>30</v>
      </c>
      <c r="C6" s="5" t="str">
        <f>IF(recruitment_data3[[#This Row],[Gender]]=1,"Female","Male")</f>
        <v>Male</v>
      </c>
      <c r="D6" s="5">
        <v>0</v>
      </c>
      <c r="E6" s="5" t="str">
        <f>_xlfn.SWITCH(recruitment_data3[[#This Row],[EducationLevel]], 1,"Bachelor Type 1", 2,"Bachelor Type 2", 3,"Masters", 4,"PhD")</f>
        <v>Bachelor Type 1</v>
      </c>
      <c r="F6" s="5">
        <v>1</v>
      </c>
      <c r="G6" s="5">
        <v>6</v>
      </c>
      <c r="H6" s="5">
        <v>1</v>
      </c>
      <c r="I6" s="5">
        <v>43.105343124175583</v>
      </c>
      <c r="J6" s="5">
        <v>23</v>
      </c>
      <c r="K6" s="5">
        <v>52</v>
      </c>
      <c r="L6" s="5">
        <v>85</v>
      </c>
      <c r="M6" s="5" t="str">
        <f>_xlfn.SWITCH(recruitment_data3[[#This Row],[RecruitmentStrategy]], 1,"Aggressive", 2,"Moderate", 3,"Conservative")</f>
        <v>Moderate</v>
      </c>
      <c r="N6" s="5">
        <v>2</v>
      </c>
      <c r="O6" s="5" t="str">
        <f>IF(recruitment_data3[[#This Row],[HiringDecision]]=1,"Hired","Rejected")</f>
        <v>Rejected</v>
      </c>
      <c r="P6" s="6">
        <v>0</v>
      </c>
      <c r="R6" s="27" t="s">
        <v>22</v>
      </c>
    </row>
    <row r="7" spans="1:18" x14ac:dyDescent="0.25">
      <c r="A7" s="4" t="str">
        <f t="shared" si="0"/>
        <v>C0006</v>
      </c>
      <c r="B7" s="4">
        <v>27</v>
      </c>
      <c r="C7" s="5" t="str">
        <f>IF(recruitment_data3[[#This Row],[Gender]]=1,"Female","Male")</f>
        <v>Male</v>
      </c>
      <c r="D7" s="5">
        <v>0</v>
      </c>
      <c r="E7" s="5" t="str">
        <f>_xlfn.SWITCH(recruitment_data3[[#This Row],[EducationLevel]], 1,"Bachelor Type 1", 2,"Bachelor Type 2", 3,"Masters", 4,"PhD")</f>
        <v>Masters</v>
      </c>
      <c r="F7" s="5">
        <v>3</v>
      </c>
      <c r="G7" s="5">
        <v>14</v>
      </c>
      <c r="H7" s="5">
        <v>4</v>
      </c>
      <c r="I7" s="5">
        <v>31.706658809375902</v>
      </c>
      <c r="J7" s="5">
        <v>54</v>
      </c>
      <c r="K7" s="5">
        <v>50</v>
      </c>
      <c r="L7" s="5">
        <v>50</v>
      </c>
      <c r="M7" s="5" t="str">
        <f>_xlfn.SWITCH(recruitment_data3[[#This Row],[RecruitmentStrategy]], 1,"Aggressive", 2,"Moderate", 3,"Conservative")</f>
        <v>Aggressive</v>
      </c>
      <c r="N7" s="5">
        <v>1</v>
      </c>
      <c r="O7" s="5" t="str">
        <f>IF(recruitment_data3[[#This Row],[HiringDecision]]=1,"Hired","Rejected")</f>
        <v>Hired</v>
      </c>
      <c r="P7" s="6">
        <v>1</v>
      </c>
      <c r="R7" s="26" t="s">
        <v>24</v>
      </c>
    </row>
    <row r="8" spans="1:18" x14ac:dyDescent="0.25">
      <c r="A8" s="4" t="str">
        <f t="shared" si="0"/>
        <v>C0007</v>
      </c>
      <c r="B8" s="4">
        <v>48</v>
      </c>
      <c r="C8" s="5" t="str">
        <f>IF(recruitment_data3[[#This Row],[Gender]]=1,"Female","Male")</f>
        <v>Male</v>
      </c>
      <c r="D8" s="5">
        <v>0</v>
      </c>
      <c r="E8" s="5" t="str">
        <f>_xlfn.SWITCH(recruitment_data3[[#This Row],[EducationLevel]], 1,"Bachelor Type 1", 2,"Bachelor Type 2", 3,"Masters", 4,"PhD")</f>
        <v>Bachelor Type 2</v>
      </c>
      <c r="F8" s="5">
        <v>2</v>
      </c>
      <c r="G8" s="5">
        <v>6</v>
      </c>
      <c r="H8" s="5">
        <v>1</v>
      </c>
      <c r="I8" s="5">
        <v>17.291229200972435</v>
      </c>
      <c r="J8" s="5">
        <v>24</v>
      </c>
      <c r="K8" s="5">
        <v>52</v>
      </c>
      <c r="L8" s="5">
        <v>64</v>
      </c>
      <c r="M8" s="5" t="str">
        <f>_xlfn.SWITCH(recruitment_data3[[#This Row],[RecruitmentStrategy]], 1,"Aggressive", 2,"Moderate", 3,"Conservative")</f>
        <v>Conservative</v>
      </c>
      <c r="N8" s="5">
        <v>3</v>
      </c>
      <c r="O8" s="5" t="str">
        <f>IF(recruitment_data3[[#This Row],[HiringDecision]]=1,"Hired","Rejected")</f>
        <v>Rejected</v>
      </c>
      <c r="P8" s="6">
        <v>0</v>
      </c>
      <c r="R8" s="27" t="s">
        <v>22</v>
      </c>
    </row>
    <row r="9" spans="1:18" x14ac:dyDescent="0.25">
      <c r="A9" s="4" t="str">
        <f t="shared" si="0"/>
        <v>C0008</v>
      </c>
      <c r="B9" s="4">
        <v>40</v>
      </c>
      <c r="C9" s="5" t="str">
        <f>IF(recruitment_data3[[#This Row],[Gender]]=1,"Female","Male")</f>
        <v>Male</v>
      </c>
      <c r="D9" s="5">
        <v>0</v>
      </c>
      <c r="E9" s="5" t="str">
        <f>_xlfn.SWITCH(recruitment_data3[[#This Row],[EducationLevel]], 1,"Bachelor Type 1", 2,"Bachelor Type 2", 3,"Masters", 4,"PhD")</f>
        <v>PhD</v>
      </c>
      <c r="F9" s="5">
        <v>4</v>
      </c>
      <c r="G9" s="5">
        <v>13</v>
      </c>
      <c r="H9" s="5">
        <v>3</v>
      </c>
      <c r="I9" s="5">
        <v>10.586810869513323</v>
      </c>
      <c r="J9" s="5">
        <v>6</v>
      </c>
      <c r="K9" s="5">
        <v>3</v>
      </c>
      <c r="L9" s="5">
        <v>92</v>
      </c>
      <c r="M9" s="5" t="str">
        <f>_xlfn.SWITCH(recruitment_data3[[#This Row],[RecruitmentStrategy]], 1,"Aggressive", 2,"Moderate", 3,"Conservative")</f>
        <v>Conservative</v>
      </c>
      <c r="N9" s="5">
        <v>3</v>
      </c>
      <c r="O9" s="5" t="str">
        <f>IF(recruitment_data3[[#This Row],[HiringDecision]]=1,"Hired","Rejected")</f>
        <v>Rejected</v>
      </c>
      <c r="P9" s="6">
        <v>0</v>
      </c>
      <c r="R9" s="26" t="s">
        <v>25</v>
      </c>
    </row>
    <row r="10" spans="1:18" x14ac:dyDescent="0.25">
      <c r="A10" s="4" t="str">
        <f t="shared" si="0"/>
        <v>C0009</v>
      </c>
      <c r="B10" s="4">
        <v>26</v>
      </c>
      <c r="C10" s="5" t="str">
        <f>IF(recruitment_data3[[#This Row],[Gender]]=1,"Female","Male")</f>
        <v>Female</v>
      </c>
      <c r="D10" s="5">
        <v>1</v>
      </c>
      <c r="E10" s="5" t="str">
        <f>_xlfn.SWITCH(recruitment_data3[[#This Row],[EducationLevel]], 1,"Bachelor Type 1", 2,"Bachelor Type 2", 3,"Masters", 4,"PhD")</f>
        <v>Masters</v>
      </c>
      <c r="F10" s="5">
        <v>3</v>
      </c>
      <c r="G10" s="5">
        <v>6</v>
      </c>
      <c r="H10" s="5">
        <v>5</v>
      </c>
      <c r="I10" s="5">
        <v>28.774864008481572</v>
      </c>
      <c r="J10" s="5">
        <v>80</v>
      </c>
      <c r="K10" s="5">
        <v>78</v>
      </c>
      <c r="L10" s="5">
        <v>51</v>
      </c>
      <c r="M10" s="5" t="str">
        <f>_xlfn.SWITCH(recruitment_data3[[#This Row],[RecruitmentStrategy]], 1,"Aggressive", 2,"Moderate", 3,"Conservative")</f>
        <v>Aggressive</v>
      </c>
      <c r="N10" s="5">
        <v>1</v>
      </c>
      <c r="O10" s="5" t="str">
        <f>IF(recruitment_data3[[#This Row],[HiringDecision]]=1,"Hired","Rejected")</f>
        <v>Hired</v>
      </c>
      <c r="P10" s="6">
        <v>1</v>
      </c>
      <c r="R10" s="27" t="s">
        <v>21</v>
      </c>
    </row>
    <row r="11" spans="1:18" x14ac:dyDescent="0.25">
      <c r="A11" s="4" t="str">
        <f t="shared" si="0"/>
        <v>C0010</v>
      </c>
      <c r="B11" s="4">
        <v>45</v>
      </c>
      <c r="C11" s="5" t="str">
        <f>IF(recruitment_data3[[#This Row],[Gender]]=1,"Female","Male")</f>
        <v>Female</v>
      </c>
      <c r="D11" s="5">
        <v>1</v>
      </c>
      <c r="E11" s="5" t="str">
        <f>_xlfn.SWITCH(recruitment_data3[[#This Row],[EducationLevel]], 1,"Bachelor Type 1", 2,"Bachelor Type 2", 3,"Masters", 4,"PhD")</f>
        <v>Bachelor Type 2</v>
      </c>
      <c r="F11" s="5">
        <v>2</v>
      </c>
      <c r="G11" s="5">
        <v>2</v>
      </c>
      <c r="H11" s="5">
        <v>5</v>
      </c>
      <c r="I11" s="5">
        <v>30.195964463056768</v>
      </c>
      <c r="J11" s="5">
        <v>92</v>
      </c>
      <c r="K11" s="5">
        <v>16</v>
      </c>
      <c r="L11" s="5">
        <v>94</v>
      </c>
      <c r="M11" s="5" t="str">
        <f>_xlfn.SWITCH(recruitment_data3[[#This Row],[RecruitmentStrategy]], 1,"Aggressive", 2,"Moderate", 3,"Conservative")</f>
        <v>Conservative</v>
      </c>
      <c r="N11" s="5">
        <v>3</v>
      </c>
      <c r="O11" s="5" t="str">
        <f>IF(recruitment_data3[[#This Row],[HiringDecision]]=1,"Hired","Rejected")</f>
        <v>Rejected</v>
      </c>
      <c r="P11" s="6">
        <v>0</v>
      </c>
      <c r="R11" s="27" t="s">
        <v>22</v>
      </c>
    </row>
    <row r="12" spans="1:18" x14ac:dyDescent="0.25">
      <c r="A12" s="4" t="str">
        <f t="shared" si="0"/>
        <v>C0011</v>
      </c>
      <c r="B12" s="4">
        <v>38</v>
      </c>
      <c r="C12" s="5" t="str">
        <f>IF(recruitment_data3[[#This Row],[Gender]]=1,"Female","Male")</f>
        <v>Female</v>
      </c>
      <c r="D12" s="5">
        <v>1</v>
      </c>
      <c r="E12" s="5" t="str">
        <f>_xlfn.SWITCH(recruitment_data3[[#This Row],[EducationLevel]], 1,"Bachelor Type 1", 2,"Bachelor Type 2", 3,"Masters", 4,"PhD")</f>
        <v>Bachelor Type 1</v>
      </c>
      <c r="F12" s="5">
        <v>1</v>
      </c>
      <c r="G12" s="5">
        <v>15</v>
      </c>
      <c r="H12" s="5">
        <v>2</v>
      </c>
      <c r="I12" s="5">
        <v>11.349680062252908</v>
      </c>
      <c r="J12" s="5">
        <v>93</v>
      </c>
      <c r="K12" s="5">
        <v>66</v>
      </c>
      <c r="L12" s="5">
        <v>29</v>
      </c>
      <c r="M12" s="5" t="str">
        <f>_xlfn.SWITCH(recruitment_data3[[#This Row],[RecruitmentStrategy]], 1,"Aggressive", 2,"Moderate", 3,"Conservative")</f>
        <v>Moderate</v>
      </c>
      <c r="N12" s="5">
        <v>2</v>
      </c>
      <c r="O12" s="5" t="str">
        <f>IF(recruitment_data3[[#This Row],[HiringDecision]]=1,"Hired","Rejected")</f>
        <v>Rejected</v>
      </c>
      <c r="P12" s="6">
        <v>0</v>
      </c>
      <c r="R12" s="25" t="s">
        <v>16</v>
      </c>
    </row>
    <row r="13" spans="1:18" x14ac:dyDescent="0.25">
      <c r="A13" s="4" t="str">
        <f t="shared" si="0"/>
        <v>C0012</v>
      </c>
      <c r="B13" s="4">
        <v>42</v>
      </c>
      <c r="C13" s="5" t="str">
        <f>IF(recruitment_data3[[#This Row],[Gender]]=1,"Female","Male")</f>
        <v>Male</v>
      </c>
      <c r="D13" s="5">
        <v>0</v>
      </c>
      <c r="E13" s="5" t="str">
        <f>_xlfn.SWITCH(recruitment_data3[[#This Row],[EducationLevel]], 1,"Bachelor Type 1", 2,"Bachelor Type 2", 3,"Masters", 4,"PhD")</f>
        <v>Masters</v>
      </c>
      <c r="F13" s="5">
        <v>3</v>
      </c>
      <c r="G13" s="5">
        <v>5</v>
      </c>
      <c r="H13" s="5">
        <v>5</v>
      </c>
      <c r="I13" s="5">
        <v>43.570287394573697</v>
      </c>
      <c r="J13" s="5">
        <v>70</v>
      </c>
      <c r="K13" s="5">
        <v>73</v>
      </c>
      <c r="L13" s="5">
        <v>56</v>
      </c>
      <c r="M13" s="5" t="str">
        <f>_xlfn.SWITCH(recruitment_data3[[#This Row],[RecruitmentStrategy]], 1,"Aggressive", 2,"Moderate", 3,"Conservative")</f>
        <v>Moderate</v>
      </c>
      <c r="N13" s="5">
        <v>2</v>
      </c>
      <c r="O13" s="5" t="str">
        <f>IF(recruitment_data3[[#This Row],[HiringDecision]]=1,"Hired","Rejected")</f>
        <v>Rejected</v>
      </c>
      <c r="P13" s="6">
        <v>0</v>
      </c>
      <c r="R13" s="26" t="s">
        <v>23</v>
      </c>
    </row>
    <row r="14" spans="1:18" x14ac:dyDescent="0.25">
      <c r="A14" s="4" t="str">
        <f t="shared" si="0"/>
        <v>C0013</v>
      </c>
      <c r="B14" s="4">
        <v>30</v>
      </c>
      <c r="C14" s="5" t="str">
        <f>IF(recruitment_data3[[#This Row],[Gender]]=1,"Female","Male")</f>
        <v>Male</v>
      </c>
      <c r="D14" s="5">
        <v>0</v>
      </c>
      <c r="E14" s="5" t="str">
        <f>_xlfn.SWITCH(recruitment_data3[[#This Row],[EducationLevel]], 1,"Bachelor Type 1", 2,"Bachelor Type 2", 3,"Masters", 4,"PhD")</f>
        <v>Masters</v>
      </c>
      <c r="F14" s="5">
        <v>3</v>
      </c>
      <c r="G14" s="5">
        <v>12</v>
      </c>
      <c r="H14" s="5">
        <v>5</v>
      </c>
      <c r="I14" s="5">
        <v>5.2132183077925545</v>
      </c>
      <c r="J14" s="5">
        <v>96</v>
      </c>
      <c r="K14" s="5">
        <v>46</v>
      </c>
      <c r="L14" s="5">
        <v>78</v>
      </c>
      <c r="M14" s="5" t="str">
        <f>_xlfn.SWITCH(recruitment_data3[[#This Row],[RecruitmentStrategy]], 1,"Aggressive", 2,"Moderate", 3,"Conservative")</f>
        <v>Conservative</v>
      </c>
      <c r="N14" s="5">
        <v>3</v>
      </c>
      <c r="O14" s="5" t="str">
        <f>IF(recruitment_data3[[#This Row],[HiringDecision]]=1,"Hired","Rejected")</f>
        <v>Hired</v>
      </c>
      <c r="P14" s="6">
        <v>1</v>
      </c>
      <c r="R14" s="27" t="s">
        <v>21</v>
      </c>
    </row>
    <row r="15" spans="1:18" x14ac:dyDescent="0.25">
      <c r="A15" s="4" t="str">
        <f t="shared" si="0"/>
        <v>C0014</v>
      </c>
      <c r="B15" s="4">
        <v>30</v>
      </c>
      <c r="C15" s="5" t="str">
        <f>IF(recruitment_data3[[#This Row],[Gender]]=1,"Female","Male")</f>
        <v>Male</v>
      </c>
      <c r="D15" s="5">
        <v>0</v>
      </c>
      <c r="E15" s="5" t="str">
        <f>_xlfn.SWITCH(recruitment_data3[[#This Row],[EducationLevel]], 1,"Bachelor Type 1", 2,"Bachelor Type 2", 3,"Masters", 4,"PhD")</f>
        <v>Bachelor Type 1</v>
      </c>
      <c r="F15" s="5">
        <v>1</v>
      </c>
      <c r="G15" s="5">
        <v>7</v>
      </c>
      <c r="H15" s="5">
        <v>5</v>
      </c>
      <c r="I15" s="5">
        <v>18.804654258321083</v>
      </c>
      <c r="J15" s="5">
        <v>70</v>
      </c>
      <c r="K15" s="5">
        <v>55</v>
      </c>
      <c r="L15" s="5">
        <v>81</v>
      </c>
      <c r="M15" s="5" t="str">
        <f>_xlfn.SWITCH(recruitment_data3[[#This Row],[RecruitmentStrategy]], 1,"Aggressive", 2,"Moderate", 3,"Conservative")</f>
        <v>Moderate</v>
      </c>
      <c r="N15" s="5">
        <v>2</v>
      </c>
      <c r="O15" s="5" t="str">
        <f>IF(recruitment_data3[[#This Row],[HiringDecision]]=1,"Hired","Rejected")</f>
        <v>Rejected</v>
      </c>
      <c r="P15" s="6">
        <v>0</v>
      </c>
      <c r="R15" s="27" t="s">
        <v>22</v>
      </c>
    </row>
    <row r="16" spans="1:18" x14ac:dyDescent="0.25">
      <c r="A16" s="4" t="str">
        <f t="shared" si="0"/>
        <v>C0015</v>
      </c>
      <c r="B16" s="4">
        <v>43</v>
      </c>
      <c r="C16" s="5" t="str">
        <f>IF(recruitment_data3[[#This Row],[Gender]]=1,"Female","Male")</f>
        <v>Female</v>
      </c>
      <c r="D16" s="5">
        <v>1</v>
      </c>
      <c r="E16" s="5" t="str">
        <f>_xlfn.SWITCH(recruitment_data3[[#This Row],[EducationLevel]], 1,"Bachelor Type 1", 2,"Bachelor Type 2", 3,"Masters", 4,"PhD")</f>
        <v>Bachelor Type 2</v>
      </c>
      <c r="F16" s="5">
        <v>2</v>
      </c>
      <c r="G16" s="5">
        <v>3</v>
      </c>
      <c r="H16" s="5">
        <v>3</v>
      </c>
      <c r="I16" s="5">
        <v>35.019220688126104</v>
      </c>
      <c r="J16" s="5">
        <v>23</v>
      </c>
      <c r="K16" s="5">
        <v>22</v>
      </c>
      <c r="L16" s="5">
        <v>98</v>
      </c>
      <c r="M16" s="5" t="str">
        <f>_xlfn.SWITCH(recruitment_data3[[#This Row],[RecruitmentStrategy]], 1,"Aggressive", 2,"Moderate", 3,"Conservative")</f>
        <v>Aggressive</v>
      </c>
      <c r="N16" s="5">
        <v>1</v>
      </c>
      <c r="O16" s="5" t="str">
        <f>IF(recruitment_data3[[#This Row],[HiringDecision]]=1,"Hired","Rejected")</f>
        <v>Rejected</v>
      </c>
      <c r="P16" s="6">
        <v>0</v>
      </c>
      <c r="R16" s="26" t="s">
        <v>24</v>
      </c>
    </row>
    <row r="17" spans="1:18" x14ac:dyDescent="0.25">
      <c r="A17" s="4" t="str">
        <f t="shared" si="0"/>
        <v>C0016</v>
      </c>
      <c r="B17" s="4">
        <v>40</v>
      </c>
      <c r="C17" s="5" t="str">
        <f>IF(recruitment_data3[[#This Row],[Gender]]=1,"Female","Male")</f>
        <v>Male</v>
      </c>
      <c r="D17" s="5">
        <v>0</v>
      </c>
      <c r="E17" s="5" t="str">
        <f>_xlfn.SWITCH(recruitment_data3[[#This Row],[EducationLevel]], 1,"Bachelor Type 1", 2,"Bachelor Type 2", 3,"Masters", 4,"PhD")</f>
        <v>Masters</v>
      </c>
      <c r="F17" s="5">
        <v>3</v>
      </c>
      <c r="G17" s="5">
        <v>12</v>
      </c>
      <c r="H17" s="5">
        <v>5</v>
      </c>
      <c r="I17" s="5">
        <v>14.706018190960034</v>
      </c>
      <c r="J17" s="5">
        <v>10</v>
      </c>
      <c r="K17" s="5">
        <v>17</v>
      </c>
      <c r="L17" s="5">
        <v>29</v>
      </c>
      <c r="M17" s="5" t="str">
        <f>_xlfn.SWITCH(recruitment_data3[[#This Row],[RecruitmentStrategy]], 1,"Aggressive", 2,"Moderate", 3,"Conservative")</f>
        <v>Moderate</v>
      </c>
      <c r="N17" s="5">
        <v>2</v>
      </c>
      <c r="O17" s="5" t="str">
        <f>IF(recruitment_data3[[#This Row],[HiringDecision]]=1,"Hired","Rejected")</f>
        <v>Rejected</v>
      </c>
      <c r="P17" s="6">
        <v>0</v>
      </c>
      <c r="R17" s="27" t="s">
        <v>21</v>
      </c>
    </row>
    <row r="18" spans="1:18" x14ac:dyDescent="0.25">
      <c r="A18" s="4" t="str">
        <f t="shared" si="0"/>
        <v>C0017</v>
      </c>
      <c r="B18" s="4">
        <v>23</v>
      </c>
      <c r="C18" s="5" t="str">
        <f>IF(recruitment_data3[[#This Row],[Gender]]=1,"Female","Male")</f>
        <v>Female</v>
      </c>
      <c r="D18" s="5">
        <v>1</v>
      </c>
      <c r="E18" s="5" t="str">
        <f>_xlfn.SWITCH(recruitment_data3[[#This Row],[EducationLevel]], 1,"Bachelor Type 1", 2,"Bachelor Type 2", 3,"Masters", 4,"PhD")</f>
        <v>Bachelor Type 1</v>
      </c>
      <c r="F18" s="5">
        <v>1</v>
      </c>
      <c r="G18" s="5">
        <v>7</v>
      </c>
      <c r="H18" s="5">
        <v>5</v>
      </c>
      <c r="I18" s="5">
        <v>42.383759739063592</v>
      </c>
      <c r="J18" s="5">
        <v>72</v>
      </c>
      <c r="K18" s="5">
        <v>0</v>
      </c>
      <c r="L18" s="5">
        <v>97</v>
      </c>
      <c r="M18" s="5" t="str">
        <f>_xlfn.SWITCH(recruitment_data3[[#This Row],[RecruitmentStrategy]], 1,"Aggressive", 2,"Moderate", 3,"Conservative")</f>
        <v>Moderate</v>
      </c>
      <c r="N18" s="5">
        <v>2</v>
      </c>
      <c r="O18" s="5" t="str">
        <f>IF(recruitment_data3[[#This Row],[HiringDecision]]=1,"Hired","Rejected")</f>
        <v>Rejected</v>
      </c>
      <c r="P18" s="6">
        <v>0</v>
      </c>
      <c r="R18" s="27" t="s">
        <v>22</v>
      </c>
    </row>
    <row r="19" spans="1:18" x14ac:dyDescent="0.25">
      <c r="A19" s="4" t="str">
        <f t="shared" si="0"/>
        <v>C0018</v>
      </c>
      <c r="B19" s="4">
        <v>27</v>
      </c>
      <c r="C19" s="5" t="str">
        <f>IF(recruitment_data3[[#This Row],[Gender]]=1,"Female","Male")</f>
        <v>Female</v>
      </c>
      <c r="D19" s="5">
        <v>1</v>
      </c>
      <c r="E19" s="5" t="str">
        <f>_xlfn.SWITCH(recruitment_data3[[#This Row],[EducationLevel]], 1,"Bachelor Type 1", 2,"Bachelor Type 2", 3,"Masters", 4,"PhD")</f>
        <v>PhD</v>
      </c>
      <c r="F19" s="5">
        <v>4</v>
      </c>
      <c r="G19" s="5">
        <v>1</v>
      </c>
      <c r="H19" s="5">
        <v>5</v>
      </c>
      <c r="I19" s="5">
        <v>37.993391330020174</v>
      </c>
      <c r="J19" s="5">
        <v>11</v>
      </c>
      <c r="K19" s="5">
        <v>34</v>
      </c>
      <c r="L19" s="5">
        <v>41</v>
      </c>
      <c r="M19" s="5" t="str">
        <f>_xlfn.SWITCH(recruitment_data3[[#This Row],[RecruitmentStrategy]], 1,"Aggressive", 2,"Moderate", 3,"Conservative")</f>
        <v>Aggressive</v>
      </c>
      <c r="N19" s="5">
        <v>1</v>
      </c>
      <c r="O19" s="5" t="str">
        <f>IF(recruitment_data3[[#This Row],[HiringDecision]]=1,"Hired","Rejected")</f>
        <v>Rejected</v>
      </c>
      <c r="P19" s="6">
        <v>0</v>
      </c>
      <c r="R19" s="26" t="s">
        <v>25</v>
      </c>
    </row>
    <row r="20" spans="1:18" x14ac:dyDescent="0.25">
      <c r="A20" s="4" t="str">
        <f t="shared" si="0"/>
        <v>C0019</v>
      </c>
      <c r="B20" s="4">
        <v>43</v>
      </c>
      <c r="C20" s="5" t="str">
        <f>IF(recruitment_data3[[#This Row],[Gender]]=1,"Female","Male")</f>
        <v>Female</v>
      </c>
      <c r="D20" s="5">
        <v>1</v>
      </c>
      <c r="E20" s="5" t="str">
        <f>_xlfn.SWITCH(recruitment_data3[[#This Row],[EducationLevel]], 1,"Bachelor Type 1", 2,"Bachelor Type 2", 3,"Masters", 4,"PhD")</f>
        <v>Bachelor Type 2</v>
      </c>
      <c r="F20" s="5">
        <v>2</v>
      </c>
      <c r="G20" s="5">
        <v>14</v>
      </c>
      <c r="H20" s="5">
        <v>1</v>
      </c>
      <c r="I20" s="5">
        <v>40.451142227406713</v>
      </c>
      <c r="J20" s="5">
        <v>34</v>
      </c>
      <c r="K20" s="5">
        <v>63</v>
      </c>
      <c r="L20" s="5">
        <v>10</v>
      </c>
      <c r="M20" s="5" t="str">
        <f>_xlfn.SWITCH(recruitment_data3[[#This Row],[RecruitmentStrategy]], 1,"Aggressive", 2,"Moderate", 3,"Conservative")</f>
        <v>Moderate</v>
      </c>
      <c r="N20" s="5">
        <v>2</v>
      </c>
      <c r="O20" s="5" t="str">
        <f>IF(recruitment_data3[[#This Row],[HiringDecision]]=1,"Hired","Rejected")</f>
        <v>Rejected</v>
      </c>
      <c r="P20" s="6">
        <v>0</v>
      </c>
      <c r="R20" s="27" t="s">
        <v>21</v>
      </c>
    </row>
    <row r="21" spans="1:18" x14ac:dyDescent="0.25">
      <c r="A21" s="4" t="str">
        <f t="shared" si="0"/>
        <v>C0020</v>
      </c>
      <c r="B21" s="4">
        <v>22</v>
      </c>
      <c r="C21" s="5" t="str">
        <f>IF(recruitment_data3[[#This Row],[Gender]]=1,"Female","Male")</f>
        <v>Female</v>
      </c>
      <c r="D21" s="5">
        <v>1</v>
      </c>
      <c r="E21" s="5" t="str">
        <f>_xlfn.SWITCH(recruitment_data3[[#This Row],[EducationLevel]], 1,"Bachelor Type 1", 2,"Bachelor Type 2", 3,"Masters", 4,"PhD")</f>
        <v>Bachelor Type 1</v>
      </c>
      <c r="F21" s="5">
        <v>1</v>
      </c>
      <c r="G21" s="5">
        <v>9</v>
      </c>
      <c r="H21" s="5">
        <v>3</v>
      </c>
      <c r="I21" s="5">
        <v>6.9553267938358134</v>
      </c>
      <c r="J21" s="5">
        <v>62</v>
      </c>
      <c r="K21" s="5">
        <v>57</v>
      </c>
      <c r="L21" s="5">
        <v>26</v>
      </c>
      <c r="M21" s="5" t="str">
        <f>_xlfn.SWITCH(recruitment_data3[[#This Row],[RecruitmentStrategy]], 1,"Aggressive", 2,"Moderate", 3,"Conservative")</f>
        <v>Moderate</v>
      </c>
      <c r="N21" s="5">
        <v>2</v>
      </c>
      <c r="O21" s="5" t="str">
        <f>IF(recruitment_data3[[#This Row],[HiringDecision]]=1,"Hired","Rejected")</f>
        <v>Rejected</v>
      </c>
      <c r="P21" s="6">
        <v>0</v>
      </c>
      <c r="R21" s="27" t="s">
        <v>22</v>
      </c>
    </row>
    <row r="22" spans="1:18" x14ac:dyDescent="0.25">
      <c r="A22" s="4" t="str">
        <f t="shared" si="0"/>
        <v>C0021</v>
      </c>
      <c r="B22" s="4">
        <v>41</v>
      </c>
      <c r="C22" s="5" t="str">
        <f>IF(recruitment_data3[[#This Row],[Gender]]=1,"Female","Male")</f>
        <v>Female</v>
      </c>
      <c r="D22" s="5">
        <v>1</v>
      </c>
      <c r="E22" s="5" t="str">
        <f>_xlfn.SWITCH(recruitment_data3[[#This Row],[EducationLevel]], 1,"Bachelor Type 1", 2,"Bachelor Type 2", 3,"Masters", 4,"PhD")</f>
        <v>Masters</v>
      </c>
      <c r="F22" s="5">
        <v>3</v>
      </c>
      <c r="G22" s="5">
        <v>8</v>
      </c>
      <c r="H22" s="5">
        <v>2</v>
      </c>
      <c r="I22" s="5">
        <v>8.0273563997771458</v>
      </c>
      <c r="J22" s="5">
        <v>67</v>
      </c>
      <c r="K22" s="5">
        <v>94</v>
      </c>
      <c r="L22" s="5">
        <v>23</v>
      </c>
      <c r="M22" s="5" t="str">
        <f>_xlfn.SWITCH(recruitment_data3[[#This Row],[RecruitmentStrategy]], 1,"Aggressive", 2,"Moderate", 3,"Conservative")</f>
        <v>Moderate</v>
      </c>
      <c r="N22" s="5">
        <v>2</v>
      </c>
      <c r="O22" s="5" t="str">
        <f>IF(recruitment_data3[[#This Row],[HiringDecision]]=1,"Hired","Rejected")</f>
        <v>Rejected</v>
      </c>
      <c r="P22" s="6">
        <v>0</v>
      </c>
      <c r="R22" s="25" t="s">
        <v>17</v>
      </c>
    </row>
    <row r="23" spans="1:18" x14ac:dyDescent="0.25">
      <c r="A23" s="4" t="str">
        <f t="shared" si="0"/>
        <v>C0022</v>
      </c>
      <c r="B23" s="4">
        <v>40</v>
      </c>
      <c r="C23" s="5" t="str">
        <f>IF(recruitment_data3[[#This Row],[Gender]]=1,"Female","Male")</f>
        <v>Female</v>
      </c>
      <c r="D23" s="5">
        <v>1</v>
      </c>
      <c r="E23" s="5" t="str">
        <f>_xlfn.SWITCH(recruitment_data3[[#This Row],[EducationLevel]], 1,"Bachelor Type 1", 2,"Bachelor Type 2", 3,"Masters", 4,"PhD")</f>
        <v>Bachelor Type 2</v>
      </c>
      <c r="F23" s="5">
        <v>2</v>
      </c>
      <c r="G23" s="5">
        <v>8</v>
      </c>
      <c r="H23" s="5">
        <v>1</v>
      </c>
      <c r="I23" s="5">
        <v>15.323686887229181</v>
      </c>
      <c r="J23" s="5">
        <v>99</v>
      </c>
      <c r="K23" s="5">
        <v>58</v>
      </c>
      <c r="L23" s="5">
        <v>98</v>
      </c>
      <c r="M23" s="5" t="str">
        <f>_xlfn.SWITCH(recruitment_data3[[#This Row],[RecruitmentStrategy]], 1,"Aggressive", 2,"Moderate", 3,"Conservative")</f>
        <v>Moderate</v>
      </c>
      <c r="N23" s="5">
        <v>2</v>
      </c>
      <c r="O23" s="5" t="str">
        <f>IF(recruitment_data3[[#This Row],[HiringDecision]]=1,"Hired","Rejected")</f>
        <v>Hired</v>
      </c>
      <c r="P23" s="6">
        <v>1</v>
      </c>
      <c r="R23" s="26" t="s">
        <v>23</v>
      </c>
    </row>
    <row r="24" spans="1:18" x14ac:dyDescent="0.25">
      <c r="A24" s="4" t="str">
        <f t="shared" si="0"/>
        <v>C0023</v>
      </c>
      <c r="B24" s="4">
        <v>21</v>
      </c>
      <c r="C24" s="5" t="str">
        <f>IF(recruitment_data3[[#This Row],[Gender]]=1,"Female","Male")</f>
        <v>Male</v>
      </c>
      <c r="D24" s="5">
        <v>0</v>
      </c>
      <c r="E24" s="5" t="str">
        <f>_xlfn.SWITCH(recruitment_data3[[#This Row],[EducationLevel]], 1,"Bachelor Type 1", 2,"Bachelor Type 2", 3,"Masters", 4,"PhD")</f>
        <v>Bachelor Type 2</v>
      </c>
      <c r="F24" s="5">
        <v>2</v>
      </c>
      <c r="G24" s="5">
        <v>7</v>
      </c>
      <c r="H24" s="5">
        <v>4</v>
      </c>
      <c r="I24" s="5">
        <v>26.903858259878053</v>
      </c>
      <c r="J24" s="5">
        <v>91</v>
      </c>
      <c r="K24" s="5">
        <v>0</v>
      </c>
      <c r="L24" s="5">
        <v>38</v>
      </c>
      <c r="M24" s="5" t="str">
        <f>_xlfn.SWITCH(recruitment_data3[[#This Row],[RecruitmentStrategy]], 1,"Aggressive", 2,"Moderate", 3,"Conservative")</f>
        <v>Conservative</v>
      </c>
      <c r="N24" s="5">
        <v>3</v>
      </c>
      <c r="O24" s="5" t="str">
        <f>IF(recruitment_data3[[#This Row],[HiringDecision]]=1,"Hired","Rejected")</f>
        <v>Rejected</v>
      </c>
      <c r="P24" s="6">
        <v>0</v>
      </c>
      <c r="R24" s="27" t="s">
        <v>21</v>
      </c>
    </row>
    <row r="25" spans="1:18" x14ac:dyDescent="0.25">
      <c r="A25" s="4" t="str">
        <f t="shared" si="0"/>
        <v>C0024</v>
      </c>
      <c r="B25" s="4">
        <v>43</v>
      </c>
      <c r="C25" s="5" t="str">
        <f>IF(recruitment_data3[[#This Row],[Gender]]=1,"Female","Male")</f>
        <v>Male</v>
      </c>
      <c r="D25" s="5">
        <v>0</v>
      </c>
      <c r="E25" s="5" t="str">
        <f>_xlfn.SWITCH(recruitment_data3[[#This Row],[EducationLevel]], 1,"Bachelor Type 1", 2,"Bachelor Type 2", 3,"Masters", 4,"PhD")</f>
        <v>Bachelor Type 1</v>
      </c>
      <c r="F25" s="5">
        <v>1</v>
      </c>
      <c r="G25" s="5">
        <v>9</v>
      </c>
      <c r="H25" s="5">
        <v>3</v>
      </c>
      <c r="I25" s="5">
        <v>38.40080383497012</v>
      </c>
      <c r="J25" s="5">
        <v>56</v>
      </c>
      <c r="K25" s="5">
        <v>2</v>
      </c>
      <c r="L25" s="5">
        <v>71</v>
      </c>
      <c r="M25" s="5" t="str">
        <f>_xlfn.SWITCH(recruitment_data3[[#This Row],[RecruitmentStrategy]], 1,"Aggressive", 2,"Moderate", 3,"Conservative")</f>
        <v>Moderate</v>
      </c>
      <c r="N25" s="5">
        <v>2</v>
      </c>
      <c r="O25" s="5" t="str">
        <f>IF(recruitment_data3[[#This Row],[HiringDecision]]=1,"Hired","Rejected")</f>
        <v>Rejected</v>
      </c>
      <c r="P25" s="6">
        <v>0</v>
      </c>
      <c r="R25" s="27" t="s">
        <v>22</v>
      </c>
    </row>
    <row r="26" spans="1:18" x14ac:dyDescent="0.25">
      <c r="A26" s="4" t="str">
        <f t="shared" si="0"/>
        <v>C0025</v>
      </c>
      <c r="B26" s="4">
        <v>31</v>
      </c>
      <c r="C26" s="5" t="str">
        <f>IF(recruitment_data3[[#This Row],[Gender]]=1,"Female","Male")</f>
        <v>Female</v>
      </c>
      <c r="D26" s="5">
        <v>1</v>
      </c>
      <c r="E26" s="5" t="str">
        <f>_xlfn.SWITCH(recruitment_data3[[#This Row],[EducationLevel]], 1,"Bachelor Type 1", 2,"Bachelor Type 2", 3,"Masters", 4,"PhD")</f>
        <v>Bachelor Type 1</v>
      </c>
      <c r="F26" s="5">
        <v>1</v>
      </c>
      <c r="G26" s="5">
        <v>13</v>
      </c>
      <c r="H26" s="5">
        <v>3</v>
      </c>
      <c r="I26" s="5">
        <v>42.826544538045177</v>
      </c>
      <c r="J26" s="5">
        <v>12</v>
      </c>
      <c r="K26" s="5">
        <v>66</v>
      </c>
      <c r="L26" s="5">
        <v>17</v>
      </c>
      <c r="M26" s="5" t="str">
        <f>_xlfn.SWITCH(recruitment_data3[[#This Row],[RecruitmentStrategy]], 1,"Aggressive", 2,"Moderate", 3,"Conservative")</f>
        <v>Moderate</v>
      </c>
      <c r="N26" s="5">
        <v>2</v>
      </c>
      <c r="O26" s="5" t="str">
        <f>IF(recruitment_data3[[#This Row],[HiringDecision]]=1,"Hired","Rejected")</f>
        <v>Rejected</v>
      </c>
      <c r="P26" s="6">
        <v>0</v>
      </c>
      <c r="R26" s="26" t="s">
        <v>24</v>
      </c>
    </row>
    <row r="27" spans="1:18" x14ac:dyDescent="0.25">
      <c r="A27" s="4" t="str">
        <f t="shared" si="0"/>
        <v>C0026</v>
      </c>
      <c r="B27" s="4">
        <v>49</v>
      </c>
      <c r="C27" s="5" t="str">
        <f>IF(recruitment_data3[[#This Row],[Gender]]=1,"Female","Male")</f>
        <v>Female</v>
      </c>
      <c r="D27" s="5">
        <v>1</v>
      </c>
      <c r="E27" s="5" t="str">
        <f>_xlfn.SWITCH(recruitment_data3[[#This Row],[EducationLevel]], 1,"Bachelor Type 1", 2,"Bachelor Type 2", 3,"Masters", 4,"PhD")</f>
        <v>Bachelor Type 2</v>
      </c>
      <c r="F27" s="5">
        <v>2</v>
      </c>
      <c r="G27" s="5">
        <v>12</v>
      </c>
      <c r="H27" s="5">
        <v>4</v>
      </c>
      <c r="I27" s="5">
        <v>36.216765797859026</v>
      </c>
      <c r="J27" s="5">
        <v>22</v>
      </c>
      <c r="K27" s="5">
        <v>36</v>
      </c>
      <c r="L27" s="5">
        <v>76</v>
      </c>
      <c r="M27" s="5" t="str">
        <f>_xlfn.SWITCH(recruitment_data3[[#This Row],[RecruitmentStrategy]], 1,"Aggressive", 2,"Moderate", 3,"Conservative")</f>
        <v>Aggressive</v>
      </c>
      <c r="N27" s="5">
        <v>1</v>
      </c>
      <c r="O27" s="5" t="str">
        <f>IF(recruitment_data3[[#This Row],[HiringDecision]]=1,"Hired","Rejected")</f>
        <v>Hired</v>
      </c>
      <c r="P27" s="6">
        <v>1</v>
      </c>
      <c r="R27" s="27" t="s">
        <v>21</v>
      </c>
    </row>
    <row r="28" spans="1:18" x14ac:dyDescent="0.25">
      <c r="A28" s="4" t="str">
        <f t="shared" si="0"/>
        <v>C0027</v>
      </c>
      <c r="B28" s="4">
        <v>25</v>
      </c>
      <c r="C28" s="5" t="str">
        <f>IF(recruitment_data3[[#This Row],[Gender]]=1,"Female","Male")</f>
        <v>Male</v>
      </c>
      <c r="D28" s="5">
        <v>0</v>
      </c>
      <c r="E28" s="5" t="str">
        <f>_xlfn.SWITCH(recruitment_data3[[#This Row],[EducationLevel]], 1,"Bachelor Type 1", 2,"Bachelor Type 2", 3,"Masters", 4,"PhD")</f>
        <v>Bachelor Type 2</v>
      </c>
      <c r="F28" s="5">
        <v>2</v>
      </c>
      <c r="G28" s="5">
        <v>9</v>
      </c>
      <c r="H28" s="5">
        <v>4</v>
      </c>
      <c r="I28" s="5">
        <v>47.429844076531914</v>
      </c>
      <c r="J28" s="5">
        <v>82</v>
      </c>
      <c r="K28" s="5">
        <v>82</v>
      </c>
      <c r="L28" s="5">
        <v>44</v>
      </c>
      <c r="M28" s="5" t="str">
        <f>_xlfn.SWITCH(recruitment_data3[[#This Row],[RecruitmentStrategy]], 1,"Aggressive", 2,"Moderate", 3,"Conservative")</f>
        <v>Moderate</v>
      </c>
      <c r="N28" s="5">
        <v>2</v>
      </c>
      <c r="O28" s="5" t="str">
        <f>IF(recruitment_data3[[#This Row],[HiringDecision]]=1,"Hired","Rejected")</f>
        <v>Rejected</v>
      </c>
      <c r="P28" s="6">
        <v>0</v>
      </c>
      <c r="R28" s="27" t="s">
        <v>22</v>
      </c>
    </row>
    <row r="29" spans="1:18" x14ac:dyDescent="0.25">
      <c r="A29" s="4" t="str">
        <f t="shared" si="0"/>
        <v>C0028</v>
      </c>
      <c r="B29" s="4">
        <v>21</v>
      </c>
      <c r="C29" s="5" t="str">
        <f>IF(recruitment_data3[[#This Row],[Gender]]=1,"Female","Male")</f>
        <v>Female</v>
      </c>
      <c r="D29" s="5">
        <v>1</v>
      </c>
      <c r="E29" s="5" t="str">
        <f>_xlfn.SWITCH(recruitment_data3[[#This Row],[EducationLevel]], 1,"Bachelor Type 1", 2,"Bachelor Type 2", 3,"Masters", 4,"PhD")</f>
        <v>Bachelor Type 2</v>
      </c>
      <c r="F29" s="5">
        <v>2</v>
      </c>
      <c r="G29" s="5">
        <v>0</v>
      </c>
      <c r="H29" s="5">
        <v>4</v>
      </c>
      <c r="I29" s="5">
        <v>37.937175480796512</v>
      </c>
      <c r="J29" s="5">
        <v>100</v>
      </c>
      <c r="K29" s="5">
        <v>28</v>
      </c>
      <c r="L29" s="5">
        <v>87</v>
      </c>
      <c r="M29" s="5" t="str">
        <f>_xlfn.SWITCH(recruitment_data3[[#This Row],[RecruitmentStrategy]], 1,"Aggressive", 2,"Moderate", 3,"Conservative")</f>
        <v>Conservative</v>
      </c>
      <c r="N29" s="5">
        <v>3</v>
      </c>
      <c r="O29" s="5" t="str">
        <f>IF(recruitment_data3[[#This Row],[HiringDecision]]=1,"Hired","Rejected")</f>
        <v>Rejected</v>
      </c>
      <c r="P29" s="6">
        <v>0</v>
      </c>
      <c r="R29" s="26" t="s">
        <v>25</v>
      </c>
    </row>
    <row r="30" spans="1:18" x14ac:dyDescent="0.25">
      <c r="A30" s="4" t="str">
        <f t="shared" si="0"/>
        <v>C0029</v>
      </c>
      <c r="B30" s="4">
        <v>47</v>
      </c>
      <c r="C30" s="5" t="str">
        <f>IF(recruitment_data3[[#This Row],[Gender]]=1,"Female","Male")</f>
        <v>Female</v>
      </c>
      <c r="D30" s="5">
        <v>1</v>
      </c>
      <c r="E30" s="5" t="str">
        <f>_xlfn.SWITCH(recruitment_data3[[#This Row],[EducationLevel]], 1,"Bachelor Type 1", 2,"Bachelor Type 2", 3,"Masters", 4,"PhD")</f>
        <v>Masters</v>
      </c>
      <c r="F30" s="5">
        <v>3</v>
      </c>
      <c r="G30" s="5">
        <v>1</v>
      </c>
      <c r="H30" s="5">
        <v>2</v>
      </c>
      <c r="I30" s="5">
        <v>16.313394350230737</v>
      </c>
      <c r="J30" s="5">
        <v>38</v>
      </c>
      <c r="K30" s="5">
        <v>88</v>
      </c>
      <c r="L30" s="5">
        <v>86</v>
      </c>
      <c r="M30" s="5" t="str">
        <f>_xlfn.SWITCH(recruitment_data3[[#This Row],[RecruitmentStrategy]], 1,"Aggressive", 2,"Moderate", 3,"Conservative")</f>
        <v>Moderate</v>
      </c>
      <c r="N30" s="5">
        <v>2</v>
      </c>
      <c r="O30" s="5" t="str">
        <f>IF(recruitment_data3[[#This Row],[HiringDecision]]=1,"Hired","Rejected")</f>
        <v>Rejected</v>
      </c>
      <c r="P30" s="6">
        <v>0</v>
      </c>
      <c r="R30" s="27" t="s">
        <v>21</v>
      </c>
    </row>
    <row r="31" spans="1:18" x14ac:dyDescent="0.25">
      <c r="A31" s="4" t="str">
        <f t="shared" si="0"/>
        <v>C0030</v>
      </c>
      <c r="B31" s="4">
        <v>40</v>
      </c>
      <c r="C31" s="5" t="str">
        <f>IF(recruitment_data3[[#This Row],[Gender]]=1,"Female","Male")</f>
        <v>Male</v>
      </c>
      <c r="D31" s="5">
        <v>0</v>
      </c>
      <c r="E31" s="5" t="str">
        <f>_xlfn.SWITCH(recruitment_data3[[#This Row],[EducationLevel]], 1,"Bachelor Type 1", 2,"Bachelor Type 2", 3,"Masters", 4,"PhD")</f>
        <v>Bachelor Type 2</v>
      </c>
      <c r="F31" s="5">
        <v>2</v>
      </c>
      <c r="G31" s="5">
        <v>5</v>
      </c>
      <c r="H31" s="5">
        <v>5</v>
      </c>
      <c r="I31" s="5">
        <v>14.254064216928629</v>
      </c>
      <c r="J31" s="5">
        <v>87</v>
      </c>
      <c r="K31" s="5">
        <v>32</v>
      </c>
      <c r="L31" s="5">
        <v>11</v>
      </c>
      <c r="M31" s="5" t="str">
        <f>_xlfn.SWITCH(recruitment_data3[[#This Row],[RecruitmentStrategy]], 1,"Aggressive", 2,"Moderate", 3,"Conservative")</f>
        <v>Moderate</v>
      </c>
      <c r="N31" s="5">
        <v>2</v>
      </c>
      <c r="O31" s="5" t="str">
        <f>IF(recruitment_data3[[#This Row],[HiringDecision]]=1,"Hired","Rejected")</f>
        <v>Rejected</v>
      </c>
      <c r="P31" s="6">
        <v>0</v>
      </c>
      <c r="R31" s="27" t="s">
        <v>22</v>
      </c>
    </row>
    <row r="32" spans="1:18" x14ac:dyDescent="0.25">
      <c r="A32" s="4" t="str">
        <f t="shared" si="0"/>
        <v>C0031</v>
      </c>
      <c r="B32" s="4">
        <v>20</v>
      </c>
      <c r="C32" s="5" t="str">
        <f>IF(recruitment_data3[[#This Row],[Gender]]=1,"Female","Male")</f>
        <v>Female</v>
      </c>
      <c r="D32" s="5">
        <v>1</v>
      </c>
      <c r="E32" s="5" t="str">
        <f>_xlfn.SWITCH(recruitment_data3[[#This Row],[EducationLevel]], 1,"Bachelor Type 1", 2,"Bachelor Type 2", 3,"Masters", 4,"PhD")</f>
        <v>Bachelor Type 1</v>
      </c>
      <c r="F32" s="5">
        <v>1</v>
      </c>
      <c r="G32" s="5">
        <v>9</v>
      </c>
      <c r="H32" s="5">
        <v>3</v>
      </c>
      <c r="I32" s="5">
        <v>35.809622515054492</v>
      </c>
      <c r="J32" s="5">
        <v>79</v>
      </c>
      <c r="K32" s="5">
        <v>99</v>
      </c>
      <c r="L32" s="5">
        <v>48</v>
      </c>
      <c r="M32" s="5" t="str">
        <f>_xlfn.SWITCH(recruitment_data3[[#This Row],[RecruitmentStrategy]], 1,"Aggressive", 2,"Moderate", 3,"Conservative")</f>
        <v>Moderate</v>
      </c>
      <c r="N32" s="5">
        <v>2</v>
      </c>
      <c r="O32" s="5" t="str">
        <f>IF(recruitment_data3[[#This Row],[HiringDecision]]=1,"Hired","Rejected")</f>
        <v>Rejected</v>
      </c>
      <c r="P32" s="6">
        <v>0</v>
      </c>
      <c r="R32" s="25" t="s">
        <v>18</v>
      </c>
    </row>
    <row r="33" spans="1:18" x14ac:dyDescent="0.25">
      <c r="A33" s="4" t="str">
        <f t="shared" si="0"/>
        <v>C0032</v>
      </c>
      <c r="B33" s="4">
        <v>31</v>
      </c>
      <c r="C33" s="5" t="str">
        <f>IF(recruitment_data3[[#This Row],[Gender]]=1,"Female","Male")</f>
        <v>Female</v>
      </c>
      <c r="D33" s="5">
        <v>1</v>
      </c>
      <c r="E33" s="5" t="str">
        <f>_xlfn.SWITCH(recruitment_data3[[#This Row],[EducationLevel]], 1,"Bachelor Type 1", 2,"Bachelor Type 2", 3,"Masters", 4,"PhD")</f>
        <v>Bachelor Type 2</v>
      </c>
      <c r="F33" s="5">
        <v>2</v>
      </c>
      <c r="G33" s="5">
        <v>4</v>
      </c>
      <c r="H33" s="5">
        <v>5</v>
      </c>
      <c r="I33" s="5">
        <v>10.643528434480714</v>
      </c>
      <c r="J33" s="5">
        <v>96</v>
      </c>
      <c r="K33" s="5">
        <v>60</v>
      </c>
      <c r="L33" s="5">
        <v>93</v>
      </c>
      <c r="M33" s="5" t="str">
        <f>_xlfn.SWITCH(recruitment_data3[[#This Row],[RecruitmentStrategy]], 1,"Aggressive", 2,"Moderate", 3,"Conservative")</f>
        <v>Moderate</v>
      </c>
      <c r="N33" s="5">
        <v>2</v>
      </c>
      <c r="O33" s="5" t="str">
        <f>IF(recruitment_data3[[#This Row],[HiringDecision]]=1,"Hired","Rejected")</f>
        <v>Rejected</v>
      </c>
      <c r="P33" s="6">
        <v>0</v>
      </c>
      <c r="R33" s="26" t="s">
        <v>23</v>
      </c>
    </row>
    <row r="34" spans="1:18" x14ac:dyDescent="0.25">
      <c r="A34" s="4" t="str">
        <f t="shared" si="0"/>
        <v>C0033</v>
      </c>
      <c r="B34" s="4">
        <v>45</v>
      </c>
      <c r="C34" s="5" t="str">
        <f>IF(recruitment_data3[[#This Row],[Gender]]=1,"Female","Male")</f>
        <v>Female</v>
      </c>
      <c r="D34" s="5">
        <v>1</v>
      </c>
      <c r="E34" s="5" t="str">
        <f>_xlfn.SWITCH(recruitment_data3[[#This Row],[EducationLevel]], 1,"Bachelor Type 1", 2,"Bachelor Type 2", 3,"Masters", 4,"PhD")</f>
        <v>PhD</v>
      </c>
      <c r="F34" s="5">
        <v>4</v>
      </c>
      <c r="G34" s="5">
        <v>11</v>
      </c>
      <c r="H34" s="5">
        <v>5</v>
      </c>
      <c r="I34" s="5">
        <v>5.6357405405134946</v>
      </c>
      <c r="J34" s="5">
        <v>11</v>
      </c>
      <c r="K34" s="5">
        <v>92</v>
      </c>
      <c r="L34" s="5">
        <v>30</v>
      </c>
      <c r="M34" s="5" t="str">
        <f>_xlfn.SWITCH(recruitment_data3[[#This Row],[RecruitmentStrategy]], 1,"Aggressive", 2,"Moderate", 3,"Conservative")</f>
        <v>Aggressive</v>
      </c>
      <c r="N34" s="5">
        <v>1</v>
      </c>
      <c r="O34" s="5" t="str">
        <f>IF(recruitment_data3[[#This Row],[HiringDecision]]=1,"Hired","Rejected")</f>
        <v>Hired</v>
      </c>
      <c r="P34" s="6">
        <v>1</v>
      </c>
      <c r="R34" s="27" t="s">
        <v>21</v>
      </c>
    </row>
    <row r="35" spans="1:18" x14ac:dyDescent="0.25">
      <c r="A35" s="4" t="str">
        <f t="shared" si="0"/>
        <v>C0034</v>
      </c>
      <c r="B35" s="4">
        <v>41</v>
      </c>
      <c r="C35" s="5" t="str">
        <f>IF(recruitment_data3[[#This Row],[Gender]]=1,"Female","Male")</f>
        <v>Male</v>
      </c>
      <c r="D35" s="5">
        <v>0</v>
      </c>
      <c r="E35" s="5" t="str">
        <f>_xlfn.SWITCH(recruitment_data3[[#This Row],[EducationLevel]], 1,"Bachelor Type 1", 2,"Bachelor Type 2", 3,"Masters", 4,"PhD")</f>
        <v>Masters</v>
      </c>
      <c r="F35" s="5">
        <v>3</v>
      </c>
      <c r="G35" s="5">
        <v>13</v>
      </c>
      <c r="H35" s="5">
        <v>4</v>
      </c>
      <c r="I35" s="5">
        <v>27.611143742809695</v>
      </c>
      <c r="J35" s="5">
        <v>33</v>
      </c>
      <c r="K35" s="5">
        <v>89</v>
      </c>
      <c r="L35" s="5">
        <v>91</v>
      </c>
      <c r="M35" s="5" t="str">
        <f>_xlfn.SWITCH(recruitment_data3[[#This Row],[RecruitmentStrategy]], 1,"Aggressive", 2,"Moderate", 3,"Conservative")</f>
        <v>Conservative</v>
      </c>
      <c r="N35" s="5">
        <v>3</v>
      </c>
      <c r="O35" s="5" t="str">
        <f>IF(recruitment_data3[[#This Row],[HiringDecision]]=1,"Hired","Rejected")</f>
        <v>Hired</v>
      </c>
      <c r="P35" s="6">
        <v>1</v>
      </c>
      <c r="R35" s="27" t="s">
        <v>22</v>
      </c>
    </row>
    <row r="36" spans="1:18" x14ac:dyDescent="0.25">
      <c r="A36" s="4" t="str">
        <f t="shared" si="0"/>
        <v>C0035</v>
      </c>
      <c r="B36" s="4">
        <v>48</v>
      </c>
      <c r="C36" s="5" t="str">
        <f>IF(recruitment_data3[[#This Row],[Gender]]=1,"Female","Male")</f>
        <v>Male</v>
      </c>
      <c r="D36" s="5">
        <v>0</v>
      </c>
      <c r="E36" s="5" t="str">
        <f>_xlfn.SWITCH(recruitment_data3[[#This Row],[EducationLevel]], 1,"Bachelor Type 1", 2,"Bachelor Type 2", 3,"Masters", 4,"PhD")</f>
        <v>Bachelor Type 2</v>
      </c>
      <c r="F36" s="5">
        <v>2</v>
      </c>
      <c r="G36" s="5">
        <v>8</v>
      </c>
      <c r="H36" s="5">
        <v>2</v>
      </c>
      <c r="I36" s="5">
        <v>42.082078488947765</v>
      </c>
      <c r="J36" s="5">
        <v>70</v>
      </c>
      <c r="K36" s="5">
        <v>3</v>
      </c>
      <c r="L36" s="5">
        <v>21</v>
      </c>
      <c r="M36" s="5" t="str">
        <f>_xlfn.SWITCH(recruitment_data3[[#This Row],[RecruitmentStrategy]], 1,"Aggressive", 2,"Moderate", 3,"Conservative")</f>
        <v>Aggressive</v>
      </c>
      <c r="N36" s="5">
        <v>1</v>
      </c>
      <c r="O36" s="5" t="str">
        <f>IF(recruitment_data3[[#This Row],[HiringDecision]]=1,"Hired","Rejected")</f>
        <v>Rejected</v>
      </c>
      <c r="P36" s="6">
        <v>0</v>
      </c>
      <c r="R36" s="26" t="s">
        <v>24</v>
      </c>
    </row>
    <row r="37" spans="1:18" x14ac:dyDescent="0.25">
      <c r="A37" s="4" t="str">
        <f t="shared" si="0"/>
        <v>C0036</v>
      </c>
      <c r="B37" s="4">
        <v>31</v>
      </c>
      <c r="C37" s="5" t="str">
        <f>IF(recruitment_data3[[#This Row],[Gender]]=1,"Female","Male")</f>
        <v>Male</v>
      </c>
      <c r="D37" s="5">
        <v>0</v>
      </c>
      <c r="E37" s="5" t="str">
        <f>_xlfn.SWITCH(recruitment_data3[[#This Row],[EducationLevel]], 1,"Bachelor Type 1", 2,"Bachelor Type 2", 3,"Masters", 4,"PhD")</f>
        <v>Bachelor Type 2</v>
      </c>
      <c r="F37" s="5">
        <v>2</v>
      </c>
      <c r="G37" s="5">
        <v>4</v>
      </c>
      <c r="H37" s="5">
        <v>1</v>
      </c>
      <c r="I37" s="5">
        <v>6.0689921234931763</v>
      </c>
      <c r="J37" s="5">
        <v>74</v>
      </c>
      <c r="K37" s="5">
        <v>13</v>
      </c>
      <c r="L37" s="5">
        <v>43</v>
      </c>
      <c r="M37" s="5" t="str">
        <f>_xlfn.SWITCH(recruitment_data3[[#This Row],[RecruitmentStrategy]], 1,"Aggressive", 2,"Moderate", 3,"Conservative")</f>
        <v>Moderate</v>
      </c>
      <c r="N37" s="5">
        <v>2</v>
      </c>
      <c r="O37" s="5" t="str">
        <f>IF(recruitment_data3[[#This Row],[HiringDecision]]=1,"Hired","Rejected")</f>
        <v>Rejected</v>
      </c>
      <c r="P37" s="6">
        <v>0</v>
      </c>
      <c r="R37" s="27" t="s">
        <v>21</v>
      </c>
    </row>
    <row r="38" spans="1:18" x14ac:dyDescent="0.25">
      <c r="A38" s="4" t="str">
        <f t="shared" si="0"/>
        <v>C0037</v>
      </c>
      <c r="B38" s="4">
        <v>44</v>
      </c>
      <c r="C38" s="5" t="str">
        <f>IF(recruitment_data3[[#This Row],[Gender]]=1,"Female","Male")</f>
        <v>Female</v>
      </c>
      <c r="D38" s="5">
        <v>1</v>
      </c>
      <c r="E38" s="5" t="str">
        <f>_xlfn.SWITCH(recruitment_data3[[#This Row],[EducationLevel]], 1,"Bachelor Type 1", 2,"Bachelor Type 2", 3,"Masters", 4,"PhD")</f>
        <v>Bachelor Type 2</v>
      </c>
      <c r="F38" s="5">
        <v>2</v>
      </c>
      <c r="G38" s="5">
        <v>1</v>
      </c>
      <c r="H38" s="5">
        <v>2</v>
      </c>
      <c r="I38" s="5">
        <v>40.594566189786462</v>
      </c>
      <c r="J38" s="5">
        <v>30</v>
      </c>
      <c r="K38" s="5">
        <v>90</v>
      </c>
      <c r="L38" s="5">
        <v>91</v>
      </c>
      <c r="M38" s="5" t="str">
        <f>_xlfn.SWITCH(recruitment_data3[[#This Row],[RecruitmentStrategy]], 1,"Aggressive", 2,"Moderate", 3,"Conservative")</f>
        <v>Moderate</v>
      </c>
      <c r="N38" s="5">
        <v>2</v>
      </c>
      <c r="O38" s="5" t="str">
        <f>IF(recruitment_data3[[#This Row],[HiringDecision]]=1,"Hired","Rejected")</f>
        <v>Rejected</v>
      </c>
      <c r="P38" s="6">
        <v>0</v>
      </c>
      <c r="R38" s="27" t="s">
        <v>22</v>
      </c>
    </row>
    <row r="39" spans="1:18" x14ac:dyDescent="0.25">
      <c r="A39" s="4" t="str">
        <f t="shared" si="0"/>
        <v>C0038</v>
      </c>
      <c r="B39" s="4">
        <v>36</v>
      </c>
      <c r="C39" s="5" t="str">
        <f>IF(recruitment_data3[[#This Row],[Gender]]=1,"Female","Male")</f>
        <v>Female</v>
      </c>
      <c r="D39" s="5">
        <v>1</v>
      </c>
      <c r="E39" s="5" t="str">
        <f>_xlfn.SWITCH(recruitment_data3[[#This Row],[EducationLevel]], 1,"Bachelor Type 1", 2,"Bachelor Type 2", 3,"Masters", 4,"PhD")</f>
        <v>Masters</v>
      </c>
      <c r="F39" s="5">
        <v>3</v>
      </c>
      <c r="G39" s="5">
        <v>9</v>
      </c>
      <c r="H39" s="5">
        <v>5</v>
      </c>
      <c r="I39" s="5">
        <v>41.578600217577403</v>
      </c>
      <c r="J39" s="5">
        <v>92</v>
      </c>
      <c r="K39" s="5">
        <v>32</v>
      </c>
      <c r="L39" s="5">
        <v>63</v>
      </c>
      <c r="M39" s="5" t="str">
        <f>_xlfn.SWITCH(recruitment_data3[[#This Row],[RecruitmentStrategy]], 1,"Aggressive", 2,"Moderate", 3,"Conservative")</f>
        <v>Moderate</v>
      </c>
      <c r="N39" s="5">
        <v>2</v>
      </c>
      <c r="O39" s="5" t="str">
        <f>IF(recruitment_data3[[#This Row],[HiringDecision]]=1,"Hired","Rejected")</f>
        <v>Hired</v>
      </c>
      <c r="P39" s="6">
        <v>1</v>
      </c>
      <c r="R39" s="26" t="s">
        <v>25</v>
      </c>
    </row>
    <row r="40" spans="1:18" x14ac:dyDescent="0.25">
      <c r="A40" s="4" t="str">
        <f t="shared" si="0"/>
        <v>C0039</v>
      </c>
      <c r="B40" s="4">
        <v>46</v>
      </c>
      <c r="C40" s="5" t="str">
        <f>IF(recruitment_data3[[#This Row],[Gender]]=1,"Female","Male")</f>
        <v>Male</v>
      </c>
      <c r="D40" s="5">
        <v>0</v>
      </c>
      <c r="E40" s="5" t="str">
        <f>_xlfn.SWITCH(recruitment_data3[[#This Row],[EducationLevel]], 1,"Bachelor Type 1", 2,"Bachelor Type 2", 3,"Masters", 4,"PhD")</f>
        <v>Masters</v>
      </c>
      <c r="F40" s="5">
        <v>3</v>
      </c>
      <c r="G40" s="5">
        <v>3</v>
      </c>
      <c r="H40" s="5">
        <v>2</v>
      </c>
      <c r="I40" s="5">
        <v>25.113700004077177</v>
      </c>
      <c r="J40" s="5">
        <v>61</v>
      </c>
      <c r="K40" s="5">
        <v>21</v>
      </c>
      <c r="L40" s="5">
        <v>76</v>
      </c>
      <c r="M40" s="5" t="str">
        <f>_xlfn.SWITCH(recruitment_data3[[#This Row],[RecruitmentStrategy]], 1,"Aggressive", 2,"Moderate", 3,"Conservative")</f>
        <v>Aggressive</v>
      </c>
      <c r="N40" s="5">
        <v>1</v>
      </c>
      <c r="O40" s="5" t="str">
        <f>IF(recruitment_data3[[#This Row],[HiringDecision]]=1,"Hired","Rejected")</f>
        <v>Hired</v>
      </c>
      <c r="P40" s="6">
        <v>1</v>
      </c>
      <c r="R40" s="27" t="s">
        <v>21</v>
      </c>
    </row>
    <row r="41" spans="1:18" x14ac:dyDescent="0.25">
      <c r="A41" s="4" t="str">
        <f t="shared" si="0"/>
        <v>C0040</v>
      </c>
      <c r="B41" s="4">
        <v>46</v>
      </c>
      <c r="C41" s="5" t="str">
        <f>IF(recruitment_data3[[#This Row],[Gender]]=1,"Female","Male")</f>
        <v>Female</v>
      </c>
      <c r="D41" s="5">
        <v>1</v>
      </c>
      <c r="E41" s="5" t="str">
        <f>_xlfn.SWITCH(recruitment_data3[[#This Row],[EducationLevel]], 1,"Bachelor Type 1", 2,"Bachelor Type 2", 3,"Masters", 4,"PhD")</f>
        <v>Bachelor Type 2</v>
      </c>
      <c r="F41" s="5">
        <v>2</v>
      </c>
      <c r="G41" s="5">
        <v>8</v>
      </c>
      <c r="H41" s="5">
        <v>4</v>
      </c>
      <c r="I41" s="5">
        <v>3.8655155005243405</v>
      </c>
      <c r="J41" s="5">
        <v>12</v>
      </c>
      <c r="K41" s="5">
        <v>47</v>
      </c>
      <c r="L41" s="5">
        <v>24</v>
      </c>
      <c r="M41" s="5" t="str">
        <f>_xlfn.SWITCH(recruitment_data3[[#This Row],[RecruitmentStrategy]], 1,"Aggressive", 2,"Moderate", 3,"Conservative")</f>
        <v>Moderate</v>
      </c>
      <c r="N41" s="5">
        <v>2</v>
      </c>
      <c r="O41" s="5" t="str">
        <f>IF(recruitment_data3[[#This Row],[HiringDecision]]=1,"Hired","Rejected")</f>
        <v>Rejected</v>
      </c>
      <c r="P41" s="6">
        <v>0</v>
      </c>
      <c r="R41" s="27" t="s">
        <v>22</v>
      </c>
    </row>
    <row r="42" spans="1:18" x14ac:dyDescent="0.25">
      <c r="A42" s="4" t="str">
        <f t="shared" si="0"/>
        <v>C0041</v>
      </c>
      <c r="B42" s="4">
        <v>50</v>
      </c>
      <c r="C42" s="5" t="str">
        <f>IF(recruitment_data3[[#This Row],[Gender]]=1,"Female","Male")</f>
        <v>Female</v>
      </c>
      <c r="D42" s="5">
        <v>1</v>
      </c>
      <c r="E42" s="5" t="str">
        <f>_xlfn.SWITCH(recruitment_data3[[#This Row],[EducationLevel]], 1,"Bachelor Type 1", 2,"Bachelor Type 2", 3,"Masters", 4,"PhD")</f>
        <v>Masters</v>
      </c>
      <c r="F42" s="5">
        <v>3</v>
      </c>
      <c r="G42" s="5">
        <v>0</v>
      </c>
      <c r="H42" s="5">
        <v>1</v>
      </c>
      <c r="I42" s="5">
        <v>9.7294925623593205</v>
      </c>
      <c r="J42" s="5">
        <v>30</v>
      </c>
      <c r="K42" s="5">
        <v>2</v>
      </c>
      <c r="L42" s="5">
        <v>50</v>
      </c>
      <c r="M42" s="5" t="str">
        <f>_xlfn.SWITCH(recruitment_data3[[#This Row],[RecruitmentStrategy]], 1,"Aggressive", 2,"Moderate", 3,"Conservative")</f>
        <v>Aggressive</v>
      </c>
      <c r="N42" s="5">
        <v>1</v>
      </c>
      <c r="O42" s="5" t="str">
        <f>IF(recruitment_data3[[#This Row],[HiringDecision]]=1,"Hired","Rejected")</f>
        <v>Rejected</v>
      </c>
      <c r="P42" s="6">
        <v>0</v>
      </c>
      <c r="R42" s="11" t="s">
        <v>60</v>
      </c>
    </row>
    <row r="43" spans="1:18" x14ac:dyDescent="0.25">
      <c r="A43" s="4" t="str">
        <f t="shared" si="0"/>
        <v>C0042</v>
      </c>
      <c r="B43" s="4">
        <v>29</v>
      </c>
      <c r="C43" s="5" t="str">
        <f>IF(recruitment_data3[[#This Row],[Gender]]=1,"Female","Male")</f>
        <v>Female</v>
      </c>
      <c r="D43" s="5">
        <v>1</v>
      </c>
      <c r="E43" s="5" t="str">
        <f>_xlfn.SWITCH(recruitment_data3[[#This Row],[EducationLevel]], 1,"Bachelor Type 1", 2,"Bachelor Type 2", 3,"Masters", 4,"PhD")</f>
        <v>Masters</v>
      </c>
      <c r="F43" s="5">
        <v>3</v>
      </c>
      <c r="G43" s="5">
        <v>10</v>
      </c>
      <c r="H43" s="5">
        <v>4</v>
      </c>
      <c r="I43" s="5">
        <v>36.371313758096619</v>
      </c>
      <c r="J43" s="5">
        <v>1</v>
      </c>
      <c r="K43" s="5">
        <v>86</v>
      </c>
      <c r="L43" s="5">
        <v>6</v>
      </c>
      <c r="M43" s="5" t="str">
        <f>_xlfn.SWITCH(recruitment_data3[[#This Row],[RecruitmentStrategy]], 1,"Aggressive", 2,"Moderate", 3,"Conservative")</f>
        <v>Aggressive</v>
      </c>
      <c r="N43" s="5">
        <v>1</v>
      </c>
      <c r="O43" s="5" t="str">
        <f>IF(recruitment_data3[[#This Row],[HiringDecision]]=1,"Hired","Rejected")</f>
        <v>Hired</v>
      </c>
      <c r="P43" s="6">
        <v>1</v>
      </c>
      <c r="R43" s="25" t="s">
        <v>15</v>
      </c>
    </row>
    <row r="44" spans="1:18" x14ac:dyDescent="0.25">
      <c r="A44" s="4" t="str">
        <f t="shared" si="0"/>
        <v>C0043</v>
      </c>
      <c r="B44" s="4">
        <v>47</v>
      </c>
      <c r="C44" s="5" t="str">
        <f>IF(recruitment_data3[[#This Row],[Gender]]=1,"Female","Male")</f>
        <v>Female</v>
      </c>
      <c r="D44" s="5">
        <v>1</v>
      </c>
      <c r="E44" s="5" t="str">
        <f>_xlfn.SWITCH(recruitment_data3[[#This Row],[EducationLevel]], 1,"Bachelor Type 1", 2,"Bachelor Type 2", 3,"Masters", 4,"PhD")</f>
        <v>Bachelor Type 1</v>
      </c>
      <c r="F44" s="5">
        <v>1</v>
      </c>
      <c r="G44" s="5">
        <v>0</v>
      </c>
      <c r="H44" s="5">
        <v>1</v>
      </c>
      <c r="I44" s="5">
        <v>36.588897249547472</v>
      </c>
      <c r="J44" s="5">
        <v>14</v>
      </c>
      <c r="K44" s="5">
        <v>84</v>
      </c>
      <c r="L44" s="5">
        <v>5</v>
      </c>
      <c r="M44" s="5" t="str">
        <f>_xlfn.SWITCH(recruitment_data3[[#This Row],[RecruitmentStrategy]], 1,"Aggressive", 2,"Moderate", 3,"Conservative")</f>
        <v>Moderate</v>
      </c>
      <c r="N44" s="5">
        <v>2</v>
      </c>
      <c r="O44" s="5" t="str">
        <f>IF(recruitment_data3[[#This Row],[HiringDecision]]=1,"Hired","Rejected")</f>
        <v>Rejected</v>
      </c>
      <c r="P44" s="6">
        <v>0</v>
      </c>
      <c r="R44" s="26" t="s">
        <v>23</v>
      </c>
    </row>
    <row r="45" spans="1:18" x14ac:dyDescent="0.25">
      <c r="A45" s="4" t="str">
        <f t="shared" si="0"/>
        <v>C0044</v>
      </c>
      <c r="B45" s="4">
        <v>47</v>
      </c>
      <c r="C45" s="5" t="str">
        <f>IF(recruitment_data3[[#This Row],[Gender]]=1,"Female","Male")</f>
        <v>Female</v>
      </c>
      <c r="D45" s="5">
        <v>1</v>
      </c>
      <c r="E45" s="5" t="str">
        <f>_xlfn.SWITCH(recruitment_data3[[#This Row],[EducationLevel]], 1,"Bachelor Type 1", 2,"Bachelor Type 2", 3,"Masters", 4,"PhD")</f>
        <v>Bachelor Type 2</v>
      </c>
      <c r="F45" s="5">
        <v>2</v>
      </c>
      <c r="G45" s="5">
        <v>11</v>
      </c>
      <c r="H45" s="5">
        <v>5</v>
      </c>
      <c r="I45" s="5">
        <v>45.917763758383266</v>
      </c>
      <c r="J45" s="5">
        <v>56</v>
      </c>
      <c r="K45" s="5">
        <v>22</v>
      </c>
      <c r="L45" s="5">
        <v>23</v>
      </c>
      <c r="M45" s="5" t="str">
        <f>_xlfn.SWITCH(recruitment_data3[[#This Row],[RecruitmentStrategy]], 1,"Aggressive", 2,"Moderate", 3,"Conservative")</f>
        <v>Moderate</v>
      </c>
      <c r="N45" s="5">
        <v>2</v>
      </c>
      <c r="O45" s="5" t="str">
        <f>IF(recruitment_data3[[#This Row],[HiringDecision]]=1,"Hired","Rejected")</f>
        <v>Rejected</v>
      </c>
      <c r="P45" s="6">
        <v>0</v>
      </c>
      <c r="R45" s="27" t="s">
        <v>21</v>
      </c>
    </row>
    <row r="46" spans="1:18" x14ac:dyDescent="0.25">
      <c r="A46" s="4" t="str">
        <f t="shared" si="0"/>
        <v>C0045</v>
      </c>
      <c r="B46" s="4">
        <v>35</v>
      </c>
      <c r="C46" s="5" t="str">
        <f>IF(recruitment_data3[[#This Row],[Gender]]=1,"Female","Male")</f>
        <v>Male</v>
      </c>
      <c r="D46" s="5">
        <v>0</v>
      </c>
      <c r="E46" s="5" t="str">
        <f>_xlfn.SWITCH(recruitment_data3[[#This Row],[EducationLevel]], 1,"Bachelor Type 1", 2,"Bachelor Type 2", 3,"Masters", 4,"PhD")</f>
        <v>Bachelor Type 1</v>
      </c>
      <c r="F46" s="5">
        <v>1</v>
      </c>
      <c r="G46" s="5">
        <v>6</v>
      </c>
      <c r="H46" s="5">
        <v>1</v>
      </c>
      <c r="I46" s="5">
        <v>30.134307327729143</v>
      </c>
      <c r="J46" s="5">
        <v>74</v>
      </c>
      <c r="K46" s="5">
        <v>67</v>
      </c>
      <c r="L46" s="5">
        <v>18</v>
      </c>
      <c r="M46" s="5" t="str">
        <f>_xlfn.SWITCH(recruitment_data3[[#This Row],[RecruitmentStrategy]], 1,"Aggressive", 2,"Moderate", 3,"Conservative")</f>
        <v>Aggressive</v>
      </c>
      <c r="N46" s="5">
        <v>1</v>
      </c>
      <c r="O46" s="5" t="str">
        <f>IF(recruitment_data3[[#This Row],[HiringDecision]]=1,"Hired","Rejected")</f>
        <v>Hired</v>
      </c>
      <c r="P46" s="6">
        <v>1</v>
      </c>
      <c r="R46" s="27" t="s">
        <v>22</v>
      </c>
    </row>
    <row r="47" spans="1:18" x14ac:dyDescent="0.25">
      <c r="A47" s="4" t="str">
        <f t="shared" si="0"/>
        <v>C0046</v>
      </c>
      <c r="B47" s="4">
        <v>34</v>
      </c>
      <c r="C47" s="5" t="str">
        <f>IF(recruitment_data3[[#This Row],[Gender]]=1,"Female","Male")</f>
        <v>Female</v>
      </c>
      <c r="D47" s="5">
        <v>1</v>
      </c>
      <c r="E47" s="5" t="str">
        <f>_xlfn.SWITCH(recruitment_data3[[#This Row],[EducationLevel]], 1,"Bachelor Type 1", 2,"Bachelor Type 2", 3,"Masters", 4,"PhD")</f>
        <v>Bachelor Type 2</v>
      </c>
      <c r="F47" s="5">
        <v>2</v>
      </c>
      <c r="G47" s="5">
        <v>10</v>
      </c>
      <c r="H47" s="5">
        <v>1</v>
      </c>
      <c r="I47" s="5">
        <v>7.2053683856888693</v>
      </c>
      <c r="J47" s="5">
        <v>33</v>
      </c>
      <c r="K47" s="5">
        <v>20</v>
      </c>
      <c r="L47" s="5">
        <v>82</v>
      </c>
      <c r="M47" s="5" t="str">
        <f>_xlfn.SWITCH(recruitment_data3[[#This Row],[RecruitmentStrategy]], 1,"Aggressive", 2,"Moderate", 3,"Conservative")</f>
        <v>Aggressive</v>
      </c>
      <c r="N47" s="5">
        <v>1</v>
      </c>
      <c r="O47" s="5" t="str">
        <f>IF(recruitment_data3[[#This Row],[HiringDecision]]=1,"Hired","Rejected")</f>
        <v>Hired</v>
      </c>
      <c r="P47" s="6">
        <v>1</v>
      </c>
      <c r="R47" s="26" t="s">
        <v>24</v>
      </c>
    </row>
    <row r="48" spans="1:18" x14ac:dyDescent="0.25">
      <c r="A48" s="4" t="str">
        <f t="shared" si="0"/>
        <v>C0047</v>
      </c>
      <c r="B48" s="4">
        <v>49</v>
      </c>
      <c r="C48" s="5" t="str">
        <f>IF(recruitment_data3[[#This Row],[Gender]]=1,"Female","Male")</f>
        <v>Male</v>
      </c>
      <c r="D48" s="5">
        <v>0</v>
      </c>
      <c r="E48" s="5" t="str">
        <f>_xlfn.SWITCH(recruitment_data3[[#This Row],[EducationLevel]], 1,"Bachelor Type 1", 2,"Bachelor Type 2", 3,"Masters", 4,"PhD")</f>
        <v>Masters</v>
      </c>
      <c r="F48" s="5">
        <v>3</v>
      </c>
      <c r="G48" s="5">
        <v>2</v>
      </c>
      <c r="H48" s="5">
        <v>1</v>
      </c>
      <c r="I48" s="5">
        <v>7.0707452752486066</v>
      </c>
      <c r="J48" s="5">
        <v>67</v>
      </c>
      <c r="K48" s="5">
        <v>100</v>
      </c>
      <c r="L48" s="5">
        <v>99</v>
      </c>
      <c r="M48" s="5" t="str">
        <f>_xlfn.SWITCH(recruitment_data3[[#This Row],[RecruitmentStrategy]], 1,"Aggressive", 2,"Moderate", 3,"Conservative")</f>
        <v>Conservative</v>
      </c>
      <c r="N48" s="5">
        <v>3</v>
      </c>
      <c r="O48" s="5" t="str">
        <f>IF(recruitment_data3[[#This Row],[HiringDecision]]=1,"Hired","Rejected")</f>
        <v>Rejected</v>
      </c>
      <c r="P48" s="6">
        <v>0</v>
      </c>
      <c r="R48" s="27" t="s">
        <v>21</v>
      </c>
    </row>
    <row r="49" spans="1:18" x14ac:dyDescent="0.25">
      <c r="A49" s="4" t="str">
        <f t="shared" si="0"/>
        <v>C0048</v>
      </c>
      <c r="B49" s="4">
        <v>49</v>
      </c>
      <c r="C49" s="5" t="str">
        <f>IF(recruitment_data3[[#This Row],[Gender]]=1,"Female","Male")</f>
        <v>Female</v>
      </c>
      <c r="D49" s="5">
        <v>1</v>
      </c>
      <c r="E49" s="5" t="str">
        <f>_xlfn.SWITCH(recruitment_data3[[#This Row],[EducationLevel]], 1,"Bachelor Type 1", 2,"Bachelor Type 2", 3,"Masters", 4,"PhD")</f>
        <v>Bachelor Type 2</v>
      </c>
      <c r="F49" s="5">
        <v>2</v>
      </c>
      <c r="G49" s="5">
        <v>9</v>
      </c>
      <c r="H49" s="5">
        <v>2</v>
      </c>
      <c r="I49" s="5">
        <v>37.056617867841183</v>
      </c>
      <c r="J49" s="5">
        <v>74</v>
      </c>
      <c r="K49" s="5">
        <v>42</v>
      </c>
      <c r="L49" s="5">
        <v>8</v>
      </c>
      <c r="M49" s="5" t="str">
        <f>_xlfn.SWITCH(recruitment_data3[[#This Row],[RecruitmentStrategy]], 1,"Aggressive", 2,"Moderate", 3,"Conservative")</f>
        <v>Conservative</v>
      </c>
      <c r="N49" s="5">
        <v>3</v>
      </c>
      <c r="O49" s="5" t="str">
        <f>IF(recruitment_data3[[#This Row],[HiringDecision]]=1,"Hired","Rejected")</f>
        <v>Rejected</v>
      </c>
      <c r="P49" s="6">
        <v>0</v>
      </c>
      <c r="R49" s="27" t="s">
        <v>22</v>
      </c>
    </row>
    <row r="50" spans="1:18" x14ac:dyDescent="0.25">
      <c r="A50" s="4" t="str">
        <f t="shared" si="0"/>
        <v>C0049</v>
      </c>
      <c r="B50" s="4">
        <v>34</v>
      </c>
      <c r="C50" s="5" t="str">
        <f>IF(recruitment_data3[[#This Row],[Gender]]=1,"Female","Male")</f>
        <v>Male</v>
      </c>
      <c r="D50" s="5">
        <v>0</v>
      </c>
      <c r="E50" s="5" t="str">
        <f>_xlfn.SWITCH(recruitment_data3[[#This Row],[EducationLevel]], 1,"Bachelor Type 1", 2,"Bachelor Type 2", 3,"Masters", 4,"PhD")</f>
        <v>Bachelor Type 2</v>
      </c>
      <c r="F50" s="5">
        <v>2</v>
      </c>
      <c r="G50" s="5">
        <v>1</v>
      </c>
      <c r="H50" s="5">
        <v>2</v>
      </c>
      <c r="I50" s="5">
        <v>10.189233255395058</v>
      </c>
      <c r="J50" s="5">
        <v>28</v>
      </c>
      <c r="K50" s="5">
        <v>94</v>
      </c>
      <c r="L50" s="5">
        <v>35</v>
      </c>
      <c r="M50" s="5" t="str">
        <f>_xlfn.SWITCH(recruitment_data3[[#This Row],[RecruitmentStrategy]], 1,"Aggressive", 2,"Moderate", 3,"Conservative")</f>
        <v>Aggressive</v>
      </c>
      <c r="N50" s="5">
        <v>1</v>
      </c>
      <c r="O50" s="5" t="str">
        <f>IF(recruitment_data3[[#This Row],[HiringDecision]]=1,"Hired","Rejected")</f>
        <v>Rejected</v>
      </c>
      <c r="P50" s="6">
        <v>0</v>
      </c>
      <c r="R50" s="26" t="s">
        <v>25</v>
      </c>
    </row>
    <row r="51" spans="1:18" x14ac:dyDescent="0.25">
      <c r="A51" s="4" t="str">
        <f t="shared" si="0"/>
        <v>C0050</v>
      </c>
      <c r="B51" s="4">
        <v>49</v>
      </c>
      <c r="C51" s="5" t="str">
        <f>IF(recruitment_data3[[#This Row],[Gender]]=1,"Female","Male")</f>
        <v>Female</v>
      </c>
      <c r="D51" s="5">
        <v>1</v>
      </c>
      <c r="E51" s="5" t="str">
        <f>_xlfn.SWITCH(recruitment_data3[[#This Row],[EducationLevel]], 1,"Bachelor Type 1", 2,"Bachelor Type 2", 3,"Masters", 4,"PhD")</f>
        <v>Bachelor Type 1</v>
      </c>
      <c r="F51" s="5">
        <v>1</v>
      </c>
      <c r="G51" s="5">
        <v>8</v>
      </c>
      <c r="H51" s="5">
        <v>5</v>
      </c>
      <c r="I51" s="5">
        <v>17.419274980830266</v>
      </c>
      <c r="J51" s="5">
        <v>65</v>
      </c>
      <c r="K51" s="5">
        <v>84</v>
      </c>
      <c r="L51" s="5">
        <v>39</v>
      </c>
      <c r="M51" s="5" t="str">
        <f>_xlfn.SWITCH(recruitment_data3[[#This Row],[RecruitmentStrategy]], 1,"Aggressive", 2,"Moderate", 3,"Conservative")</f>
        <v>Moderate</v>
      </c>
      <c r="N51" s="5">
        <v>2</v>
      </c>
      <c r="O51" s="5" t="str">
        <f>IF(recruitment_data3[[#This Row],[HiringDecision]]=1,"Hired","Rejected")</f>
        <v>Rejected</v>
      </c>
      <c r="P51" s="6">
        <v>0</v>
      </c>
      <c r="R51" s="27" t="s">
        <v>21</v>
      </c>
    </row>
    <row r="52" spans="1:18" x14ac:dyDescent="0.25">
      <c r="A52" s="4" t="str">
        <f t="shared" si="0"/>
        <v>C0051</v>
      </c>
      <c r="B52" s="4">
        <v>38</v>
      </c>
      <c r="C52" s="5" t="str">
        <f>IF(recruitment_data3[[#This Row],[Gender]]=1,"Female","Male")</f>
        <v>Male</v>
      </c>
      <c r="D52" s="5">
        <v>0</v>
      </c>
      <c r="E52" s="5" t="str">
        <f>_xlfn.SWITCH(recruitment_data3[[#This Row],[EducationLevel]], 1,"Bachelor Type 1", 2,"Bachelor Type 2", 3,"Masters", 4,"PhD")</f>
        <v>Bachelor Type 2</v>
      </c>
      <c r="F52" s="5">
        <v>2</v>
      </c>
      <c r="G52" s="5">
        <v>2</v>
      </c>
      <c r="H52" s="5">
        <v>1</v>
      </c>
      <c r="I52" s="5">
        <v>25.360600346095694</v>
      </c>
      <c r="J52" s="5">
        <v>15</v>
      </c>
      <c r="K52" s="5">
        <v>25</v>
      </c>
      <c r="L52" s="5">
        <v>92</v>
      </c>
      <c r="M52" s="5" t="str">
        <f>_xlfn.SWITCH(recruitment_data3[[#This Row],[RecruitmentStrategy]], 1,"Aggressive", 2,"Moderate", 3,"Conservative")</f>
        <v>Moderate</v>
      </c>
      <c r="N52" s="5">
        <v>2</v>
      </c>
      <c r="O52" s="5" t="str">
        <f>IF(recruitment_data3[[#This Row],[HiringDecision]]=1,"Hired","Rejected")</f>
        <v>Rejected</v>
      </c>
      <c r="P52" s="6">
        <v>0</v>
      </c>
      <c r="R52" s="27" t="s">
        <v>22</v>
      </c>
    </row>
    <row r="53" spans="1:18" x14ac:dyDescent="0.25">
      <c r="A53" s="4" t="str">
        <f t="shared" si="0"/>
        <v>C0052</v>
      </c>
      <c r="B53" s="4">
        <v>31</v>
      </c>
      <c r="C53" s="5" t="str">
        <f>IF(recruitment_data3[[#This Row],[Gender]]=1,"Female","Male")</f>
        <v>Female</v>
      </c>
      <c r="D53" s="5">
        <v>1</v>
      </c>
      <c r="E53" s="5" t="str">
        <f>_xlfn.SWITCH(recruitment_data3[[#This Row],[EducationLevel]], 1,"Bachelor Type 1", 2,"Bachelor Type 2", 3,"Masters", 4,"PhD")</f>
        <v>Bachelor Type 2</v>
      </c>
      <c r="F53" s="5">
        <v>2</v>
      </c>
      <c r="G53" s="5">
        <v>15</v>
      </c>
      <c r="H53" s="5">
        <v>3</v>
      </c>
      <c r="I53" s="5">
        <v>2.2382438788075598</v>
      </c>
      <c r="J53" s="5">
        <v>38</v>
      </c>
      <c r="K53" s="5">
        <v>40</v>
      </c>
      <c r="L53" s="5">
        <v>23</v>
      </c>
      <c r="M53" s="5" t="str">
        <f>_xlfn.SWITCH(recruitment_data3[[#This Row],[RecruitmentStrategy]], 1,"Aggressive", 2,"Moderate", 3,"Conservative")</f>
        <v>Moderate</v>
      </c>
      <c r="N53" s="5">
        <v>2</v>
      </c>
      <c r="O53" s="5" t="str">
        <f>IF(recruitment_data3[[#This Row],[HiringDecision]]=1,"Hired","Rejected")</f>
        <v>Rejected</v>
      </c>
      <c r="P53" s="6">
        <v>0</v>
      </c>
      <c r="R53" s="25" t="s">
        <v>16</v>
      </c>
    </row>
    <row r="54" spans="1:18" x14ac:dyDescent="0.25">
      <c r="A54" s="4" t="str">
        <f t="shared" si="0"/>
        <v>C0053</v>
      </c>
      <c r="B54" s="4">
        <v>42</v>
      </c>
      <c r="C54" s="5" t="str">
        <f>IF(recruitment_data3[[#This Row],[Gender]]=1,"Female","Male")</f>
        <v>Male</v>
      </c>
      <c r="D54" s="5">
        <v>0</v>
      </c>
      <c r="E54" s="5" t="str">
        <f>_xlfn.SWITCH(recruitment_data3[[#This Row],[EducationLevel]], 1,"Bachelor Type 1", 2,"Bachelor Type 2", 3,"Masters", 4,"PhD")</f>
        <v>Bachelor Type 2</v>
      </c>
      <c r="F54" s="5">
        <v>2</v>
      </c>
      <c r="G54" s="5">
        <v>1</v>
      </c>
      <c r="H54" s="5">
        <v>5</v>
      </c>
      <c r="I54" s="5">
        <v>13.440951350996594</v>
      </c>
      <c r="J54" s="5">
        <v>76</v>
      </c>
      <c r="K54" s="5">
        <v>98</v>
      </c>
      <c r="L54" s="5">
        <v>47</v>
      </c>
      <c r="M54" s="5" t="str">
        <f>_xlfn.SWITCH(recruitment_data3[[#This Row],[RecruitmentStrategy]], 1,"Aggressive", 2,"Moderate", 3,"Conservative")</f>
        <v>Conservative</v>
      </c>
      <c r="N54" s="5">
        <v>3</v>
      </c>
      <c r="O54" s="5" t="str">
        <f>IF(recruitment_data3[[#This Row],[HiringDecision]]=1,"Hired","Rejected")</f>
        <v>Rejected</v>
      </c>
      <c r="P54" s="6">
        <v>0</v>
      </c>
      <c r="R54" s="26" t="s">
        <v>23</v>
      </c>
    </row>
    <row r="55" spans="1:18" x14ac:dyDescent="0.25">
      <c r="A55" s="4" t="str">
        <f t="shared" si="0"/>
        <v>C0054</v>
      </c>
      <c r="B55" s="4">
        <v>39</v>
      </c>
      <c r="C55" s="5" t="str">
        <f>IF(recruitment_data3[[#This Row],[Gender]]=1,"Female","Male")</f>
        <v>Female</v>
      </c>
      <c r="D55" s="5">
        <v>1</v>
      </c>
      <c r="E55" s="5" t="str">
        <f>_xlfn.SWITCH(recruitment_data3[[#This Row],[EducationLevel]], 1,"Bachelor Type 1", 2,"Bachelor Type 2", 3,"Masters", 4,"PhD")</f>
        <v>Bachelor Type 2</v>
      </c>
      <c r="F55" s="5">
        <v>2</v>
      </c>
      <c r="G55" s="5">
        <v>11</v>
      </c>
      <c r="H55" s="5">
        <v>1</v>
      </c>
      <c r="I55" s="5">
        <v>21.394480425364002</v>
      </c>
      <c r="J55" s="5">
        <v>36</v>
      </c>
      <c r="K55" s="5">
        <v>37</v>
      </c>
      <c r="L55" s="5">
        <v>62</v>
      </c>
      <c r="M55" s="5" t="str">
        <f>_xlfn.SWITCH(recruitment_data3[[#This Row],[RecruitmentStrategy]], 1,"Aggressive", 2,"Moderate", 3,"Conservative")</f>
        <v>Aggressive</v>
      </c>
      <c r="N55" s="5">
        <v>1</v>
      </c>
      <c r="O55" s="5" t="str">
        <f>IF(recruitment_data3[[#This Row],[HiringDecision]]=1,"Hired","Rejected")</f>
        <v>Hired</v>
      </c>
      <c r="P55" s="6">
        <v>1</v>
      </c>
      <c r="R55" s="27" t="s">
        <v>21</v>
      </c>
    </row>
    <row r="56" spans="1:18" x14ac:dyDescent="0.25">
      <c r="A56" s="4" t="str">
        <f t="shared" si="0"/>
        <v>C0055</v>
      </c>
      <c r="B56" s="4">
        <v>44</v>
      </c>
      <c r="C56" s="5" t="str">
        <f>IF(recruitment_data3[[#This Row],[Gender]]=1,"Female","Male")</f>
        <v>Male</v>
      </c>
      <c r="D56" s="5">
        <v>0</v>
      </c>
      <c r="E56" s="5" t="str">
        <f>_xlfn.SWITCH(recruitment_data3[[#This Row],[EducationLevel]], 1,"Bachelor Type 1", 2,"Bachelor Type 2", 3,"Masters", 4,"PhD")</f>
        <v>Bachelor Type 2</v>
      </c>
      <c r="F56" s="5">
        <v>2</v>
      </c>
      <c r="G56" s="5">
        <v>7</v>
      </c>
      <c r="H56" s="5">
        <v>1</v>
      </c>
      <c r="I56" s="5">
        <v>14.981815924660312</v>
      </c>
      <c r="J56" s="5">
        <v>80</v>
      </c>
      <c r="K56" s="5">
        <v>87</v>
      </c>
      <c r="L56" s="5">
        <v>68</v>
      </c>
      <c r="M56" s="5" t="str">
        <f>_xlfn.SWITCH(recruitment_data3[[#This Row],[RecruitmentStrategy]], 1,"Aggressive", 2,"Moderate", 3,"Conservative")</f>
        <v>Moderate</v>
      </c>
      <c r="N56" s="5">
        <v>2</v>
      </c>
      <c r="O56" s="5" t="str">
        <f>IF(recruitment_data3[[#This Row],[HiringDecision]]=1,"Hired","Rejected")</f>
        <v>Hired</v>
      </c>
      <c r="P56" s="6">
        <v>1</v>
      </c>
      <c r="R56" s="27" t="s">
        <v>22</v>
      </c>
    </row>
    <row r="57" spans="1:18" x14ac:dyDescent="0.25">
      <c r="A57" s="4" t="str">
        <f t="shared" si="0"/>
        <v>C0056</v>
      </c>
      <c r="B57" s="4">
        <v>22</v>
      </c>
      <c r="C57" s="5" t="str">
        <f>IF(recruitment_data3[[#This Row],[Gender]]=1,"Female","Male")</f>
        <v>Female</v>
      </c>
      <c r="D57" s="5">
        <v>1</v>
      </c>
      <c r="E57" s="5" t="str">
        <f>_xlfn.SWITCH(recruitment_data3[[#This Row],[EducationLevel]], 1,"Bachelor Type 1", 2,"Bachelor Type 2", 3,"Masters", 4,"PhD")</f>
        <v>Bachelor Type 2</v>
      </c>
      <c r="F57" s="5">
        <v>2</v>
      </c>
      <c r="G57" s="5">
        <v>9</v>
      </c>
      <c r="H57" s="5">
        <v>2</v>
      </c>
      <c r="I57" s="5">
        <v>7.8185163733782916</v>
      </c>
      <c r="J57" s="5">
        <v>20</v>
      </c>
      <c r="K57" s="5">
        <v>10</v>
      </c>
      <c r="L57" s="5">
        <v>52</v>
      </c>
      <c r="M57" s="5" t="str">
        <f>_xlfn.SWITCH(recruitment_data3[[#This Row],[RecruitmentStrategy]], 1,"Aggressive", 2,"Moderate", 3,"Conservative")</f>
        <v>Moderate</v>
      </c>
      <c r="N57" s="5">
        <v>2</v>
      </c>
      <c r="O57" s="5" t="str">
        <f>IF(recruitment_data3[[#This Row],[HiringDecision]]=1,"Hired","Rejected")</f>
        <v>Rejected</v>
      </c>
      <c r="P57" s="6">
        <v>0</v>
      </c>
      <c r="R57" s="26" t="s">
        <v>24</v>
      </c>
    </row>
    <row r="58" spans="1:18" x14ac:dyDescent="0.25">
      <c r="A58" s="4" t="str">
        <f t="shared" si="0"/>
        <v>C0057</v>
      </c>
      <c r="B58" s="4">
        <v>24</v>
      </c>
      <c r="C58" s="5" t="str">
        <f>IF(recruitment_data3[[#This Row],[Gender]]=1,"Female","Male")</f>
        <v>Male</v>
      </c>
      <c r="D58" s="5">
        <v>0</v>
      </c>
      <c r="E58" s="5" t="str">
        <f>_xlfn.SWITCH(recruitment_data3[[#This Row],[EducationLevel]], 1,"Bachelor Type 1", 2,"Bachelor Type 2", 3,"Masters", 4,"PhD")</f>
        <v>Bachelor Type 1</v>
      </c>
      <c r="F58" s="5">
        <v>1</v>
      </c>
      <c r="G58" s="5">
        <v>5</v>
      </c>
      <c r="H58" s="5">
        <v>5</v>
      </c>
      <c r="I58" s="5">
        <v>37.400612889809871</v>
      </c>
      <c r="J58" s="5">
        <v>43</v>
      </c>
      <c r="K58" s="5">
        <v>28</v>
      </c>
      <c r="L58" s="5">
        <v>53</v>
      </c>
      <c r="M58" s="5" t="str">
        <f>_xlfn.SWITCH(recruitment_data3[[#This Row],[RecruitmentStrategy]], 1,"Aggressive", 2,"Moderate", 3,"Conservative")</f>
        <v>Moderate</v>
      </c>
      <c r="N58" s="5">
        <v>2</v>
      </c>
      <c r="O58" s="5" t="str">
        <f>IF(recruitment_data3[[#This Row],[HiringDecision]]=1,"Hired","Rejected")</f>
        <v>Rejected</v>
      </c>
      <c r="P58" s="6">
        <v>0</v>
      </c>
      <c r="R58" s="27" t="s">
        <v>21</v>
      </c>
    </row>
    <row r="59" spans="1:18" x14ac:dyDescent="0.25">
      <c r="A59" s="4" t="str">
        <f t="shared" si="0"/>
        <v>C0058</v>
      </c>
      <c r="B59" s="4">
        <v>38</v>
      </c>
      <c r="C59" s="5" t="str">
        <f>IF(recruitment_data3[[#This Row],[Gender]]=1,"Female","Male")</f>
        <v>Male</v>
      </c>
      <c r="D59" s="5">
        <v>0</v>
      </c>
      <c r="E59" s="5" t="str">
        <f>_xlfn.SWITCH(recruitment_data3[[#This Row],[EducationLevel]], 1,"Bachelor Type 1", 2,"Bachelor Type 2", 3,"Masters", 4,"PhD")</f>
        <v>Bachelor Type 1</v>
      </c>
      <c r="F59" s="5">
        <v>1</v>
      </c>
      <c r="G59" s="5">
        <v>5</v>
      </c>
      <c r="H59" s="5">
        <v>1</v>
      </c>
      <c r="I59" s="5">
        <v>41.657382758399244</v>
      </c>
      <c r="J59" s="5">
        <v>18</v>
      </c>
      <c r="K59" s="5">
        <v>59</v>
      </c>
      <c r="L59" s="5">
        <v>41</v>
      </c>
      <c r="M59" s="5" t="str">
        <f>_xlfn.SWITCH(recruitment_data3[[#This Row],[RecruitmentStrategy]], 1,"Aggressive", 2,"Moderate", 3,"Conservative")</f>
        <v>Moderate</v>
      </c>
      <c r="N59" s="5">
        <v>2</v>
      </c>
      <c r="O59" s="5" t="str">
        <f>IF(recruitment_data3[[#This Row],[HiringDecision]]=1,"Hired","Rejected")</f>
        <v>Rejected</v>
      </c>
      <c r="P59" s="6">
        <v>0</v>
      </c>
      <c r="R59" s="27" t="s">
        <v>22</v>
      </c>
    </row>
    <row r="60" spans="1:18" x14ac:dyDescent="0.25">
      <c r="A60" s="4" t="str">
        <f t="shared" si="0"/>
        <v>C0059</v>
      </c>
      <c r="B60" s="4">
        <v>26</v>
      </c>
      <c r="C60" s="5" t="str">
        <f>IF(recruitment_data3[[#This Row],[Gender]]=1,"Female","Male")</f>
        <v>Female</v>
      </c>
      <c r="D60" s="5">
        <v>1</v>
      </c>
      <c r="E60" s="5" t="str">
        <f>_xlfn.SWITCH(recruitment_data3[[#This Row],[EducationLevel]], 1,"Bachelor Type 1", 2,"Bachelor Type 2", 3,"Masters", 4,"PhD")</f>
        <v>Bachelor Type 2</v>
      </c>
      <c r="F60" s="5">
        <v>2</v>
      </c>
      <c r="G60" s="5">
        <v>9</v>
      </c>
      <c r="H60" s="5">
        <v>1</v>
      </c>
      <c r="I60" s="5">
        <v>13.873948807186242</v>
      </c>
      <c r="J60" s="5">
        <v>70</v>
      </c>
      <c r="K60" s="5">
        <v>66</v>
      </c>
      <c r="L60" s="5">
        <v>44</v>
      </c>
      <c r="M60" s="5" t="str">
        <f>_xlfn.SWITCH(recruitment_data3[[#This Row],[RecruitmentStrategy]], 1,"Aggressive", 2,"Moderate", 3,"Conservative")</f>
        <v>Conservative</v>
      </c>
      <c r="N60" s="5">
        <v>3</v>
      </c>
      <c r="O60" s="5" t="str">
        <f>IF(recruitment_data3[[#This Row],[HiringDecision]]=1,"Hired","Rejected")</f>
        <v>Rejected</v>
      </c>
      <c r="P60" s="6">
        <v>0</v>
      </c>
      <c r="R60" s="26" t="s">
        <v>25</v>
      </c>
    </row>
    <row r="61" spans="1:18" x14ac:dyDescent="0.25">
      <c r="A61" s="4" t="str">
        <f t="shared" si="0"/>
        <v>C0060</v>
      </c>
      <c r="B61" s="4">
        <v>40</v>
      </c>
      <c r="C61" s="5" t="str">
        <f>IF(recruitment_data3[[#This Row],[Gender]]=1,"Female","Male")</f>
        <v>Female</v>
      </c>
      <c r="D61" s="5">
        <v>1</v>
      </c>
      <c r="E61" s="5" t="str">
        <f>_xlfn.SWITCH(recruitment_data3[[#This Row],[EducationLevel]], 1,"Bachelor Type 1", 2,"Bachelor Type 2", 3,"Masters", 4,"PhD")</f>
        <v>Bachelor Type 2</v>
      </c>
      <c r="F61" s="5">
        <v>2</v>
      </c>
      <c r="G61" s="5">
        <v>10</v>
      </c>
      <c r="H61" s="5">
        <v>5</v>
      </c>
      <c r="I61" s="5">
        <v>39.720974730315163</v>
      </c>
      <c r="J61" s="5">
        <v>7</v>
      </c>
      <c r="K61" s="5">
        <v>64</v>
      </c>
      <c r="L61" s="5">
        <v>89</v>
      </c>
      <c r="M61" s="5" t="str">
        <f>_xlfn.SWITCH(recruitment_data3[[#This Row],[RecruitmentStrategy]], 1,"Aggressive", 2,"Moderate", 3,"Conservative")</f>
        <v>Aggressive</v>
      </c>
      <c r="N61" s="5">
        <v>1</v>
      </c>
      <c r="O61" s="5" t="str">
        <f>IF(recruitment_data3[[#This Row],[HiringDecision]]=1,"Hired","Rejected")</f>
        <v>Hired</v>
      </c>
      <c r="P61" s="6">
        <v>1</v>
      </c>
      <c r="R61" s="27" t="s">
        <v>21</v>
      </c>
    </row>
    <row r="62" spans="1:18" x14ac:dyDescent="0.25">
      <c r="A62" s="4" t="str">
        <f t="shared" si="0"/>
        <v>C0061</v>
      </c>
      <c r="B62" s="4">
        <v>28</v>
      </c>
      <c r="C62" s="5" t="str">
        <f>IF(recruitment_data3[[#This Row],[Gender]]=1,"Female","Male")</f>
        <v>Male</v>
      </c>
      <c r="D62" s="5">
        <v>0</v>
      </c>
      <c r="E62" s="5" t="str">
        <f>_xlfn.SWITCH(recruitment_data3[[#This Row],[EducationLevel]], 1,"Bachelor Type 1", 2,"Bachelor Type 2", 3,"Masters", 4,"PhD")</f>
        <v>Bachelor Type 2</v>
      </c>
      <c r="F62" s="5">
        <v>2</v>
      </c>
      <c r="G62" s="5">
        <v>6</v>
      </c>
      <c r="H62" s="5">
        <v>3</v>
      </c>
      <c r="I62" s="5">
        <v>20.277678220065692</v>
      </c>
      <c r="J62" s="5">
        <v>76</v>
      </c>
      <c r="K62" s="5">
        <v>60</v>
      </c>
      <c r="L62" s="5">
        <v>13</v>
      </c>
      <c r="M62" s="5" t="str">
        <f>_xlfn.SWITCH(recruitment_data3[[#This Row],[RecruitmentStrategy]], 1,"Aggressive", 2,"Moderate", 3,"Conservative")</f>
        <v>Aggressive</v>
      </c>
      <c r="N62" s="5">
        <v>1</v>
      </c>
      <c r="O62" s="5" t="str">
        <f>IF(recruitment_data3[[#This Row],[HiringDecision]]=1,"Hired","Rejected")</f>
        <v>Hired</v>
      </c>
      <c r="P62" s="6">
        <v>1</v>
      </c>
      <c r="R62" s="27" t="s">
        <v>22</v>
      </c>
    </row>
    <row r="63" spans="1:18" x14ac:dyDescent="0.25">
      <c r="A63" s="4" t="str">
        <f t="shared" si="0"/>
        <v>C0062</v>
      </c>
      <c r="B63" s="4">
        <v>26</v>
      </c>
      <c r="C63" s="5" t="str">
        <f>IF(recruitment_data3[[#This Row],[Gender]]=1,"Female","Male")</f>
        <v>Female</v>
      </c>
      <c r="D63" s="5">
        <v>1</v>
      </c>
      <c r="E63" s="5" t="str">
        <f>_xlfn.SWITCH(recruitment_data3[[#This Row],[EducationLevel]], 1,"Bachelor Type 1", 2,"Bachelor Type 2", 3,"Masters", 4,"PhD")</f>
        <v>Bachelor Type 2</v>
      </c>
      <c r="F63" s="5">
        <v>2</v>
      </c>
      <c r="G63" s="5">
        <v>6</v>
      </c>
      <c r="H63" s="5">
        <v>5</v>
      </c>
      <c r="I63" s="5">
        <v>26.334289542700141</v>
      </c>
      <c r="J63" s="5">
        <v>100</v>
      </c>
      <c r="K63" s="5">
        <v>18</v>
      </c>
      <c r="L63" s="5">
        <v>28</v>
      </c>
      <c r="M63" s="5" t="str">
        <f>_xlfn.SWITCH(recruitment_data3[[#This Row],[RecruitmentStrategy]], 1,"Aggressive", 2,"Moderate", 3,"Conservative")</f>
        <v>Aggressive</v>
      </c>
      <c r="N63" s="5">
        <v>1</v>
      </c>
      <c r="O63" s="5" t="str">
        <f>IF(recruitment_data3[[#This Row],[HiringDecision]]=1,"Hired","Rejected")</f>
        <v>Hired</v>
      </c>
      <c r="P63" s="6">
        <v>1</v>
      </c>
      <c r="R63" s="25" t="s">
        <v>17</v>
      </c>
    </row>
    <row r="64" spans="1:18" x14ac:dyDescent="0.25">
      <c r="A64" s="4" t="str">
        <f t="shared" si="0"/>
        <v>C0063</v>
      </c>
      <c r="B64" s="4">
        <v>37</v>
      </c>
      <c r="C64" s="5" t="str">
        <f>IF(recruitment_data3[[#This Row],[Gender]]=1,"Female","Male")</f>
        <v>Male</v>
      </c>
      <c r="D64" s="5">
        <v>0</v>
      </c>
      <c r="E64" s="5" t="str">
        <f>_xlfn.SWITCH(recruitment_data3[[#This Row],[EducationLevel]], 1,"Bachelor Type 1", 2,"Bachelor Type 2", 3,"Masters", 4,"PhD")</f>
        <v>Bachelor Type 2</v>
      </c>
      <c r="F64" s="5">
        <v>2</v>
      </c>
      <c r="G64" s="5">
        <v>10</v>
      </c>
      <c r="H64" s="5">
        <v>5</v>
      </c>
      <c r="I64" s="5">
        <v>43.800053744657639</v>
      </c>
      <c r="J64" s="5">
        <v>65</v>
      </c>
      <c r="K64" s="5">
        <v>45</v>
      </c>
      <c r="L64" s="5">
        <v>5</v>
      </c>
      <c r="M64" s="5" t="str">
        <f>_xlfn.SWITCH(recruitment_data3[[#This Row],[RecruitmentStrategy]], 1,"Aggressive", 2,"Moderate", 3,"Conservative")</f>
        <v>Conservative</v>
      </c>
      <c r="N64" s="5">
        <v>3</v>
      </c>
      <c r="O64" s="5" t="str">
        <f>IF(recruitment_data3[[#This Row],[HiringDecision]]=1,"Hired","Rejected")</f>
        <v>Rejected</v>
      </c>
      <c r="P64" s="6">
        <v>0</v>
      </c>
      <c r="R64" s="26" t="s">
        <v>23</v>
      </c>
    </row>
    <row r="65" spans="1:18" x14ac:dyDescent="0.25">
      <c r="A65" s="4" t="str">
        <f t="shared" si="0"/>
        <v>C0064</v>
      </c>
      <c r="B65" s="4">
        <v>23</v>
      </c>
      <c r="C65" s="5" t="str">
        <f>IF(recruitment_data3[[#This Row],[Gender]]=1,"Female","Male")</f>
        <v>Male</v>
      </c>
      <c r="D65" s="5">
        <v>0</v>
      </c>
      <c r="E65" s="5" t="str">
        <f>_xlfn.SWITCH(recruitment_data3[[#This Row],[EducationLevel]], 1,"Bachelor Type 1", 2,"Bachelor Type 2", 3,"Masters", 4,"PhD")</f>
        <v>Masters</v>
      </c>
      <c r="F65" s="5">
        <v>3</v>
      </c>
      <c r="G65" s="5">
        <v>12</v>
      </c>
      <c r="H65" s="5">
        <v>3</v>
      </c>
      <c r="I65" s="5">
        <v>38.497684090120394</v>
      </c>
      <c r="J65" s="5">
        <v>40</v>
      </c>
      <c r="K65" s="5">
        <v>48</v>
      </c>
      <c r="L65" s="5">
        <v>6</v>
      </c>
      <c r="M65" s="5" t="str">
        <f>_xlfn.SWITCH(recruitment_data3[[#This Row],[RecruitmentStrategy]], 1,"Aggressive", 2,"Moderate", 3,"Conservative")</f>
        <v>Moderate</v>
      </c>
      <c r="N65" s="5">
        <v>2</v>
      </c>
      <c r="O65" s="5" t="str">
        <f>IF(recruitment_data3[[#This Row],[HiringDecision]]=1,"Hired","Rejected")</f>
        <v>Rejected</v>
      </c>
      <c r="P65" s="6">
        <v>0</v>
      </c>
      <c r="R65" s="27" t="s">
        <v>21</v>
      </c>
    </row>
    <row r="66" spans="1:18" x14ac:dyDescent="0.25">
      <c r="A66" s="4" t="str">
        <f t="shared" ref="A66:A129" si="1">"C"&amp;TEXT(ROW()-1,"0000")</f>
        <v>C0065</v>
      </c>
      <c r="B66" s="4">
        <v>44</v>
      </c>
      <c r="C66" s="5" t="str">
        <f>IF(recruitment_data3[[#This Row],[Gender]]=1,"Female","Male")</f>
        <v>Male</v>
      </c>
      <c r="D66" s="5">
        <v>0</v>
      </c>
      <c r="E66" s="5" t="str">
        <f>_xlfn.SWITCH(recruitment_data3[[#This Row],[EducationLevel]], 1,"Bachelor Type 1", 2,"Bachelor Type 2", 3,"Masters", 4,"PhD")</f>
        <v>Bachelor Type 1</v>
      </c>
      <c r="F66" s="5">
        <v>1</v>
      </c>
      <c r="G66" s="5">
        <v>14</v>
      </c>
      <c r="H66" s="5">
        <v>5</v>
      </c>
      <c r="I66" s="5">
        <v>41.255842565808884</v>
      </c>
      <c r="J66" s="5">
        <v>74</v>
      </c>
      <c r="K66" s="5">
        <v>21</v>
      </c>
      <c r="L66" s="5">
        <v>36</v>
      </c>
      <c r="M66" s="5" t="str">
        <f>_xlfn.SWITCH(recruitment_data3[[#This Row],[RecruitmentStrategy]], 1,"Aggressive", 2,"Moderate", 3,"Conservative")</f>
        <v>Moderate</v>
      </c>
      <c r="N66" s="5">
        <v>2</v>
      </c>
      <c r="O66" s="5" t="str">
        <f>IF(recruitment_data3[[#This Row],[HiringDecision]]=1,"Hired","Rejected")</f>
        <v>Rejected</v>
      </c>
      <c r="P66" s="6">
        <v>0</v>
      </c>
      <c r="R66" s="27" t="s">
        <v>22</v>
      </c>
    </row>
    <row r="67" spans="1:18" x14ac:dyDescent="0.25">
      <c r="A67" s="4" t="str">
        <f t="shared" si="1"/>
        <v>C0066</v>
      </c>
      <c r="B67" s="4">
        <v>47</v>
      </c>
      <c r="C67" s="5" t="str">
        <f>IF(recruitment_data3[[#This Row],[Gender]]=1,"Female","Male")</f>
        <v>Female</v>
      </c>
      <c r="D67" s="5">
        <v>1</v>
      </c>
      <c r="E67" s="5" t="str">
        <f>_xlfn.SWITCH(recruitment_data3[[#This Row],[EducationLevel]], 1,"Bachelor Type 1", 2,"Bachelor Type 2", 3,"Masters", 4,"PhD")</f>
        <v>Bachelor Type 2</v>
      </c>
      <c r="F67" s="5">
        <v>2</v>
      </c>
      <c r="G67" s="5">
        <v>5</v>
      </c>
      <c r="H67" s="5">
        <v>1</v>
      </c>
      <c r="I67" s="5">
        <v>7.8422583293178407</v>
      </c>
      <c r="J67" s="5">
        <v>87</v>
      </c>
      <c r="K67" s="5">
        <v>77</v>
      </c>
      <c r="L67" s="5">
        <v>52</v>
      </c>
      <c r="M67" s="5" t="str">
        <f>_xlfn.SWITCH(recruitment_data3[[#This Row],[RecruitmentStrategy]], 1,"Aggressive", 2,"Moderate", 3,"Conservative")</f>
        <v>Aggressive</v>
      </c>
      <c r="N67" s="5">
        <v>1</v>
      </c>
      <c r="O67" s="5" t="str">
        <f>IF(recruitment_data3[[#This Row],[HiringDecision]]=1,"Hired","Rejected")</f>
        <v>Hired</v>
      </c>
      <c r="P67" s="6">
        <v>1</v>
      </c>
      <c r="R67" s="26" t="s">
        <v>24</v>
      </c>
    </row>
    <row r="68" spans="1:18" x14ac:dyDescent="0.25">
      <c r="A68" s="4" t="str">
        <f t="shared" si="1"/>
        <v>C0067</v>
      </c>
      <c r="B68" s="4">
        <v>33</v>
      </c>
      <c r="C68" s="5" t="str">
        <f>IF(recruitment_data3[[#This Row],[Gender]]=1,"Female","Male")</f>
        <v>Male</v>
      </c>
      <c r="D68" s="5">
        <v>0</v>
      </c>
      <c r="E68" s="5" t="str">
        <f>_xlfn.SWITCH(recruitment_data3[[#This Row],[EducationLevel]], 1,"Bachelor Type 1", 2,"Bachelor Type 2", 3,"Masters", 4,"PhD")</f>
        <v>Masters</v>
      </c>
      <c r="F68" s="5">
        <v>3</v>
      </c>
      <c r="G68" s="5">
        <v>3</v>
      </c>
      <c r="H68" s="5">
        <v>5</v>
      </c>
      <c r="I68" s="5">
        <v>4.4859712916864734</v>
      </c>
      <c r="J68" s="5">
        <v>69</v>
      </c>
      <c r="K68" s="5">
        <v>56</v>
      </c>
      <c r="L68" s="5">
        <v>17</v>
      </c>
      <c r="M68" s="5" t="str">
        <f>_xlfn.SWITCH(recruitment_data3[[#This Row],[RecruitmentStrategy]], 1,"Aggressive", 2,"Moderate", 3,"Conservative")</f>
        <v>Conservative</v>
      </c>
      <c r="N68" s="5">
        <v>3</v>
      </c>
      <c r="O68" s="5" t="str">
        <f>IF(recruitment_data3[[#This Row],[HiringDecision]]=1,"Hired","Rejected")</f>
        <v>Rejected</v>
      </c>
      <c r="P68" s="6">
        <v>0</v>
      </c>
      <c r="R68" s="27" t="s">
        <v>21</v>
      </c>
    </row>
    <row r="69" spans="1:18" x14ac:dyDescent="0.25">
      <c r="A69" s="4" t="str">
        <f t="shared" si="1"/>
        <v>C0068</v>
      </c>
      <c r="B69" s="4">
        <v>37</v>
      </c>
      <c r="C69" s="5" t="str">
        <f>IF(recruitment_data3[[#This Row],[Gender]]=1,"Female","Male")</f>
        <v>Male</v>
      </c>
      <c r="D69" s="5">
        <v>0</v>
      </c>
      <c r="E69" s="5" t="str">
        <f>_xlfn.SWITCH(recruitment_data3[[#This Row],[EducationLevel]], 1,"Bachelor Type 1", 2,"Bachelor Type 2", 3,"Masters", 4,"PhD")</f>
        <v>Bachelor Type 2</v>
      </c>
      <c r="F69" s="5">
        <v>2</v>
      </c>
      <c r="G69" s="5">
        <v>10</v>
      </c>
      <c r="H69" s="5">
        <v>3</v>
      </c>
      <c r="I69" s="5">
        <v>45.670236454399351</v>
      </c>
      <c r="J69" s="5">
        <v>60</v>
      </c>
      <c r="K69" s="5">
        <v>13</v>
      </c>
      <c r="L69" s="5">
        <v>86</v>
      </c>
      <c r="M69" s="5" t="str">
        <f>_xlfn.SWITCH(recruitment_data3[[#This Row],[RecruitmentStrategy]], 1,"Aggressive", 2,"Moderate", 3,"Conservative")</f>
        <v>Conservative</v>
      </c>
      <c r="N69" s="5">
        <v>3</v>
      </c>
      <c r="O69" s="5" t="str">
        <f>IF(recruitment_data3[[#This Row],[HiringDecision]]=1,"Hired","Rejected")</f>
        <v>Rejected</v>
      </c>
      <c r="P69" s="6">
        <v>0</v>
      </c>
      <c r="R69" s="27" t="s">
        <v>22</v>
      </c>
    </row>
    <row r="70" spans="1:18" x14ac:dyDescent="0.25">
      <c r="A70" s="4" t="str">
        <f t="shared" si="1"/>
        <v>C0069</v>
      </c>
      <c r="B70" s="4">
        <v>45</v>
      </c>
      <c r="C70" s="5" t="str">
        <f>IF(recruitment_data3[[#This Row],[Gender]]=1,"Female","Male")</f>
        <v>Female</v>
      </c>
      <c r="D70" s="5">
        <v>1</v>
      </c>
      <c r="E70" s="5" t="str">
        <f>_xlfn.SWITCH(recruitment_data3[[#This Row],[EducationLevel]], 1,"Bachelor Type 1", 2,"Bachelor Type 2", 3,"Masters", 4,"PhD")</f>
        <v>Bachelor Type 2</v>
      </c>
      <c r="F70" s="5">
        <v>2</v>
      </c>
      <c r="G70" s="5">
        <v>8</v>
      </c>
      <c r="H70" s="5">
        <v>4</v>
      </c>
      <c r="I70" s="5">
        <v>20.391713478554717</v>
      </c>
      <c r="J70" s="5">
        <v>25</v>
      </c>
      <c r="K70" s="5">
        <v>43</v>
      </c>
      <c r="L70" s="5">
        <v>37</v>
      </c>
      <c r="M70" s="5" t="str">
        <f>_xlfn.SWITCH(recruitment_data3[[#This Row],[RecruitmentStrategy]], 1,"Aggressive", 2,"Moderate", 3,"Conservative")</f>
        <v>Moderate</v>
      </c>
      <c r="N70" s="5">
        <v>2</v>
      </c>
      <c r="O70" s="5" t="str">
        <f>IF(recruitment_data3[[#This Row],[HiringDecision]]=1,"Hired","Rejected")</f>
        <v>Rejected</v>
      </c>
      <c r="P70" s="6">
        <v>0</v>
      </c>
      <c r="R70" s="26" t="s">
        <v>25</v>
      </c>
    </row>
    <row r="71" spans="1:18" x14ac:dyDescent="0.25">
      <c r="A71" s="4" t="str">
        <f t="shared" si="1"/>
        <v>C0070</v>
      </c>
      <c r="B71" s="4">
        <v>28</v>
      </c>
      <c r="C71" s="5" t="str">
        <f>IF(recruitment_data3[[#This Row],[Gender]]=1,"Female","Male")</f>
        <v>Female</v>
      </c>
      <c r="D71" s="5">
        <v>1</v>
      </c>
      <c r="E71" s="5" t="str">
        <f>_xlfn.SWITCH(recruitment_data3[[#This Row],[EducationLevel]], 1,"Bachelor Type 1", 2,"Bachelor Type 2", 3,"Masters", 4,"PhD")</f>
        <v>PhD</v>
      </c>
      <c r="F71" s="5">
        <v>4</v>
      </c>
      <c r="G71" s="5">
        <v>5</v>
      </c>
      <c r="H71" s="5">
        <v>5</v>
      </c>
      <c r="I71" s="5">
        <v>15.393983903484042</v>
      </c>
      <c r="J71" s="5">
        <v>70</v>
      </c>
      <c r="K71" s="5">
        <v>15</v>
      </c>
      <c r="L71" s="5">
        <v>58</v>
      </c>
      <c r="M71" s="5" t="str">
        <f>_xlfn.SWITCH(recruitment_data3[[#This Row],[RecruitmentStrategy]], 1,"Aggressive", 2,"Moderate", 3,"Conservative")</f>
        <v>Moderate</v>
      </c>
      <c r="N71" s="5">
        <v>2</v>
      </c>
      <c r="O71" s="5" t="str">
        <f>IF(recruitment_data3[[#This Row],[HiringDecision]]=1,"Hired","Rejected")</f>
        <v>Rejected</v>
      </c>
      <c r="P71" s="6">
        <v>0</v>
      </c>
      <c r="R71" s="27" t="s">
        <v>21</v>
      </c>
    </row>
    <row r="72" spans="1:18" x14ac:dyDescent="0.25">
      <c r="A72" s="4" t="str">
        <f t="shared" si="1"/>
        <v>C0071</v>
      </c>
      <c r="B72" s="4">
        <v>45</v>
      </c>
      <c r="C72" s="5" t="str">
        <f>IF(recruitment_data3[[#This Row],[Gender]]=1,"Female","Male")</f>
        <v>Female</v>
      </c>
      <c r="D72" s="5">
        <v>1</v>
      </c>
      <c r="E72" s="5" t="str">
        <f>_xlfn.SWITCH(recruitment_data3[[#This Row],[EducationLevel]], 1,"Bachelor Type 1", 2,"Bachelor Type 2", 3,"Masters", 4,"PhD")</f>
        <v>Masters</v>
      </c>
      <c r="F72" s="5">
        <v>3</v>
      </c>
      <c r="G72" s="5">
        <v>3</v>
      </c>
      <c r="H72" s="5">
        <v>2</v>
      </c>
      <c r="I72" s="5">
        <v>37.234812713091223</v>
      </c>
      <c r="J72" s="5">
        <v>82</v>
      </c>
      <c r="K72" s="5">
        <v>96</v>
      </c>
      <c r="L72" s="5">
        <v>0</v>
      </c>
      <c r="M72" s="5" t="str">
        <f>_xlfn.SWITCH(recruitment_data3[[#This Row],[RecruitmentStrategy]], 1,"Aggressive", 2,"Moderate", 3,"Conservative")</f>
        <v>Aggressive</v>
      </c>
      <c r="N72" s="5">
        <v>1</v>
      </c>
      <c r="O72" s="5" t="str">
        <f>IF(recruitment_data3[[#This Row],[HiringDecision]]=1,"Hired","Rejected")</f>
        <v>Hired</v>
      </c>
      <c r="P72" s="6">
        <v>1</v>
      </c>
      <c r="R72" s="27" t="s">
        <v>22</v>
      </c>
    </row>
    <row r="73" spans="1:18" x14ac:dyDescent="0.25">
      <c r="A73" s="4" t="str">
        <f t="shared" si="1"/>
        <v>C0072</v>
      </c>
      <c r="B73" s="4">
        <v>40</v>
      </c>
      <c r="C73" s="5" t="str">
        <f>IF(recruitment_data3[[#This Row],[Gender]]=1,"Female","Male")</f>
        <v>Female</v>
      </c>
      <c r="D73" s="5">
        <v>1</v>
      </c>
      <c r="E73" s="5" t="str">
        <f>_xlfn.SWITCH(recruitment_data3[[#This Row],[EducationLevel]], 1,"Bachelor Type 1", 2,"Bachelor Type 2", 3,"Masters", 4,"PhD")</f>
        <v>Bachelor Type 2</v>
      </c>
      <c r="F73" s="5">
        <v>2</v>
      </c>
      <c r="G73" s="5">
        <v>11</v>
      </c>
      <c r="H73" s="5">
        <v>1</v>
      </c>
      <c r="I73" s="5">
        <v>42.820779828992833</v>
      </c>
      <c r="J73" s="5">
        <v>69</v>
      </c>
      <c r="K73" s="5">
        <v>76</v>
      </c>
      <c r="L73" s="5">
        <v>67</v>
      </c>
      <c r="M73" s="5" t="str">
        <f>_xlfn.SWITCH(recruitment_data3[[#This Row],[RecruitmentStrategy]], 1,"Aggressive", 2,"Moderate", 3,"Conservative")</f>
        <v>Moderate</v>
      </c>
      <c r="N73" s="5">
        <v>2</v>
      </c>
      <c r="O73" s="5" t="str">
        <f>IF(recruitment_data3[[#This Row],[HiringDecision]]=1,"Hired","Rejected")</f>
        <v>Rejected</v>
      </c>
      <c r="P73" s="6">
        <v>0</v>
      </c>
      <c r="R73" s="25" t="s">
        <v>18</v>
      </c>
    </row>
    <row r="74" spans="1:18" x14ac:dyDescent="0.25">
      <c r="A74" s="4" t="str">
        <f t="shared" si="1"/>
        <v>C0073</v>
      </c>
      <c r="B74" s="4">
        <v>21</v>
      </c>
      <c r="C74" s="5" t="str">
        <f>IF(recruitment_data3[[#This Row],[Gender]]=1,"Female","Male")</f>
        <v>Male</v>
      </c>
      <c r="D74" s="5">
        <v>0</v>
      </c>
      <c r="E74" s="5" t="str">
        <f>_xlfn.SWITCH(recruitment_data3[[#This Row],[EducationLevel]], 1,"Bachelor Type 1", 2,"Bachelor Type 2", 3,"Masters", 4,"PhD")</f>
        <v>Bachelor Type 2</v>
      </c>
      <c r="F74" s="5">
        <v>2</v>
      </c>
      <c r="G74" s="5">
        <v>2</v>
      </c>
      <c r="H74" s="5">
        <v>1</v>
      </c>
      <c r="I74" s="5">
        <v>44.124481094915048</v>
      </c>
      <c r="J74" s="5">
        <v>28</v>
      </c>
      <c r="K74" s="5">
        <v>11</v>
      </c>
      <c r="L74" s="5">
        <v>43</v>
      </c>
      <c r="M74" s="5" t="str">
        <f>_xlfn.SWITCH(recruitment_data3[[#This Row],[RecruitmentStrategy]], 1,"Aggressive", 2,"Moderate", 3,"Conservative")</f>
        <v>Moderate</v>
      </c>
      <c r="N74" s="5">
        <v>2</v>
      </c>
      <c r="O74" s="5" t="str">
        <f>IF(recruitment_data3[[#This Row],[HiringDecision]]=1,"Hired","Rejected")</f>
        <v>Rejected</v>
      </c>
      <c r="P74" s="6">
        <v>0</v>
      </c>
      <c r="R74" s="26" t="s">
        <v>23</v>
      </c>
    </row>
    <row r="75" spans="1:18" x14ac:dyDescent="0.25">
      <c r="A75" s="4" t="str">
        <f t="shared" si="1"/>
        <v>C0074</v>
      </c>
      <c r="B75" s="4">
        <v>39</v>
      </c>
      <c r="C75" s="5" t="str">
        <f>IF(recruitment_data3[[#This Row],[Gender]]=1,"Female","Male")</f>
        <v>Male</v>
      </c>
      <c r="D75" s="5">
        <v>0</v>
      </c>
      <c r="E75" s="5" t="str">
        <f>_xlfn.SWITCH(recruitment_data3[[#This Row],[EducationLevel]], 1,"Bachelor Type 1", 2,"Bachelor Type 2", 3,"Masters", 4,"PhD")</f>
        <v>Bachelor Type 2</v>
      </c>
      <c r="F75" s="5">
        <v>2</v>
      </c>
      <c r="G75" s="5">
        <v>3</v>
      </c>
      <c r="H75" s="5">
        <v>2</v>
      </c>
      <c r="I75" s="5">
        <v>16.799857056261366</v>
      </c>
      <c r="J75" s="5">
        <v>65</v>
      </c>
      <c r="K75" s="5">
        <v>54</v>
      </c>
      <c r="L75" s="5">
        <v>46</v>
      </c>
      <c r="M75" s="5" t="str">
        <f>_xlfn.SWITCH(recruitment_data3[[#This Row],[RecruitmentStrategy]], 1,"Aggressive", 2,"Moderate", 3,"Conservative")</f>
        <v>Aggressive</v>
      </c>
      <c r="N75" s="5">
        <v>1</v>
      </c>
      <c r="O75" s="5" t="str">
        <f>IF(recruitment_data3[[#This Row],[HiringDecision]]=1,"Hired","Rejected")</f>
        <v>Rejected</v>
      </c>
      <c r="P75" s="6">
        <v>0</v>
      </c>
      <c r="R75" s="27" t="s">
        <v>21</v>
      </c>
    </row>
    <row r="76" spans="1:18" x14ac:dyDescent="0.25">
      <c r="A76" s="4" t="str">
        <f t="shared" si="1"/>
        <v>C0075</v>
      </c>
      <c r="B76" s="4">
        <v>47</v>
      </c>
      <c r="C76" s="5" t="str">
        <f>IF(recruitment_data3[[#This Row],[Gender]]=1,"Female","Male")</f>
        <v>Male</v>
      </c>
      <c r="D76" s="5">
        <v>0</v>
      </c>
      <c r="E76" s="5" t="str">
        <f>_xlfn.SWITCH(recruitment_data3[[#This Row],[EducationLevel]], 1,"Bachelor Type 1", 2,"Bachelor Type 2", 3,"Masters", 4,"PhD")</f>
        <v>Bachelor Type 2</v>
      </c>
      <c r="F76" s="5">
        <v>2</v>
      </c>
      <c r="G76" s="5">
        <v>2</v>
      </c>
      <c r="H76" s="5">
        <v>2</v>
      </c>
      <c r="I76" s="5">
        <v>43.610619560083698</v>
      </c>
      <c r="J76" s="5">
        <v>18</v>
      </c>
      <c r="K76" s="5">
        <v>50</v>
      </c>
      <c r="L76" s="5">
        <v>34</v>
      </c>
      <c r="M76" s="5" t="str">
        <f>_xlfn.SWITCH(recruitment_data3[[#This Row],[RecruitmentStrategy]], 1,"Aggressive", 2,"Moderate", 3,"Conservative")</f>
        <v>Moderate</v>
      </c>
      <c r="N76" s="5">
        <v>2</v>
      </c>
      <c r="O76" s="5" t="str">
        <f>IF(recruitment_data3[[#This Row],[HiringDecision]]=1,"Hired","Rejected")</f>
        <v>Rejected</v>
      </c>
      <c r="P76" s="6">
        <v>0</v>
      </c>
      <c r="R76" s="27" t="s">
        <v>22</v>
      </c>
    </row>
    <row r="77" spans="1:18" x14ac:dyDescent="0.25">
      <c r="A77" s="4" t="str">
        <f t="shared" si="1"/>
        <v>C0076</v>
      </c>
      <c r="B77" s="4">
        <v>34</v>
      </c>
      <c r="C77" s="5" t="str">
        <f>IF(recruitment_data3[[#This Row],[Gender]]=1,"Female","Male")</f>
        <v>Male</v>
      </c>
      <c r="D77" s="5">
        <v>0</v>
      </c>
      <c r="E77" s="5" t="str">
        <f>_xlfn.SWITCH(recruitment_data3[[#This Row],[EducationLevel]], 1,"Bachelor Type 1", 2,"Bachelor Type 2", 3,"Masters", 4,"PhD")</f>
        <v>Bachelor Type 2</v>
      </c>
      <c r="F77" s="5">
        <v>2</v>
      </c>
      <c r="G77" s="5">
        <v>14</v>
      </c>
      <c r="H77" s="5">
        <v>5</v>
      </c>
      <c r="I77" s="5">
        <v>3.0466972187172692</v>
      </c>
      <c r="J77" s="5">
        <v>67</v>
      </c>
      <c r="K77" s="5">
        <v>38</v>
      </c>
      <c r="L77" s="5">
        <v>86</v>
      </c>
      <c r="M77" s="5" t="str">
        <f>_xlfn.SWITCH(recruitment_data3[[#This Row],[RecruitmentStrategy]], 1,"Aggressive", 2,"Moderate", 3,"Conservative")</f>
        <v>Aggressive</v>
      </c>
      <c r="N77" s="5">
        <v>1</v>
      </c>
      <c r="O77" s="5" t="str">
        <f>IF(recruitment_data3[[#This Row],[HiringDecision]]=1,"Hired","Rejected")</f>
        <v>Hired</v>
      </c>
      <c r="P77" s="6">
        <v>1</v>
      </c>
      <c r="R77" s="26" t="s">
        <v>24</v>
      </c>
    </row>
    <row r="78" spans="1:18" x14ac:dyDescent="0.25">
      <c r="A78" s="4" t="str">
        <f t="shared" si="1"/>
        <v>C0077</v>
      </c>
      <c r="B78" s="4">
        <v>47</v>
      </c>
      <c r="C78" s="5" t="str">
        <f>IF(recruitment_data3[[#This Row],[Gender]]=1,"Female","Male")</f>
        <v>Female</v>
      </c>
      <c r="D78" s="5">
        <v>1</v>
      </c>
      <c r="E78" s="5" t="str">
        <f>_xlfn.SWITCH(recruitment_data3[[#This Row],[EducationLevel]], 1,"Bachelor Type 1", 2,"Bachelor Type 2", 3,"Masters", 4,"PhD")</f>
        <v>Bachelor Type 2</v>
      </c>
      <c r="F78" s="5">
        <v>2</v>
      </c>
      <c r="G78" s="5">
        <v>1</v>
      </c>
      <c r="H78" s="5">
        <v>2</v>
      </c>
      <c r="I78" s="5">
        <v>3.4830745729859438</v>
      </c>
      <c r="J78" s="5">
        <v>57</v>
      </c>
      <c r="K78" s="5">
        <v>32</v>
      </c>
      <c r="L78" s="5">
        <v>90</v>
      </c>
      <c r="M78" s="5" t="str">
        <f>_xlfn.SWITCH(recruitment_data3[[#This Row],[RecruitmentStrategy]], 1,"Aggressive", 2,"Moderate", 3,"Conservative")</f>
        <v>Moderate</v>
      </c>
      <c r="N78" s="5">
        <v>2</v>
      </c>
      <c r="O78" s="5" t="str">
        <f>IF(recruitment_data3[[#This Row],[HiringDecision]]=1,"Hired","Rejected")</f>
        <v>Rejected</v>
      </c>
      <c r="P78" s="6">
        <v>0</v>
      </c>
      <c r="R78" s="27" t="s">
        <v>21</v>
      </c>
    </row>
    <row r="79" spans="1:18" x14ac:dyDescent="0.25">
      <c r="A79" s="4" t="str">
        <f t="shared" si="1"/>
        <v>C0078</v>
      </c>
      <c r="B79" s="4">
        <v>26</v>
      </c>
      <c r="C79" s="5" t="str">
        <f>IF(recruitment_data3[[#This Row],[Gender]]=1,"Female","Male")</f>
        <v>Male</v>
      </c>
      <c r="D79" s="5">
        <v>0</v>
      </c>
      <c r="E79" s="5" t="str">
        <f>_xlfn.SWITCH(recruitment_data3[[#This Row],[EducationLevel]], 1,"Bachelor Type 1", 2,"Bachelor Type 2", 3,"Masters", 4,"PhD")</f>
        <v>Bachelor Type 2</v>
      </c>
      <c r="F79" s="5">
        <v>2</v>
      </c>
      <c r="G79" s="5">
        <v>13</v>
      </c>
      <c r="H79" s="5">
        <v>4</v>
      </c>
      <c r="I79" s="5">
        <v>32.17595975870772</v>
      </c>
      <c r="J79" s="5">
        <v>69</v>
      </c>
      <c r="K79" s="5">
        <v>32</v>
      </c>
      <c r="L79" s="5">
        <v>59</v>
      </c>
      <c r="M79" s="5" t="str">
        <f>_xlfn.SWITCH(recruitment_data3[[#This Row],[RecruitmentStrategy]], 1,"Aggressive", 2,"Moderate", 3,"Conservative")</f>
        <v>Moderate</v>
      </c>
      <c r="N79" s="5">
        <v>2</v>
      </c>
      <c r="O79" s="5" t="str">
        <f>IF(recruitment_data3[[#This Row],[HiringDecision]]=1,"Hired","Rejected")</f>
        <v>Rejected</v>
      </c>
      <c r="P79" s="6">
        <v>0</v>
      </c>
      <c r="R79" s="27" t="s">
        <v>22</v>
      </c>
    </row>
    <row r="80" spans="1:18" x14ac:dyDescent="0.25">
      <c r="A80" s="4" t="str">
        <f t="shared" si="1"/>
        <v>C0079</v>
      </c>
      <c r="B80" s="4">
        <v>31</v>
      </c>
      <c r="C80" s="5" t="str">
        <f>IF(recruitment_data3[[#This Row],[Gender]]=1,"Female","Male")</f>
        <v>Male</v>
      </c>
      <c r="D80" s="5">
        <v>0</v>
      </c>
      <c r="E80" s="5" t="str">
        <f>_xlfn.SWITCH(recruitment_data3[[#This Row],[EducationLevel]], 1,"Bachelor Type 1", 2,"Bachelor Type 2", 3,"Masters", 4,"PhD")</f>
        <v>Bachelor Type 2</v>
      </c>
      <c r="F80" s="5">
        <v>2</v>
      </c>
      <c r="G80" s="5">
        <v>4</v>
      </c>
      <c r="H80" s="5">
        <v>3</v>
      </c>
      <c r="I80" s="5">
        <v>4.1553184557773122</v>
      </c>
      <c r="J80" s="5">
        <v>56</v>
      </c>
      <c r="K80" s="5">
        <v>28</v>
      </c>
      <c r="L80" s="5">
        <v>89</v>
      </c>
      <c r="M80" s="5" t="str">
        <f>_xlfn.SWITCH(recruitment_data3[[#This Row],[RecruitmentStrategy]], 1,"Aggressive", 2,"Moderate", 3,"Conservative")</f>
        <v>Aggressive</v>
      </c>
      <c r="N80" s="5">
        <v>1</v>
      </c>
      <c r="O80" s="5" t="str">
        <f>IF(recruitment_data3[[#This Row],[HiringDecision]]=1,"Hired","Rejected")</f>
        <v>Rejected</v>
      </c>
      <c r="P80" s="6">
        <v>0</v>
      </c>
      <c r="R80" s="26" t="s">
        <v>25</v>
      </c>
    </row>
    <row r="81" spans="1:18" x14ac:dyDescent="0.25">
      <c r="A81" s="4" t="str">
        <f t="shared" si="1"/>
        <v>C0080</v>
      </c>
      <c r="B81" s="4">
        <v>48</v>
      </c>
      <c r="C81" s="5" t="str">
        <f>IF(recruitment_data3[[#This Row],[Gender]]=1,"Female","Male")</f>
        <v>Female</v>
      </c>
      <c r="D81" s="5">
        <v>1</v>
      </c>
      <c r="E81" s="5" t="str">
        <f>_xlfn.SWITCH(recruitment_data3[[#This Row],[EducationLevel]], 1,"Bachelor Type 1", 2,"Bachelor Type 2", 3,"Masters", 4,"PhD")</f>
        <v>Masters</v>
      </c>
      <c r="F81" s="5">
        <v>3</v>
      </c>
      <c r="G81" s="5">
        <v>1</v>
      </c>
      <c r="H81" s="5">
        <v>2</v>
      </c>
      <c r="I81" s="5">
        <v>17.230458425508075</v>
      </c>
      <c r="J81" s="5">
        <v>36</v>
      </c>
      <c r="K81" s="5">
        <v>68</v>
      </c>
      <c r="L81" s="5">
        <v>51</v>
      </c>
      <c r="M81" s="5" t="str">
        <f>_xlfn.SWITCH(recruitment_data3[[#This Row],[RecruitmentStrategy]], 1,"Aggressive", 2,"Moderate", 3,"Conservative")</f>
        <v>Moderate</v>
      </c>
      <c r="N81" s="5">
        <v>2</v>
      </c>
      <c r="O81" s="5" t="str">
        <f>IF(recruitment_data3[[#This Row],[HiringDecision]]=1,"Hired","Rejected")</f>
        <v>Rejected</v>
      </c>
      <c r="P81" s="6">
        <v>0</v>
      </c>
      <c r="R81" s="27" t="s">
        <v>21</v>
      </c>
    </row>
    <row r="82" spans="1:18" x14ac:dyDescent="0.25">
      <c r="A82" s="4" t="str">
        <f t="shared" si="1"/>
        <v>C0081</v>
      </c>
      <c r="B82" s="4">
        <v>27</v>
      </c>
      <c r="C82" s="5" t="str">
        <f>IF(recruitment_data3[[#This Row],[Gender]]=1,"Female","Male")</f>
        <v>Male</v>
      </c>
      <c r="D82" s="5">
        <v>0</v>
      </c>
      <c r="E82" s="5" t="str">
        <f>_xlfn.SWITCH(recruitment_data3[[#This Row],[EducationLevel]], 1,"Bachelor Type 1", 2,"Bachelor Type 2", 3,"Masters", 4,"PhD")</f>
        <v>Bachelor Type 2</v>
      </c>
      <c r="F82" s="5">
        <v>2</v>
      </c>
      <c r="G82" s="5">
        <v>5</v>
      </c>
      <c r="H82" s="5">
        <v>2</v>
      </c>
      <c r="I82" s="5">
        <v>34.637799312346203</v>
      </c>
      <c r="J82" s="5">
        <v>60</v>
      </c>
      <c r="K82" s="5">
        <v>69</v>
      </c>
      <c r="L82" s="5">
        <v>7</v>
      </c>
      <c r="M82" s="5" t="str">
        <f>_xlfn.SWITCH(recruitment_data3[[#This Row],[RecruitmentStrategy]], 1,"Aggressive", 2,"Moderate", 3,"Conservative")</f>
        <v>Moderate</v>
      </c>
      <c r="N82" s="5">
        <v>2</v>
      </c>
      <c r="O82" s="5" t="str">
        <f>IF(recruitment_data3[[#This Row],[HiringDecision]]=1,"Hired","Rejected")</f>
        <v>Rejected</v>
      </c>
      <c r="P82" s="6">
        <v>0</v>
      </c>
      <c r="R82" s="27" t="s">
        <v>22</v>
      </c>
    </row>
    <row r="83" spans="1:18" x14ac:dyDescent="0.25">
      <c r="A83" s="4" t="str">
        <f t="shared" si="1"/>
        <v>C0082</v>
      </c>
      <c r="B83" s="4">
        <v>34</v>
      </c>
      <c r="C83" s="5" t="str">
        <f>IF(recruitment_data3[[#This Row],[Gender]]=1,"Female","Male")</f>
        <v>Male</v>
      </c>
      <c r="D83" s="5">
        <v>0</v>
      </c>
      <c r="E83" s="5" t="str">
        <f>_xlfn.SWITCH(recruitment_data3[[#This Row],[EducationLevel]], 1,"Bachelor Type 1", 2,"Bachelor Type 2", 3,"Masters", 4,"PhD")</f>
        <v>Bachelor Type 1</v>
      </c>
      <c r="F83" s="5">
        <v>1</v>
      </c>
      <c r="G83" s="5">
        <v>2</v>
      </c>
      <c r="H83" s="5">
        <v>4</v>
      </c>
      <c r="I83" s="5">
        <v>17.863344802711318</v>
      </c>
      <c r="J83" s="5">
        <v>91</v>
      </c>
      <c r="K83" s="5">
        <v>30</v>
      </c>
      <c r="L83" s="5">
        <v>79</v>
      </c>
      <c r="M83" s="5" t="str">
        <f>_xlfn.SWITCH(recruitment_data3[[#This Row],[RecruitmentStrategy]], 1,"Aggressive", 2,"Moderate", 3,"Conservative")</f>
        <v>Aggressive</v>
      </c>
      <c r="N83" s="5">
        <v>1</v>
      </c>
      <c r="O83" s="5" t="str">
        <f>IF(recruitment_data3[[#This Row],[HiringDecision]]=1,"Hired","Rejected")</f>
        <v>Hired</v>
      </c>
      <c r="P83" s="6">
        <v>1</v>
      </c>
      <c r="R83" s="11" t="s">
        <v>19</v>
      </c>
    </row>
    <row r="84" spans="1:18" x14ac:dyDescent="0.25">
      <c r="A84" s="4" t="str">
        <f t="shared" si="1"/>
        <v>C0083</v>
      </c>
      <c r="B84" s="4">
        <v>22</v>
      </c>
      <c r="C84" s="5" t="str">
        <f>IF(recruitment_data3[[#This Row],[Gender]]=1,"Female","Male")</f>
        <v>Male</v>
      </c>
      <c r="D84" s="5">
        <v>0</v>
      </c>
      <c r="E84" s="5" t="str">
        <f>_xlfn.SWITCH(recruitment_data3[[#This Row],[EducationLevel]], 1,"Bachelor Type 1", 2,"Bachelor Type 2", 3,"Masters", 4,"PhD")</f>
        <v>Bachelor Type 2</v>
      </c>
      <c r="F84" s="5">
        <v>2</v>
      </c>
      <c r="G84" s="5">
        <v>5</v>
      </c>
      <c r="H84" s="5">
        <v>1</v>
      </c>
      <c r="I84" s="5">
        <v>9.9799890720047966</v>
      </c>
      <c r="J84" s="5">
        <v>29</v>
      </c>
      <c r="K84" s="5">
        <v>79</v>
      </c>
      <c r="L84" s="5">
        <v>40</v>
      </c>
      <c r="M84" s="5" t="str">
        <f>_xlfn.SWITCH(recruitment_data3[[#This Row],[RecruitmentStrategy]], 1,"Aggressive", 2,"Moderate", 3,"Conservative")</f>
        <v>Conservative</v>
      </c>
      <c r="N84" s="5">
        <v>3</v>
      </c>
      <c r="O84" s="5" t="str">
        <f>IF(recruitment_data3[[#This Row],[HiringDecision]]=1,"Hired","Rejected")</f>
        <v>Rejected</v>
      </c>
      <c r="P84" s="6">
        <v>0</v>
      </c>
    </row>
    <row r="85" spans="1:18" x14ac:dyDescent="0.25">
      <c r="A85" s="4" t="str">
        <f t="shared" si="1"/>
        <v>C0084</v>
      </c>
      <c r="B85" s="4">
        <v>33</v>
      </c>
      <c r="C85" s="5" t="str">
        <f>IF(recruitment_data3[[#This Row],[Gender]]=1,"Female","Male")</f>
        <v>Male</v>
      </c>
      <c r="D85" s="5">
        <v>0</v>
      </c>
      <c r="E85" s="5" t="str">
        <f>_xlfn.SWITCH(recruitment_data3[[#This Row],[EducationLevel]], 1,"Bachelor Type 1", 2,"Bachelor Type 2", 3,"Masters", 4,"PhD")</f>
        <v>Bachelor Type 2</v>
      </c>
      <c r="F85" s="5">
        <v>2</v>
      </c>
      <c r="G85" s="5">
        <v>14</v>
      </c>
      <c r="H85" s="5">
        <v>1</v>
      </c>
      <c r="I85" s="5">
        <v>15.067531092692082</v>
      </c>
      <c r="J85" s="5">
        <v>70</v>
      </c>
      <c r="K85" s="5">
        <v>30</v>
      </c>
      <c r="L85" s="5">
        <v>2</v>
      </c>
      <c r="M85" s="5" t="str">
        <f>_xlfn.SWITCH(recruitment_data3[[#This Row],[RecruitmentStrategy]], 1,"Aggressive", 2,"Moderate", 3,"Conservative")</f>
        <v>Aggressive</v>
      </c>
      <c r="N85" s="5">
        <v>1</v>
      </c>
      <c r="O85" s="5" t="str">
        <f>IF(recruitment_data3[[#This Row],[HiringDecision]]=1,"Hired","Rejected")</f>
        <v>Rejected</v>
      </c>
      <c r="P85" s="6">
        <v>0</v>
      </c>
    </row>
    <row r="86" spans="1:18" x14ac:dyDescent="0.25">
      <c r="A86" s="4" t="str">
        <f t="shared" si="1"/>
        <v>C0085</v>
      </c>
      <c r="B86" s="4">
        <v>36</v>
      </c>
      <c r="C86" s="5" t="str">
        <f>IF(recruitment_data3[[#This Row],[Gender]]=1,"Female","Male")</f>
        <v>Male</v>
      </c>
      <c r="D86" s="5">
        <v>0</v>
      </c>
      <c r="E86" s="5" t="str">
        <f>_xlfn.SWITCH(recruitment_data3[[#This Row],[EducationLevel]], 1,"Bachelor Type 1", 2,"Bachelor Type 2", 3,"Masters", 4,"PhD")</f>
        <v>Bachelor Type 2</v>
      </c>
      <c r="F86" s="5">
        <v>2</v>
      </c>
      <c r="G86" s="5">
        <v>10</v>
      </c>
      <c r="H86" s="5">
        <v>5</v>
      </c>
      <c r="I86" s="5">
        <v>23.878766612521588</v>
      </c>
      <c r="J86" s="5">
        <v>72</v>
      </c>
      <c r="K86" s="5">
        <v>88</v>
      </c>
      <c r="L86" s="5">
        <v>95</v>
      </c>
      <c r="M86" s="5" t="str">
        <f>_xlfn.SWITCH(recruitment_data3[[#This Row],[RecruitmentStrategy]], 1,"Aggressive", 2,"Moderate", 3,"Conservative")</f>
        <v>Moderate</v>
      </c>
      <c r="N86" s="5">
        <v>2</v>
      </c>
      <c r="O86" s="5" t="str">
        <f>IF(recruitment_data3[[#This Row],[HiringDecision]]=1,"Hired","Rejected")</f>
        <v>Hired</v>
      </c>
      <c r="P86" s="6">
        <v>1</v>
      </c>
    </row>
    <row r="87" spans="1:18" x14ac:dyDescent="0.25">
      <c r="A87" s="4" t="str">
        <f t="shared" si="1"/>
        <v>C0086</v>
      </c>
      <c r="B87" s="4">
        <v>23</v>
      </c>
      <c r="C87" s="5" t="str">
        <f>IF(recruitment_data3[[#This Row],[Gender]]=1,"Female","Male")</f>
        <v>Male</v>
      </c>
      <c r="D87" s="5">
        <v>0</v>
      </c>
      <c r="E87" s="5" t="str">
        <f>_xlfn.SWITCH(recruitment_data3[[#This Row],[EducationLevel]], 1,"Bachelor Type 1", 2,"Bachelor Type 2", 3,"Masters", 4,"PhD")</f>
        <v>Bachelor Type 2</v>
      </c>
      <c r="F87" s="5">
        <v>2</v>
      </c>
      <c r="G87" s="5">
        <v>9</v>
      </c>
      <c r="H87" s="5">
        <v>4</v>
      </c>
      <c r="I87" s="5">
        <v>24.769292767774118</v>
      </c>
      <c r="J87" s="5">
        <v>24</v>
      </c>
      <c r="K87" s="5">
        <v>45</v>
      </c>
      <c r="L87" s="5">
        <v>68</v>
      </c>
      <c r="M87" s="5" t="str">
        <f>_xlfn.SWITCH(recruitment_data3[[#This Row],[RecruitmentStrategy]], 1,"Aggressive", 2,"Moderate", 3,"Conservative")</f>
        <v>Aggressive</v>
      </c>
      <c r="N87" s="5">
        <v>1</v>
      </c>
      <c r="O87" s="5" t="str">
        <f>IF(recruitment_data3[[#This Row],[HiringDecision]]=1,"Hired","Rejected")</f>
        <v>Hired</v>
      </c>
      <c r="P87" s="6">
        <v>1</v>
      </c>
    </row>
    <row r="88" spans="1:18" x14ac:dyDescent="0.25">
      <c r="A88" s="4" t="str">
        <f t="shared" si="1"/>
        <v>C0087</v>
      </c>
      <c r="B88" s="4">
        <v>37</v>
      </c>
      <c r="C88" s="5" t="str">
        <f>IF(recruitment_data3[[#This Row],[Gender]]=1,"Female","Male")</f>
        <v>Female</v>
      </c>
      <c r="D88" s="5">
        <v>1</v>
      </c>
      <c r="E88" s="5" t="str">
        <f>_xlfn.SWITCH(recruitment_data3[[#This Row],[EducationLevel]], 1,"Bachelor Type 1", 2,"Bachelor Type 2", 3,"Masters", 4,"PhD")</f>
        <v>Bachelor Type 2</v>
      </c>
      <c r="F88" s="5">
        <v>2</v>
      </c>
      <c r="G88" s="5">
        <v>8</v>
      </c>
      <c r="H88" s="5">
        <v>3</v>
      </c>
      <c r="I88" s="5">
        <v>40.150011567360096</v>
      </c>
      <c r="J88" s="5">
        <v>96</v>
      </c>
      <c r="K88" s="5">
        <v>96</v>
      </c>
      <c r="L88" s="5">
        <v>83</v>
      </c>
      <c r="M88" s="5" t="str">
        <f>_xlfn.SWITCH(recruitment_data3[[#This Row],[RecruitmentStrategy]], 1,"Aggressive", 2,"Moderate", 3,"Conservative")</f>
        <v>Aggressive</v>
      </c>
      <c r="N88" s="5">
        <v>1</v>
      </c>
      <c r="O88" s="5" t="str">
        <f>IF(recruitment_data3[[#This Row],[HiringDecision]]=1,"Hired","Rejected")</f>
        <v>Hired</v>
      </c>
      <c r="P88" s="6">
        <v>1</v>
      </c>
    </row>
    <row r="89" spans="1:18" x14ac:dyDescent="0.25">
      <c r="A89" s="4" t="str">
        <f t="shared" si="1"/>
        <v>C0088</v>
      </c>
      <c r="B89" s="4">
        <v>27</v>
      </c>
      <c r="C89" s="5" t="str">
        <f>IF(recruitment_data3[[#This Row],[Gender]]=1,"Female","Male")</f>
        <v>Female</v>
      </c>
      <c r="D89" s="5">
        <v>1</v>
      </c>
      <c r="E89" s="5" t="str">
        <f>_xlfn.SWITCH(recruitment_data3[[#This Row],[EducationLevel]], 1,"Bachelor Type 1", 2,"Bachelor Type 2", 3,"Masters", 4,"PhD")</f>
        <v>Bachelor Type 2</v>
      </c>
      <c r="F89" s="5">
        <v>2</v>
      </c>
      <c r="G89" s="5">
        <v>0</v>
      </c>
      <c r="H89" s="5">
        <v>3</v>
      </c>
      <c r="I89" s="5">
        <v>38.507661471575624</v>
      </c>
      <c r="J89" s="5">
        <v>64</v>
      </c>
      <c r="K89" s="5">
        <v>76</v>
      </c>
      <c r="L89" s="5">
        <v>13</v>
      </c>
      <c r="M89" s="5" t="str">
        <f>_xlfn.SWITCH(recruitment_data3[[#This Row],[RecruitmentStrategy]], 1,"Aggressive", 2,"Moderate", 3,"Conservative")</f>
        <v>Aggressive</v>
      </c>
      <c r="N89" s="5">
        <v>1</v>
      </c>
      <c r="O89" s="5" t="str">
        <f>IF(recruitment_data3[[#This Row],[HiringDecision]]=1,"Hired","Rejected")</f>
        <v>Rejected</v>
      </c>
      <c r="P89" s="6">
        <v>0</v>
      </c>
    </row>
    <row r="90" spans="1:18" x14ac:dyDescent="0.25">
      <c r="A90" s="4" t="str">
        <f t="shared" si="1"/>
        <v>C0089</v>
      </c>
      <c r="B90" s="4">
        <v>23</v>
      </c>
      <c r="C90" s="5" t="str">
        <f>IF(recruitment_data3[[#This Row],[Gender]]=1,"Female","Male")</f>
        <v>Male</v>
      </c>
      <c r="D90" s="5">
        <v>0</v>
      </c>
      <c r="E90" s="5" t="str">
        <f>_xlfn.SWITCH(recruitment_data3[[#This Row],[EducationLevel]], 1,"Bachelor Type 1", 2,"Bachelor Type 2", 3,"Masters", 4,"PhD")</f>
        <v>Bachelor Type 1</v>
      </c>
      <c r="F90" s="5">
        <v>1</v>
      </c>
      <c r="G90" s="5">
        <v>15</v>
      </c>
      <c r="H90" s="5">
        <v>4</v>
      </c>
      <c r="I90" s="5">
        <v>23.84089022780676</v>
      </c>
      <c r="J90" s="5">
        <v>5</v>
      </c>
      <c r="K90" s="5">
        <v>51</v>
      </c>
      <c r="L90" s="5">
        <v>95</v>
      </c>
      <c r="M90" s="5" t="str">
        <f>_xlfn.SWITCH(recruitment_data3[[#This Row],[RecruitmentStrategy]], 1,"Aggressive", 2,"Moderate", 3,"Conservative")</f>
        <v>Aggressive</v>
      </c>
      <c r="N90" s="5">
        <v>1</v>
      </c>
      <c r="O90" s="5" t="str">
        <f>IF(recruitment_data3[[#This Row],[HiringDecision]]=1,"Hired","Rejected")</f>
        <v>Hired</v>
      </c>
      <c r="P90" s="6">
        <v>1</v>
      </c>
    </row>
    <row r="91" spans="1:18" x14ac:dyDescent="0.25">
      <c r="A91" s="4" t="str">
        <f t="shared" si="1"/>
        <v>C0090</v>
      </c>
      <c r="B91" s="4">
        <v>21</v>
      </c>
      <c r="C91" s="5" t="str">
        <f>IF(recruitment_data3[[#This Row],[Gender]]=1,"Female","Male")</f>
        <v>Male</v>
      </c>
      <c r="D91" s="5">
        <v>0</v>
      </c>
      <c r="E91" s="5" t="str">
        <f>_xlfn.SWITCH(recruitment_data3[[#This Row],[EducationLevel]], 1,"Bachelor Type 1", 2,"Bachelor Type 2", 3,"Masters", 4,"PhD")</f>
        <v>Bachelor Type 1</v>
      </c>
      <c r="F91" s="5">
        <v>1</v>
      </c>
      <c r="G91" s="5">
        <v>15</v>
      </c>
      <c r="H91" s="5">
        <v>3</v>
      </c>
      <c r="I91" s="5">
        <v>43.283367454938571</v>
      </c>
      <c r="J91" s="5">
        <v>17</v>
      </c>
      <c r="K91" s="5">
        <v>9</v>
      </c>
      <c r="L91" s="5">
        <v>25</v>
      </c>
      <c r="M91" s="5" t="str">
        <f>_xlfn.SWITCH(recruitment_data3[[#This Row],[RecruitmentStrategy]], 1,"Aggressive", 2,"Moderate", 3,"Conservative")</f>
        <v>Moderate</v>
      </c>
      <c r="N91" s="5">
        <v>2</v>
      </c>
      <c r="O91" s="5" t="str">
        <f>IF(recruitment_data3[[#This Row],[HiringDecision]]=1,"Hired","Rejected")</f>
        <v>Rejected</v>
      </c>
      <c r="P91" s="6">
        <v>0</v>
      </c>
    </row>
    <row r="92" spans="1:18" x14ac:dyDescent="0.25">
      <c r="A92" s="4" t="str">
        <f t="shared" si="1"/>
        <v>C0091</v>
      </c>
      <c r="B92" s="4">
        <v>49</v>
      </c>
      <c r="C92" s="5" t="str">
        <f>IF(recruitment_data3[[#This Row],[Gender]]=1,"Female","Male")</f>
        <v>Female</v>
      </c>
      <c r="D92" s="5">
        <v>1</v>
      </c>
      <c r="E92" s="5" t="str">
        <f>_xlfn.SWITCH(recruitment_data3[[#This Row],[EducationLevel]], 1,"Bachelor Type 1", 2,"Bachelor Type 2", 3,"Masters", 4,"PhD")</f>
        <v>Bachelor Type 2</v>
      </c>
      <c r="F92" s="5">
        <v>2</v>
      </c>
      <c r="G92" s="5">
        <v>5</v>
      </c>
      <c r="H92" s="5">
        <v>1</v>
      </c>
      <c r="I92" s="5">
        <v>6.7118569295697919</v>
      </c>
      <c r="J92" s="5">
        <v>9</v>
      </c>
      <c r="K92" s="5">
        <v>87</v>
      </c>
      <c r="L92" s="5">
        <v>69</v>
      </c>
      <c r="M92" s="5" t="str">
        <f>_xlfn.SWITCH(recruitment_data3[[#This Row],[RecruitmentStrategy]], 1,"Aggressive", 2,"Moderate", 3,"Conservative")</f>
        <v>Aggressive</v>
      </c>
      <c r="N92" s="5">
        <v>1</v>
      </c>
      <c r="O92" s="5" t="str">
        <f>IF(recruitment_data3[[#This Row],[HiringDecision]]=1,"Hired","Rejected")</f>
        <v>Hired</v>
      </c>
      <c r="P92" s="6">
        <v>1</v>
      </c>
    </row>
    <row r="93" spans="1:18" x14ac:dyDescent="0.25">
      <c r="A93" s="4" t="str">
        <f t="shared" si="1"/>
        <v>C0092</v>
      </c>
      <c r="B93" s="4">
        <v>25</v>
      </c>
      <c r="C93" s="5" t="str">
        <f>IF(recruitment_data3[[#This Row],[Gender]]=1,"Female","Male")</f>
        <v>Male</v>
      </c>
      <c r="D93" s="5">
        <v>0</v>
      </c>
      <c r="E93" s="5" t="str">
        <f>_xlfn.SWITCH(recruitment_data3[[#This Row],[EducationLevel]], 1,"Bachelor Type 1", 2,"Bachelor Type 2", 3,"Masters", 4,"PhD")</f>
        <v>Bachelor Type 2</v>
      </c>
      <c r="F93" s="5">
        <v>2</v>
      </c>
      <c r="G93" s="5">
        <v>8</v>
      </c>
      <c r="H93" s="5">
        <v>3</v>
      </c>
      <c r="I93" s="5">
        <v>13.767667511445074</v>
      </c>
      <c r="J93" s="5">
        <v>91</v>
      </c>
      <c r="K93" s="5">
        <v>73</v>
      </c>
      <c r="L93" s="5">
        <v>57</v>
      </c>
      <c r="M93" s="5" t="str">
        <f>_xlfn.SWITCH(recruitment_data3[[#This Row],[RecruitmentStrategy]], 1,"Aggressive", 2,"Moderate", 3,"Conservative")</f>
        <v>Moderate</v>
      </c>
      <c r="N93" s="5">
        <v>2</v>
      </c>
      <c r="O93" s="5" t="str">
        <f>IF(recruitment_data3[[#This Row],[HiringDecision]]=1,"Hired","Rejected")</f>
        <v>Rejected</v>
      </c>
      <c r="P93" s="6">
        <v>0</v>
      </c>
    </row>
    <row r="94" spans="1:18" x14ac:dyDescent="0.25">
      <c r="A94" s="4" t="str">
        <f t="shared" si="1"/>
        <v>C0093</v>
      </c>
      <c r="B94" s="4">
        <v>41</v>
      </c>
      <c r="C94" s="5" t="str">
        <f>IF(recruitment_data3[[#This Row],[Gender]]=1,"Female","Male")</f>
        <v>Male</v>
      </c>
      <c r="D94" s="5">
        <v>0</v>
      </c>
      <c r="E94" s="5" t="str">
        <f>_xlfn.SWITCH(recruitment_data3[[#This Row],[EducationLevel]], 1,"Bachelor Type 1", 2,"Bachelor Type 2", 3,"Masters", 4,"PhD")</f>
        <v>PhD</v>
      </c>
      <c r="F94" s="5">
        <v>4</v>
      </c>
      <c r="G94" s="5">
        <v>10</v>
      </c>
      <c r="H94" s="5">
        <v>3</v>
      </c>
      <c r="I94" s="5">
        <v>42.398823175112575</v>
      </c>
      <c r="J94" s="5">
        <v>10</v>
      </c>
      <c r="K94" s="5">
        <v>40</v>
      </c>
      <c r="L94" s="5">
        <v>99</v>
      </c>
      <c r="M94" s="5" t="str">
        <f>_xlfn.SWITCH(recruitment_data3[[#This Row],[RecruitmentStrategy]], 1,"Aggressive", 2,"Moderate", 3,"Conservative")</f>
        <v>Aggressive</v>
      </c>
      <c r="N94" s="5">
        <v>1</v>
      </c>
      <c r="O94" s="5" t="str">
        <f>IF(recruitment_data3[[#This Row],[HiringDecision]]=1,"Hired","Rejected")</f>
        <v>Hired</v>
      </c>
      <c r="P94" s="6">
        <v>1</v>
      </c>
    </row>
    <row r="95" spans="1:18" x14ac:dyDescent="0.25">
      <c r="A95" s="4" t="str">
        <f t="shared" si="1"/>
        <v>C0094</v>
      </c>
      <c r="B95" s="4">
        <v>29</v>
      </c>
      <c r="C95" s="5" t="str">
        <f>IF(recruitment_data3[[#This Row],[Gender]]=1,"Female","Male")</f>
        <v>Male</v>
      </c>
      <c r="D95" s="5">
        <v>0</v>
      </c>
      <c r="E95" s="5" t="str">
        <f>_xlfn.SWITCH(recruitment_data3[[#This Row],[EducationLevel]], 1,"Bachelor Type 1", 2,"Bachelor Type 2", 3,"Masters", 4,"PhD")</f>
        <v>Bachelor Type 2</v>
      </c>
      <c r="F95" s="5">
        <v>2</v>
      </c>
      <c r="G95" s="5">
        <v>3</v>
      </c>
      <c r="H95" s="5">
        <v>4</v>
      </c>
      <c r="I95" s="5">
        <v>19.899701931307654</v>
      </c>
      <c r="J95" s="5">
        <v>96</v>
      </c>
      <c r="K95" s="5">
        <v>94</v>
      </c>
      <c r="L95" s="5">
        <v>39</v>
      </c>
      <c r="M95" s="5" t="str">
        <f>_xlfn.SWITCH(recruitment_data3[[#This Row],[RecruitmentStrategy]], 1,"Aggressive", 2,"Moderate", 3,"Conservative")</f>
        <v>Aggressive</v>
      </c>
      <c r="N95" s="5">
        <v>1</v>
      </c>
      <c r="O95" s="5" t="str">
        <f>IF(recruitment_data3[[#This Row],[HiringDecision]]=1,"Hired","Rejected")</f>
        <v>Hired</v>
      </c>
      <c r="P95" s="6">
        <v>1</v>
      </c>
    </row>
    <row r="96" spans="1:18" x14ac:dyDescent="0.25">
      <c r="A96" s="4" t="str">
        <f t="shared" si="1"/>
        <v>C0095</v>
      </c>
      <c r="B96" s="4">
        <v>23</v>
      </c>
      <c r="C96" s="5" t="str">
        <f>IF(recruitment_data3[[#This Row],[Gender]]=1,"Female","Male")</f>
        <v>Female</v>
      </c>
      <c r="D96" s="5">
        <v>1</v>
      </c>
      <c r="E96" s="5" t="str">
        <f>_xlfn.SWITCH(recruitment_data3[[#This Row],[EducationLevel]], 1,"Bachelor Type 1", 2,"Bachelor Type 2", 3,"Masters", 4,"PhD")</f>
        <v>Bachelor Type 2</v>
      </c>
      <c r="F96" s="5">
        <v>2</v>
      </c>
      <c r="G96" s="5">
        <v>10</v>
      </c>
      <c r="H96" s="5">
        <v>4</v>
      </c>
      <c r="I96" s="5">
        <v>50.059077939692109</v>
      </c>
      <c r="J96" s="5">
        <v>64</v>
      </c>
      <c r="K96" s="5">
        <v>76</v>
      </c>
      <c r="L96" s="5">
        <v>50</v>
      </c>
      <c r="M96" s="5" t="str">
        <f>_xlfn.SWITCH(recruitment_data3[[#This Row],[RecruitmentStrategy]], 1,"Aggressive", 2,"Moderate", 3,"Conservative")</f>
        <v>Moderate</v>
      </c>
      <c r="N96" s="5">
        <v>2</v>
      </c>
      <c r="O96" s="5" t="str">
        <f>IF(recruitment_data3[[#This Row],[HiringDecision]]=1,"Hired","Rejected")</f>
        <v>Rejected</v>
      </c>
      <c r="P96" s="6">
        <v>0</v>
      </c>
    </row>
    <row r="97" spans="1:16" x14ac:dyDescent="0.25">
      <c r="A97" s="4" t="str">
        <f t="shared" si="1"/>
        <v>C0096</v>
      </c>
      <c r="B97" s="4">
        <v>41</v>
      </c>
      <c r="C97" s="5" t="str">
        <f>IF(recruitment_data3[[#This Row],[Gender]]=1,"Female","Male")</f>
        <v>Male</v>
      </c>
      <c r="D97" s="5">
        <v>0</v>
      </c>
      <c r="E97" s="5" t="str">
        <f>_xlfn.SWITCH(recruitment_data3[[#This Row],[EducationLevel]], 1,"Bachelor Type 1", 2,"Bachelor Type 2", 3,"Masters", 4,"PhD")</f>
        <v>Bachelor Type 2</v>
      </c>
      <c r="F97" s="5">
        <v>2</v>
      </c>
      <c r="G97" s="5">
        <v>11</v>
      </c>
      <c r="H97" s="5">
        <v>3</v>
      </c>
      <c r="I97" s="5">
        <v>24.312664076391769</v>
      </c>
      <c r="J97" s="5">
        <v>76</v>
      </c>
      <c r="K97" s="5">
        <v>2</v>
      </c>
      <c r="L97" s="5">
        <v>4</v>
      </c>
      <c r="M97" s="5" t="str">
        <f>_xlfn.SWITCH(recruitment_data3[[#This Row],[RecruitmentStrategy]], 1,"Aggressive", 2,"Moderate", 3,"Conservative")</f>
        <v>Conservative</v>
      </c>
      <c r="N97" s="5">
        <v>3</v>
      </c>
      <c r="O97" s="5" t="str">
        <f>IF(recruitment_data3[[#This Row],[HiringDecision]]=1,"Hired","Rejected")</f>
        <v>Rejected</v>
      </c>
      <c r="P97" s="6">
        <v>0</v>
      </c>
    </row>
    <row r="98" spans="1:16" x14ac:dyDescent="0.25">
      <c r="A98" s="4" t="str">
        <f t="shared" si="1"/>
        <v>C0097</v>
      </c>
      <c r="B98" s="4">
        <v>48</v>
      </c>
      <c r="C98" s="5" t="str">
        <f>IF(recruitment_data3[[#This Row],[Gender]]=1,"Female","Male")</f>
        <v>Female</v>
      </c>
      <c r="D98" s="5">
        <v>1</v>
      </c>
      <c r="E98" s="5" t="str">
        <f>_xlfn.SWITCH(recruitment_data3[[#This Row],[EducationLevel]], 1,"Bachelor Type 1", 2,"Bachelor Type 2", 3,"Masters", 4,"PhD")</f>
        <v>Bachelor Type 1</v>
      </c>
      <c r="F98" s="5">
        <v>1</v>
      </c>
      <c r="G98" s="5">
        <v>1</v>
      </c>
      <c r="H98" s="5">
        <v>2</v>
      </c>
      <c r="I98" s="5">
        <v>40.596781148188207</v>
      </c>
      <c r="J98" s="5">
        <v>100</v>
      </c>
      <c r="K98" s="5">
        <v>58</v>
      </c>
      <c r="L98" s="5">
        <v>76</v>
      </c>
      <c r="M98" s="5" t="str">
        <f>_xlfn.SWITCH(recruitment_data3[[#This Row],[RecruitmentStrategy]], 1,"Aggressive", 2,"Moderate", 3,"Conservative")</f>
        <v>Moderate</v>
      </c>
      <c r="N98" s="5">
        <v>2</v>
      </c>
      <c r="O98" s="5" t="str">
        <f>IF(recruitment_data3[[#This Row],[HiringDecision]]=1,"Hired","Rejected")</f>
        <v>Rejected</v>
      </c>
      <c r="P98" s="6">
        <v>0</v>
      </c>
    </row>
    <row r="99" spans="1:16" x14ac:dyDescent="0.25">
      <c r="A99" s="4" t="str">
        <f t="shared" si="1"/>
        <v>C0098</v>
      </c>
      <c r="B99" s="4">
        <v>50</v>
      </c>
      <c r="C99" s="5" t="str">
        <f>IF(recruitment_data3[[#This Row],[Gender]]=1,"Female","Male")</f>
        <v>Male</v>
      </c>
      <c r="D99" s="5">
        <v>0</v>
      </c>
      <c r="E99" s="5" t="str">
        <f>_xlfn.SWITCH(recruitment_data3[[#This Row],[EducationLevel]], 1,"Bachelor Type 1", 2,"Bachelor Type 2", 3,"Masters", 4,"PhD")</f>
        <v>PhD</v>
      </c>
      <c r="F99" s="5">
        <v>4</v>
      </c>
      <c r="G99" s="5">
        <v>12</v>
      </c>
      <c r="H99" s="5">
        <v>4</v>
      </c>
      <c r="I99" s="5">
        <v>21.115352069118597</v>
      </c>
      <c r="J99" s="5">
        <v>83</v>
      </c>
      <c r="K99" s="5">
        <v>51</v>
      </c>
      <c r="L99" s="5">
        <v>31</v>
      </c>
      <c r="M99" s="5" t="str">
        <f>_xlfn.SWITCH(recruitment_data3[[#This Row],[RecruitmentStrategy]], 1,"Aggressive", 2,"Moderate", 3,"Conservative")</f>
        <v>Moderate</v>
      </c>
      <c r="N99" s="5">
        <v>2</v>
      </c>
      <c r="O99" s="5" t="str">
        <f>IF(recruitment_data3[[#This Row],[HiringDecision]]=1,"Hired","Rejected")</f>
        <v>Hired</v>
      </c>
      <c r="P99" s="6">
        <v>1</v>
      </c>
    </row>
    <row r="100" spans="1:16" x14ac:dyDescent="0.25">
      <c r="A100" s="4" t="str">
        <f t="shared" si="1"/>
        <v>C0099</v>
      </c>
      <c r="B100" s="4">
        <v>37</v>
      </c>
      <c r="C100" s="5" t="str">
        <f>IF(recruitment_data3[[#This Row],[Gender]]=1,"Female","Male")</f>
        <v>Female</v>
      </c>
      <c r="D100" s="5">
        <v>1</v>
      </c>
      <c r="E100" s="5" t="str">
        <f>_xlfn.SWITCH(recruitment_data3[[#This Row],[EducationLevel]], 1,"Bachelor Type 1", 2,"Bachelor Type 2", 3,"Masters", 4,"PhD")</f>
        <v>Bachelor Type 2</v>
      </c>
      <c r="F100" s="5">
        <v>2</v>
      </c>
      <c r="G100" s="5">
        <v>3</v>
      </c>
      <c r="H100" s="5">
        <v>5</v>
      </c>
      <c r="I100" s="5">
        <v>22.247675953121519</v>
      </c>
      <c r="J100" s="5">
        <v>64</v>
      </c>
      <c r="K100" s="5">
        <v>33</v>
      </c>
      <c r="L100" s="5">
        <v>79</v>
      </c>
      <c r="M100" s="5" t="str">
        <f>_xlfn.SWITCH(recruitment_data3[[#This Row],[RecruitmentStrategy]], 1,"Aggressive", 2,"Moderate", 3,"Conservative")</f>
        <v>Aggressive</v>
      </c>
      <c r="N100" s="5">
        <v>1</v>
      </c>
      <c r="O100" s="5" t="str">
        <f>IF(recruitment_data3[[#This Row],[HiringDecision]]=1,"Hired","Rejected")</f>
        <v>Rejected</v>
      </c>
      <c r="P100" s="6">
        <v>0</v>
      </c>
    </row>
    <row r="101" spans="1:16" x14ac:dyDescent="0.25">
      <c r="A101" s="4" t="str">
        <f t="shared" si="1"/>
        <v>C0100</v>
      </c>
      <c r="B101" s="4">
        <v>45</v>
      </c>
      <c r="C101" s="5" t="str">
        <f>IF(recruitment_data3[[#This Row],[Gender]]=1,"Female","Male")</f>
        <v>Female</v>
      </c>
      <c r="D101" s="5">
        <v>1</v>
      </c>
      <c r="E101" s="5" t="str">
        <f>_xlfn.SWITCH(recruitment_data3[[#This Row],[EducationLevel]], 1,"Bachelor Type 1", 2,"Bachelor Type 2", 3,"Masters", 4,"PhD")</f>
        <v>Masters</v>
      </c>
      <c r="F101" s="5">
        <v>3</v>
      </c>
      <c r="G101" s="5">
        <v>0</v>
      </c>
      <c r="H101" s="5">
        <v>5</v>
      </c>
      <c r="I101" s="5">
        <v>20.144157364209175</v>
      </c>
      <c r="J101" s="5">
        <v>51</v>
      </c>
      <c r="K101" s="5">
        <v>48</v>
      </c>
      <c r="L101" s="5">
        <v>0</v>
      </c>
      <c r="M101" s="5" t="str">
        <f>_xlfn.SWITCH(recruitment_data3[[#This Row],[RecruitmentStrategy]], 1,"Aggressive", 2,"Moderate", 3,"Conservative")</f>
        <v>Conservative</v>
      </c>
      <c r="N101" s="5">
        <v>3</v>
      </c>
      <c r="O101" s="5" t="str">
        <f>IF(recruitment_data3[[#This Row],[HiringDecision]]=1,"Hired","Rejected")</f>
        <v>Rejected</v>
      </c>
      <c r="P101" s="6">
        <v>0</v>
      </c>
    </row>
    <row r="102" spans="1:16" x14ac:dyDescent="0.25">
      <c r="A102" s="4" t="str">
        <f t="shared" si="1"/>
        <v>C0101</v>
      </c>
      <c r="B102" s="4">
        <v>31</v>
      </c>
      <c r="C102" s="5" t="str">
        <f>IF(recruitment_data3[[#This Row],[Gender]]=1,"Female","Male")</f>
        <v>Male</v>
      </c>
      <c r="D102" s="5">
        <v>0</v>
      </c>
      <c r="E102" s="5" t="str">
        <f>_xlfn.SWITCH(recruitment_data3[[#This Row],[EducationLevel]], 1,"Bachelor Type 1", 2,"Bachelor Type 2", 3,"Masters", 4,"PhD")</f>
        <v>Bachelor Type 1</v>
      </c>
      <c r="F102" s="5">
        <v>1</v>
      </c>
      <c r="G102" s="5">
        <v>2</v>
      </c>
      <c r="H102" s="5">
        <v>1</v>
      </c>
      <c r="I102" s="5">
        <v>36.953781025540586</v>
      </c>
      <c r="J102" s="5">
        <v>66</v>
      </c>
      <c r="K102" s="5">
        <v>27</v>
      </c>
      <c r="L102" s="5">
        <v>76</v>
      </c>
      <c r="M102" s="5" t="str">
        <f>_xlfn.SWITCH(recruitment_data3[[#This Row],[RecruitmentStrategy]], 1,"Aggressive", 2,"Moderate", 3,"Conservative")</f>
        <v>Aggressive</v>
      </c>
      <c r="N102" s="5">
        <v>1</v>
      </c>
      <c r="O102" s="5" t="str">
        <f>IF(recruitment_data3[[#This Row],[HiringDecision]]=1,"Hired","Rejected")</f>
        <v>Rejected</v>
      </c>
      <c r="P102" s="6">
        <v>0</v>
      </c>
    </row>
    <row r="103" spans="1:16" x14ac:dyDescent="0.25">
      <c r="A103" s="4" t="str">
        <f t="shared" si="1"/>
        <v>C0102</v>
      </c>
      <c r="B103" s="4">
        <v>21</v>
      </c>
      <c r="C103" s="5" t="str">
        <f>IF(recruitment_data3[[#This Row],[Gender]]=1,"Female","Male")</f>
        <v>Female</v>
      </c>
      <c r="D103" s="5">
        <v>1</v>
      </c>
      <c r="E103" s="5" t="str">
        <f>_xlfn.SWITCH(recruitment_data3[[#This Row],[EducationLevel]], 1,"Bachelor Type 1", 2,"Bachelor Type 2", 3,"Masters", 4,"PhD")</f>
        <v>Bachelor Type 2</v>
      </c>
      <c r="F103" s="5">
        <v>2</v>
      </c>
      <c r="G103" s="5">
        <v>9</v>
      </c>
      <c r="H103" s="5">
        <v>3</v>
      </c>
      <c r="I103" s="5">
        <v>28.375894202999724</v>
      </c>
      <c r="J103" s="5">
        <v>81</v>
      </c>
      <c r="K103" s="5">
        <v>82</v>
      </c>
      <c r="L103" s="5">
        <v>53</v>
      </c>
      <c r="M103" s="5" t="str">
        <f>_xlfn.SWITCH(recruitment_data3[[#This Row],[RecruitmentStrategy]], 1,"Aggressive", 2,"Moderate", 3,"Conservative")</f>
        <v>Aggressive</v>
      </c>
      <c r="N103" s="5">
        <v>1</v>
      </c>
      <c r="O103" s="5" t="str">
        <f>IF(recruitment_data3[[#This Row],[HiringDecision]]=1,"Hired","Rejected")</f>
        <v>Hired</v>
      </c>
      <c r="P103" s="6">
        <v>1</v>
      </c>
    </row>
    <row r="104" spans="1:16" x14ac:dyDescent="0.25">
      <c r="A104" s="4" t="str">
        <f t="shared" si="1"/>
        <v>C0103</v>
      </c>
      <c r="B104" s="4">
        <v>29</v>
      </c>
      <c r="C104" s="5" t="str">
        <f>IF(recruitment_data3[[#This Row],[Gender]]=1,"Female","Male")</f>
        <v>Male</v>
      </c>
      <c r="D104" s="5">
        <v>0</v>
      </c>
      <c r="E104" s="5" t="str">
        <f>_xlfn.SWITCH(recruitment_data3[[#This Row],[EducationLevel]], 1,"Bachelor Type 1", 2,"Bachelor Type 2", 3,"Masters", 4,"PhD")</f>
        <v>Bachelor Type 2</v>
      </c>
      <c r="F104" s="5">
        <v>2</v>
      </c>
      <c r="G104" s="5">
        <v>8</v>
      </c>
      <c r="H104" s="5">
        <v>2</v>
      </c>
      <c r="I104" s="5">
        <v>48.188905568418456</v>
      </c>
      <c r="J104" s="5">
        <v>77</v>
      </c>
      <c r="K104" s="5">
        <v>86</v>
      </c>
      <c r="L104" s="5">
        <v>10</v>
      </c>
      <c r="M104" s="5" t="str">
        <f>_xlfn.SWITCH(recruitment_data3[[#This Row],[RecruitmentStrategy]], 1,"Aggressive", 2,"Moderate", 3,"Conservative")</f>
        <v>Moderate</v>
      </c>
      <c r="N104" s="5">
        <v>2</v>
      </c>
      <c r="O104" s="5" t="str">
        <f>IF(recruitment_data3[[#This Row],[HiringDecision]]=1,"Hired","Rejected")</f>
        <v>Rejected</v>
      </c>
      <c r="P104" s="6">
        <v>0</v>
      </c>
    </row>
    <row r="105" spans="1:16" x14ac:dyDescent="0.25">
      <c r="A105" s="4" t="str">
        <f t="shared" si="1"/>
        <v>C0104</v>
      </c>
      <c r="B105" s="4">
        <v>49</v>
      </c>
      <c r="C105" s="5" t="str">
        <f>IF(recruitment_data3[[#This Row],[Gender]]=1,"Female","Male")</f>
        <v>Female</v>
      </c>
      <c r="D105" s="5">
        <v>1</v>
      </c>
      <c r="E105" s="5" t="str">
        <f>_xlfn.SWITCH(recruitment_data3[[#This Row],[EducationLevel]], 1,"Bachelor Type 1", 2,"Bachelor Type 2", 3,"Masters", 4,"PhD")</f>
        <v>Masters</v>
      </c>
      <c r="F105" s="5">
        <v>3</v>
      </c>
      <c r="G105" s="5">
        <v>9</v>
      </c>
      <c r="H105" s="5">
        <v>1</v>
      </c>
      <c r="I105" s="5">
        <v>13.544515826705238</v>
      </c>
      <c r="J105" s="5">
        <v>30</v>
      </c>
      <c r="K105" s="5">
        <v>95</v>
      </c>
      <c r="L105" s="5">
        <v>52</v>
      </c>
      <c r="M105" s="5" t="str">
        <f>_xlfn.SWITCH(recruitment_data3[[#This Row],[RecruitmentStrategy]], 1,"Aggressive", 2,"Moderate", 3,"Conservative")</f>
        <v>Moderate</v>
      </c>
      <c r="N105" s="5">
        <v>2</v>
      </c>
      <c r="O105" s="5" t="str">
        <f>IF(recruitment_data3[[#This Row],[HiringDecision]]=1,"Hired","Rejected")</f>
        <v>Rejected</v>
      </c>
      <c r="P105" s="6">
        <v>0</v>
      </c>
    </row>
    <row r="106" spans="1:16" x14ac:dyDescent="0.25">
      <c r="A106" s="4" t="str">
        <f t="shared" si="1"/>
        <v>C0105</v>
      </c>
      <c r="B106" s="4">
        <v>23</v>
      </c>
      <c r="C106" s="5" t="str">
        <f>IF(recruitment_data3[[#This Row],[Gender]]=1,"Female","Male")</f>
        <v>Male</v>
      </c>
      <c r="D106" s="5">
        <v>0</v>
      </c>
      <c r="E106" s="5" t="str">
        <f>_xlfn.SWITCH(recruitment_data3[[#This Row],[EducationLevel]], 1,"Bachelor Type 1", 2,"Bachelor Type 2", 3,"Masters", 4,"PhD")</f>
        <v>Bachelor Type 1</v>
      </c>
      <c r="F106" s="5">
        <v>1</v>
      </c>
      <c r="G106" s="5">
        <v>4</v>
      </c>
      <c r="H106" s="5">
        <v>3</v>
      </c>
      <c r="I106" s="5">
        <v>6.028136604172218</v>
      </c>
      <c r="J106" s="5">
        <v>90</v>
      </c>
      <c r="K106" s="5">
        <v>12</v>
      </c>
      <c r="L106" s="5">
        <v>7</v>
      </c>
      <c r="M106" s="5" t="str">
        <f>_xlfn.SWITCH(recruitment_data3[[#This Row],[RecruitmentStrategy]], 1,"Aggressive", 2,"Moderate", 3,"Conservative")</f>
        <v>Conservative</v>
      </c>
      <c r="N106" s="5">
        <v>3</v>
      </c>
      <c r="O106" s="5" t="str">
        <f>IF(recruitment_data3[[#This Row],[HiringDecision]]=1,"Hired","Rejected")</f>
        <v>Rejected</v>
      </c>
      <c r="P106" s="6">
        <v>0</v>
      </c>
    </row>
    <row r="107" spans="1:16" x14ac:dyDescent="0.25">
      <c r="A107" s="4" t="str">
        <f t="shared" si="1"/>
        <v>C0106</v>
      </c>
      <c r="B107" s="4">
        <v>33</v>
      </c>
      <c r="C107" s="5" t="str">
        <f>IF(recruitment_data3[[#This Row],[Gender]]=1,"Female","Male")</f>
        <v>Male</v>
      </c>
      <c r="D107" s="5">
        <v>0</v>
      </c>
      <c r="E107" s="5" t="str">
        <f>_xlfn.SWITCH(recruitment_data3[[#This Row],[EducationLevel]], 1,"Bachelor Type 1", 2,"Bachelor Type 2", 3,"Masters", 4,"PhD")</f>
        <v>Bachelor Type 2</v>
      </c>
      <c r="F107" s="5">
        <v>2</v>
      </c>
      <c r="G107" s="5">
        <v>14</v>
      </c>
      <c r="H107" s="5">
        <v>4</v>
      </c>
      <c r="I107" s="5">
        <v>20.663074254960762</v>
      </c>
      <c r="J107" s="5">
        <v>16</v>
      </c>
      <c r="K107" s="5">
        <v>96</v>
      </c>
      <c r="L107" s="5">
        <v>24</v>
      </c>
      <c r="M107" s="5" t="str">
        <f>_xlfn.SWITCH(recruitment_data3[[#This Row],[RecruitmentStrategy]], 1,"Aggressive", 2,"Moderate", 3,"Conservative")</f>
        <v>Aggressive</v>
      </c>
      <c r="N107" s="5">
        <v>1</v>
      </c>
      <c r="O107" s="5" t="str">
        <f>IF(recruitment_data3[[#This Row],[HiringDecision]]=1,"Hired","Rejected")</f>
        <v>Hired</v>
      </c>
      <c r="P107" s="6">
        <v>1</v>
      </c>
    </row>
    <row r="108" spans="1:16" x14ac:dyDescent="0.25">
      <c r="A108" s="4" t="str">
        <f t="shared" si="1"/>
        <v>C0107</v>
      </c>
      <c r="B108" s="4">
        <v>50</v>
      </c>
      <c r="C108" s="5" t="str">
        <f>IF(recruitment_data3[[#This Row],[Gender]]=1,"Female","Male")</f>
        <v>Female</v>
      </c>
      <c r="D108" s="5">
        <v>1</v>
      </c>
      <c r="E108" s="5" t="str">
        <f>_xlfn.SWITCH(recruitment_data3[[#This Row],[EducationLevel]], 1,"Bachelor Type 1", 2,"Bachelor Type 2", 3,"Masters", 4,"PhD")</f>
        <v>PhD</v>
      </c>
      <c r="F108" s="5">
        <v>4</v>
      </c>
      <c r="G108" s="5">
        <v>10</v>
      </c>
      <c r="H108" s="5">
        <v>5</v>
      </c>
      <c r="I108" s="5">
        <v>31.835635382338801</v>
      </c>
      <c r="J108" s="5">
        <v>54</v>
      </c>
      <c r="K108" s="5">
        <v>97</v>
      </c>
      <c r="L108" s="5">
        <v>39</v>
      </c>
      <c r="M108" s="5" t="str">
        <f>_xlfn.SWITCH(recruitment_data3[[#This Row],[RecruitmentStrategy]], 1,"Aggressive", 2,"Moderate", 3,"Conservative")</f>
        <v>Conservative</v>
      </c>
      <c r="N108" s="5">
        <v>3</v>
      </c>
      <c r="O108" s="5" t="str">
        <f>IF(recruitment_data3[[#This Row],[HiringDecision]]=1,"Hired","Rejected")</f>
        <v>Rejected</v>
      </c>
      <c r="P108" s="6">
        <v>0</v>
      </c>
    </row>
    <row r="109" spans="1:16" x14ac:dyDescent="0.25">
      <c r="A109" s="4" t="str">
        <f t="shared" si="1"/>
        <v>C0108</v>
      </c>
      <c r="B109" s="4">
        <v>35</v>
      </c>
      <c r="C109" s="5" t="str">
        <f>IF(recruitment_data3[[#This Row],[Gender]]=1,"Female","Male")</f>
        <v>Male</v>
      </c>
      <c r="D109" s="5">
        <v>0</v>
      </c>
      <c r="E109" s="5" t="str">
        <f>_xlfn.SWITCH(recruitment_data3[[#This Row],[EducationLevel]], 1,"Bachelor Type 1", 2,"Bachelor Type 2", 3,"Masters", 4,"PhD")</f>
        <v>Bachelor Type 2</v>
      </c>
      <c r="F109" s="5">
        <v>2</v>
      </c>
      <c r="G109" s="5">
        <v>5</v>
      </c>
      <c r="H109" s="5">
        <v>2</v>
      </c>
      <c r="I109" s="5">
        <v>44.03994684577475</v>
      </c>
      <c r="J109" s="5">
        <v>92</v>
      </c>
      <c r="K109" s="5">
        <v>96</v>
      </c>
      <c r="L109" s="5">
        <v>31</v>
      </c>
      <c r="M109" s="5" t="str">
        <f>_xlfn.SWITCH(recruitment_data3[[#This Row],[RecruitmentStrategy]], 1,"Aggressive", 2,"Moderate", 3,"Conservative")</f>
        <v>Moderate</v>
      </c>
      <c r="N109" s="5">
        <v>2</v>
      </c>
      <c r="O109" s="5" t="str">
        <f>IF(recruitment_data3[[#This Row],[HiringDecision]]=1,"Hired","Rejected")</f>
        <v>Rejected</v>
      </c>
      <c r="P109" s="6">
        <v>0</v>
      </c>
    </row>
    <row r="110" spans="1:16" x14ac:dyDescent="0.25">
      <c r="A110" s="4" t="str">
        <f t="shared" si="1"/>
        <v>C0109</v>
      </c>
      <c r="B110" s="4">
        <v>34</v>
      </c>
      <c r="C110" s="5" t="str">
        <f>IF(recruitment_data3[[#This Row],[Gender]]=1,"Female","Male")</f>
        <v>Male</v>
      </c>
      <c r="D110" s="5">
        <v>0</v>
      </c>
      <c r="E110" s="5" t="str">
        <f>_xlfn.SWITCH(recruitment_data3[[#This Row],[EducationLevel]], 1,"Bachelor Type 1", 2,"Bachelor Type 2", 3,"Masters", 4,"PhD")</f>
        <v>Bachelor Type 2</v>
      </c>
      <c r="F110" s="5">
        <v>2</v>
      </c>
      <c r="G110" s="5">
        <v>2</v>
      </c>
      <c r="H110" s="5">
        <v>5</v>
      </c>
      <c r="I110" s="5">
        <v>18.309844334016383</v>
      </c>
      <c r="J110" s="5">
        <v>35</v>
      </c>
      <c r="K110" s="5">
        <v>68</v>
      </c>
      <c r="L110" s="5">
        <v>87</v>
      </c>
      <c r="M110" s="5" t="str">
        <f>_xlfn.SWITCH(recruitment_data3[[#This Row],[RecruitmentStrategy]], 1,"Aggressive", 2,"Moderate", 3,"Conservative")</f>
        <v>Moderate</v>
      </c>
      <c r="N110" s="5">
        <v>2</v>
      </c>
      <c r="O110" s="5" t="str">
        <f>IF(recruitment_data3[[#This Row],[HiringDecision]]=1,"Hired","Rejected")</f>
        <v>Rejected</v>
      </c>
      <c r="P110" s="6">
        <v>0</v>
      </c>
    </row>
    <row r="111" spans="1:16" x14ac:dyDescent="0.25">
      <c r="A111" s="4" t="str">
        <f t="shared" si="1"/>
        <v>C0110</v>
      </c>
      <c r="B111" s="4">
        <v>27</v>
      </c>
      <c r="C111" s="5" t="str">
        <f>IF(recruitment_data3[[#This Row],[Gender]]=1,"Female","Male")</f>
        <v>Female</v>
      </c>
      <c r="D111" s="5">
        <v>1</v>
      </c>
      <c r="E111" s="5" t="str">
        <f>_xlfn.SWITCH(recruitment_data3[[#This Row],[EducationLevel]], 1,"Bachelor Type 1", 2,"Bachelor Type 2", 3,"Masters", 4,"PhD")</f>
        <v>Bachelor Type 1</v>
      </c>
      <c r="F111" s="5">
        <v>1</v>
      </c>
      <c r="G111" s="5">
        <v>15</v>
      </c>
      <c r="H111" s="5">
        <v>4</v>
      </c>
      <c r="I111" s="5">
        <v>33.68933755622308</v>
      </c>
      <c r="J111" s="5">
        <v>100</v>
      </c>
      <c r="K111" s="5">
        <v>66</v>
      </c>
      <c r="L111" s="5">
        <v>27</v>
      </c>
      <c r="M111" s="5" t="str">
        <f>_xlfn.SWITCH(recruitment_data3[[#This Row],[RecruitmentStrategy]], 1,"Aggressive", 2,"Moderate", 3,"Conservative")</f>
        <v>Aggressive</v>
      </c>
      <c r="N111" s="5">
        <v>1</v>
      </c>
      <c r="O111" s="5" t="str">
        <f>IF(recruitment_data3[[#This Row],[HiringDecision]]=1,"Hired","Rejected")</f>
        <v>Hired</v>
      </c>
      <c r="P111" s="6">
        <v>1</v>
      </c>
    </row>
    <row r="112" spans="1:16" x14ac:dyDescent="0.25">
      <c r="A112" s="4" t="str">
        <f t="shared" si="1"/>
        <v>C0111</v>
      </c>
      <c r="B112" s="4">
        <v>33</v>
      </c>
      <c r="C112" s="5" t="str">
        <f>IF(recruitment_data3[[#This Row],[Gender]]=1,"Female","Male")</f>
        <v>Male</v>
      </c>
      <c r="D112" s="5">
        <v>0</v>
      </c>
      <c r="E112" s="5" t="str">
        <f>_xlfn.SWITCH(recruitment_data3[[#This Row],[EducationLevel]], 1,"Bachelor Type 1", 2,"Bachelor Type 2", 3,"Masters", 4,"PhD")</f>
        <v>PhD</v>
      </c>
      <c r="F112" s="5">
        <v>4</v>
      </c>
      <c r="G112" s="5">
        <v>4</v>
      </c>
      <c r="H112" s="5">
        <v>3</v>
      </c>
      <c r="I112" s="5">
        <v>18.509934051160954</v>
      </c>
      <c r="J112" s="5">
        <v>25</v>
      </c>
      <c r="K112" s="5">
        <v>60</v>
      </c>
      <c r="L112" s="5">
        <v>77</v>
      </c>
      <c r="M112" s="5" t="str">
        <f>_xlfn.SWITCH(recruitment_data3[[#This Row],[RecruitmentStrategy]], 1,"Aggressive", 2,"Moderate", 3,"Conservative")</f>
        <v>Aggressive</v>
      </c>
      <c r="N112" s="5">
        <v>1</v>
      </c>
      <c r="O112" s="5" t="str">
        <f>IF(recruitment_data3[[#This Row],[HiringDecision]]=1,"Hired","Rejected")</f>
        <v>Hired</v>
      </c>
      <c r="P112" s="6">
        <v>1</v>
      </c>
    </row>
    <row r="113" spans="1:16" x14ac:dyDescent="0.25">
      <c r="A113" s="4" t="str">
        <f t="shared" si="1"/>
        <v>C0112</v>
      </c>
      <c r="B113" s="4">
        <v>42</v>
      </c>
      <c r="C113" s="5" t="str">
        <f>IF(recruitment_data3[[#This Row],[Gender]]=1,"Female","Male")</f>
        <v>Male</v>
      </c>
      <c r="D113" s="5">
        <v>0</v>
      </c>
      <c r="E113" s="5" t="str">
        <f>_xlfn.SWITCH(recruitment_data3[[#This Row],[EducationLevel]], 1,"Bachelor Type 1", 2,"Bachelor Type 2", 3,"Masters", 4,"PhD")</f>
        <v>Bachelor Type 1</v>
      </c>
      <c r="F113" s="5">
        <v>1</v>
      </c>
      <c r="G113" s="5">
        <v>10</v>
      </c>
      <c r="H113" s="5">
        <v>4</v>
      </c>
      <c r="I113" s="5">
        <v>31.860979149722905</v>
      </c>
      <c r="J113" s="5">
        <v>52</v>
      </c>
      <c r="K113" s="5">
        <v>59</v>
      </c>
      <c r="L113" s="5">
        <v>2</v>
      </c>
      <c r="M113" s="5" t="str">
        <f>_xlfn.SWITCH(recruitment_data3[[#This Row],[RecruitmentStrategy]], 1,"Aggressive", 2,"Moderate", 3,"Conservative")</f>
        <v>Conservative</v>
      </c>
      <c r="N113" s="5">
        <v>3</v>
      </c>
      <c r="O113" s="5" t="str">
        <f>IF(recruitment_data3[[#This Row],[HiringDecision]]=1,"Hired","Rejected")</f>
        <v>Rejected</v>
      </c>
      <c r="P113" s="6">
        <v>0</v>
      </c>
    </row>
    <row r="114" spans="1:16" x14ac:dyDescent="0.25">
      <c r="A114" s="4" t="str">
        <f t="shared" si="1"/>
        <v>C0113</v>
      </c>
      <c r="B114" s="4">
        <v>47</v>
      </c>
      <c r="C114" s="5" t="str">
        <f>IF(recruitment_data3[[#This Row],[Gender]]=1,"Female","Male")</f>
        <v>Female</v>
      </c>
      <c r="D114" s="5">
        <v>1</v>
      </c>
      <c r="E114" s="5" t="str">
        <f>_xlfn.SWITCH(recruitment_data3[[#This Row],[EducationLevel]], 1,"Bachelor Type 1", 2,"Bachelor Type 2", 3,"Masters", 4,"PhD")</f>
        <v>Masters</v>
      </c>
      <c r="F114" s="5">
        <v>3</v>
      </c>
      <c r="G114" s="5">
        <v>7</v>
      </c>
      <c r="H114" s="5">
        <v>4</v>
      </c>
      <c r="I114" s="5">
        <v>45.240397351532543</v>
      </c>
      <c r="J114" s="5">
        <v>16</v>
      </c>
      <c r="K114" s="5">
        <v>70</v>
      </c>
      <c r="L114" s="5">
        <v>99</v>
      </c>
      <c r="M114" s="5" t="str">
        <f>_xlfn.SWITCH(recruitment_data3[[#This Row],[RecruitmentStrategy]], 1,"Aggressive", 2,"Moderate", 3,"Conservative")</f>
        <v>Moderate</v>
      </c>
      <c r="N114" s="5">
        <v>2</v>
      </c>
      <c r="O114" s="5" t="str">
        <f>IF(recruitment_data3[[#This Row],[HiringDecision]]=1,"Hired","Rejected")</f>
        <v>Hired</v>
      </c>
      <c r="P114" s="6">
        <v>1</v>
      </c>
    </row>
    <row r="115" spans="1:16" x14ac:dyDescent="0.25">
      <c r="A115" s="4" t="str">
        <f t="shared" si="1"/>
        <v>C0114</v>
      </c>
      <c r="B115" s="4">
        <v>44</v>
      </c>
      <c r="C115" s="5" t="str">
        <f>IF(recruitment_data3[[#This Row],[Gender]]=1,"Female","Male")</f>
        <v>Female</v>
      </c>
      <c r="D115" s="5">
        <v>1</v>
      </c>
      <c r="E115" s="5" t="str">
        <f>_xlfn.SWITCH(recruitment_data3[[#This Row],[EducationLevel]], 1,"Bachelor Type 1", 2,"Bachelor Type 2", 3,"Masters", 4,"PhD")</f>
        <v>Masters</v>
      </c>
      <c r="F115" s="5">
        <v>3</v>
      </c>
      <c r="G115" s="5">
        <v>5</v>
      </c>
      <c r="H115" s="5">
        <v>5</v>
      </c>
      <c r="I115" s="5">
        <v>12.567882112970452</v>
      </c>
      <c r="J115" s="5">
        <v>85</v>
      </c>
      <c r="K115" s="5">
        <v>23</v>
      </c>
      <c r="L115" s="5">
        <v>90</v>
      </c>
      <c r="M115" s="5" t="str">
        <f>_xlfn.SWITCH(recruitment_data3[[#This Row],[RecruitmentStrategy]], 1,"Aggressive", 2,"Moderate", 3,"Conservative")</f>
        <v>Moderate</v>
      </c>
      <c r="N115" s="5">
        <v>2</v>
      </c>
      <c r="O115" s="5" t="str">
        <f>IF(recruitment_data3[[#This Row],[HiringDecision]]=1,"Hired","Rejected")</f>
        <v>Rejected</v>
      </c>
      <c r="P115" s="6">
        <v>0</v>
      </c>
    </row>
    <row r="116" spans="1:16" x14ac:dyDescent="0.25">
      <c r="A116" s="4" t="str">
        <f t="shared" si="1"/>
        <v>C0115</v>
      </c>
      <c r="B116" s="4">
        <v>49</v>
      </c>
      <c r="C116" s="5" t="str">
        <f>IF(recruitment_data3[[#This Row],[Gender]]=1,"Female","Male")</f>
        <v>Male</v>
      </c>
      <c r="D116" s="5">
        <v>0</v>
      </c>
      <c r="E116" s="5" t="str">
        <f>_xlfn.SWITCH(recruitment_data3[[#This Row],[EducationLevel]], 1,"Bachelor Type 1", 2,"Bachelor Type 2", 3,"Masters", 4,"PhD")</f>
        <v>Bachelor Type 2</v>
      </c>
      <c r="F116" s="5">
        <v>2</v>
      </c>
      <c r="G116" s="5">
        <v>3</v>
      </c>
      <c r="H116" s="5">
        <v>2</v>
      </c>
      <c r="I116" s="5">
        <v>21.212082105351957</v>
      </c>
      <c r="J116" s="5">
        <v>24</v>
      </c>
      <c r="K116" s="5">
        <v>62</v>
      </c>
      <c r="L116" s="5">
        <v>83</v>
      </c>
      <c r="M116" s="5" t="str">
        <f>_xlfn.SWITCH(recruitment_data3[[#This Row],[RecruitmentStrategy]], 1,"Aggressive", 2,"Moderate", 3,"Conservative")</f>
        <v>Conservative</v>
      </c>
      <c r="N116" s="5">
        <v>3</v>
      </c>
      <c r="O116" s="5" t="str">
        <f>IF(recruitment_data3[[#This Row],[HiringDecision]]=1,"Hired","Rejected")</f>
        <v>Rejected</v>
      </c>
      <c r="P116" s="6">
        <v>0</v>
      </c>
    </row>
    <row r="117" spans="1:16" x14ac:dyDescent="0.25">
      <c r="A117" s="4" t="str">
        <f t="shared" si="1"/>
        <v>C0116</v>
      </c>
      <c r="B117" s="4">
        <v>27</v>
      </c>
      <c r="C117" s="5" t="str">
        <f>IF(recruitment_data3[[#This Row],[Gender]]=1,"Female","Male")</f>
        <v>Male</v>
      </c>
      <c r="D117" s="5">
        <v>0</v>
      </c>
      <c r="E117" s="5" t="str">
        <f>_xlfn.SWITCH(recruitment_data3[[#This Row],[EducationLevel]], 1,"Bachelor Type 1", 2,"Bachelor Type 2", 3,"Masters", 4,"PhD")</f>
        <v>Bachelor Type 2</v>
      </c>
      <c r="F117" s="5">
        <v>2</v>
      </c>
      <c r="G117" s="5">
        <v>1</v>
      </c>
      <c r="H117" s="5">
        <v>4</v>
      </c>
      <c r="I117" s="5">
        <v>50.66325982148733</v>
      </c>
      <c r="J117" s="5">
        <v>1</v>
      </c>
      <c r="K117" s="5">
        <v>85</v>
      </c>
      <c r="L117" s="5">
        <v>78</v>
      </c>
      <c r="M117" s="5" t="str">
        <f>_xlfn.SWITCH(recruitment_data3[[#This Row],[RecruitmentStrategy]], 1,"Aggressive", 2,"Moderate", 3,"Conservative")</f>
        <v>Aggressive</v>
      </c>
      <c r="N117" s="5">
        <v>1</v>
      </c>
      <c r="O117" s="5" t="str">
        <f>IF(recruitment_data3[[#This Row],[HiringDecision]]=1,"Hired","Rejected")</f>
        <v>Hired</v>
      </c>
      <c r="P117" s="6">
        <v>1</v>
      </c>
    </row>
    <row r="118" spans="1:16" x14ac:dyDescent="0.25">
      <c r="A118" s="4" t="str">
        <f t="shared" si="1"/>
        <v>C0117</v>
      </c>
      <c r="B118" s="4">
        <v>40</v>
      </c>
      <c r="C118" s="5" t="str">
        <f>IF(recruitment_data3[[#This Row],[Gender]]=1,"Female","Male")</f>
        <v>Female</v>
      </c>
      <c r="D118" s="5">
        <v>1</v>
      </c>
      <c r="E118" s="5" t="str">
        <f>_xlfn.SWITCH(recruitment_data3[[#This Row],[EducationLevel]], 1,"Bachelor Type 1", 2,"Bachelor Type 2", 3,"Masters", 4,"PhD")</f>
        <v>Bachelor Type 1</v>
      </c>
      <c r="F118" s="5">
        <v>1</v>
      </c>
      <c r="G118" s="5">
        <v>13</v>
      </c>
      <c r="H118" s="5">
        <v>5</v>
      </c>
      <c r="I118" s="5">
        <v>44.427851412473039</v>
      </c>
      <c r="J118" s="5">
        <v>85</v>
      </c>
      <c r="K118" s="5">
        <v>60</v>
      </c>
      <c r="L118" s="5">
        <v>61</v>
      </c>
      <c r="M118" s="5" t="str">
        <f>_xlfn.SWITCH(recruitment_data3[[#This Row],[RecruitmentStrategy]], 1,"Aggressive", 2,"Moderate", 3,"Conservative")</f>
        <v>Moderate</v>
      </c>
      <c r="N118" s="5">
        <v>2</v>
      </c>
      <c r="O118" s="5" t="str">
        <f>IF(recruitment_data3[[#This Row],[HiringDecision]]=1,"Hired","Rejected")</f>
        <v>Hired</v>
      </c>
      <c r="P118" s="6">
        <v>1</v>
      </c>
    </row>
    <row r="119" spans="1:16" x14ac:dyDescent="0.25">
      <c r="A119" s="4" t="str">
        <f t="shared" si="1"/>
        <v>C0118</v>
      </c>
      <c r="B119" s="4">
        <v>35</v>
      </c>
      <c r="C119" s="5" t="str">
        <f>IF(recruitment_data3[[#This Row],[Gender]]=1,"Female","Male")</f>
        <v>Female</v>
      </c>
      <c r="D119" s="5">
        <v>1</v>
      </c>
      <c r="E119" s="5" t="str">
        <f>_xlfn.SWITCH(recruitment_data3[[#This Row],[EducationLevel]], 1,"Bachelor Type 1", 2,"Bachelor Type 2", 3,"Masters", 4,"PhD")</f>
        <v>Bachelor Type 2</v>
      </c>
      <c r="F119" s="5">
        <v>2</v>
      </c>
      <c r="G119" s="5">
        <v>8</v>
      </c>
      <c r="H119" s="5">
        <v>2</v>
      </c>
      <c r="I119" s="5">
        <v>29.231992894810098</v>
      </c>
      <c r="J119" s="5">
        <v>4</v>
      </c>
      <c r="K119" s="5">
        <v>22</v>
      </c>
      <c r="L119" s="5">
        <v>26</v>
      </c>
      <c r="M119" s="5" t="str">
        <f>_xlfn.SWITCH(recruitment_data3[[#This Row],[RecruitmentStrategy]], 1,"Aggressive", 2,"Moderate", 3,"Conservative")</f>
        <v>Moderate</v>
      </c>
      <c r="N119" s="5">
        <v>2</v>
      </c>
      <c r="O119" s="5" t="str">
        <f>IF(recruitment_data3[[#This Row],[HiringDecision]]=1,"Hired","Rejected")</f>
        <v>Rejected</v>
      </c>
      <c r="P119" s="6">
        <v>0</v>
      </c>
    </row>
    <row r="120" spans="1:16" x14ac:dyDescent="0.25">
      <c r="A120" s="4" t="str">
        <f t="shared" si="1"/>
        <v>C0119</v>
      </c>
      <c r="B120" s="4">
        <v>32</v>
      </c>
      <c r="C120" s="5" t="str">
        <f>IF(recruitment_data3[[#This Row],[Gender]]=1,"Female","Male")</f>
        <v>Male</v>
      </c>
      <c r="D120" s="5">
        <v>0</v>
      </c>
      <c r="E120" s="5" t="str">
        <f>_xlfn.SWITCH(recruitment_data3[[#This Row],[EducationLevel]], 1,"Bachelor Type 1", 2,"Bachelor Type 2", 3,"Masters", 4,"PhD")</f>
        <v>Masters</v>
      </c>
      <c r="F120" s="5">
        <v>3</v>
      </c>
      <c r="G120" s="5">
        <v>12</v>
      </c>
      <c r="H120" s="5">
        <v>3</v>
      </c>
      <c r="I120" s="5">
        <v>26.831379592713766</v>
      </c>
      <c r="J120" s="5">
        <v>3</v>
      </c>
      <c r="K120" s="5">
        <v>29</v>
      </c>
      <c r="L120" s="5">
        <v>44</v>
      </c>
      <c r="M120" s="5" t="str">
        <f>_xlfn.SWITCH(recruitment_data3[[#This Row],[RecruitmentStrategy]], 1,"Aggressive", 2,"Moderate", 3,"Conservative")</f>
        <v>Aggressive</v>
      </c>
      <c r="N120" s="5">
        <v>1</v>
      </c>
      <c r="O120" s="5" t="str">
        <f>IF(recruitment_data3[[#This Row],[HiringDecision]]=1,"Hired","Rejected")</f>
        <v>Hired</v>
      </c>
      <c r="P120" s="6">
        <v>1</v>
      </c>
    </row>
    <row r="121" spans="1:16" x14ac:dyDescent="0.25">
      <c r="A121" s="4" t="str">
        <f t="shared" si="1"/>
        <v>C0120</v>
      </c>
      <c r="B121" s="4">
        <v>37</v>
      </c>
      <c r="C121" s="5" t="str">
        <f>IF(recruitment_data3[[#This Row],[Gender]]=1,"Female","Male")</f>
        <v>Female</v>
      </c>
      <c r="D121" s="5">
        <v>1</v>
      </c>
      <c r="E121" s="5" t="str">
        <f>_xlfn.SWITCH(recruitment_data3[[#This Row],[EducationLevel]], 1,"Bachelor Type 1", 2,"Bachelor Type 2", 3,"Masters", 4,"PhD")</f>
        <v>Masters</v>
      </c>
      <c r="F121" s="5">
        <v>3</v>
      </c>
      <c r="G121" s="5">
        <v>11</v>
      </c>
      <c r="H121" s="5">
        <v>3</v>
      </c>
      <c r="I121" s="5">
        <v>15.23001911523405</v>
      </c>
      <c r="J121" s="5">
        <v>35</v>
      </c>
      <c r="K121" s="5">
        <v>59</v>
      </c>
      <c r="L121" s="5">
        <v>91</v>
      </c>
      <c r="M121" s="5" t="str">
        <f>_xlfn.SWITCH(recruitment_data3[[#This Row],[RecruitmentStrategy]], 1,"Aggressive", 2,"Moderate", 3,"Conservative")</f>
        <v>Aggressive</v>
      </c>
      <c r="N121" s="5">
        <v>1</v>
      </c>
      <c r="O121" s="5" t="str">
        <f>IF(recruitment_data3[[#This Row],[HiringDecision]]=1,"Hired","Rejected")</f>
        <v>Hired</v>
      </c>
      <c r="P121" s="6">
        <v>1</v>
      </c>
    </row>
    <row r="122" spans="1:16" x14ac:dyDescent="0.25">
      <c r="A122" s="4" t="str">
        <f t="shared" si="1"/>
        <v>C0121</v>
      </c>
      <c r="B122" s="4">
        <v>34</v>
      </c>
      <c r="C122" s="5" t="str">
        <f>IF(recruitment_data3[[#This Row],[Gender]]=1,"Female","Male")</f>
        <v>Male</v>
      </c>
      <c r="D122" s="5">
        <v>0</v>
      </c>
      <c r="E122" s="5" t="str">
        <f>_xlfn.SWITCH(recruitment_data3[[#This Row],[EducationLevel]], 1,"Bachelor Type 1", 2,"Bachelor Type 2", 3,"Masters", 4,"PhD")</f>
        <v>Bachelor Type 2</v>
      </c>
      <c r="F122" s="5">
        <v>2</v>
      </c>
      <c r="G122" s="5">
        <v>0</v>
      </c>
      <c r="H122" s="5">
        <v>1</v>
      </c>
      <c r="I122" s="5">
        <v>26.860471384676469</v>
      </c>
      <c r="J122" s="5">
        <v>5</v>
      </c>
      <c r="K122" s="5">
        <v>17</v>
      </c>
      <c r="L122" s="5">
        <v>24</v>
      </c>
      <c r="M122" s="5" t="str">
        <f>_xlfn.SWITCH(recruitment_data3[[#This Row],[RecruitmentStrategy]], 1,"Aggressive", 2,"Moderate", 3,"Conservative")</f>
        <v>Moderate</v>
      </c>
      <c r="N122" s="5">
        <v>2</v>
      </c>
      <c r="O122" s="5" t="str">
        <f>IF(recruitment_data3[[#This Row],[HiringDecision]]=1,"Hired","Rejected")</f>
        <v>Rejected</v>
      </c>
      <c r="P122" s="6">
        <v>0</v>
      </c>
    </row>
    <row r="123" spans="1:16" x14ac:dyDescent="0.25">
      <c r="A123" s="4" t="str">
        <f t="shared" si="1"/>
        <v>C0122</v>
      </c>
      <c r="B123" s="4">
        <v>40</v>
      </c>
      <c r="C123" s="5" t="str">
        <f>IF(recruitment_data3[[#This Row],[Gender]]=1,"Female","Male")</f>
        <v>Male</v>
      </c>
      <c r="D123" s="5">
        <v>0</v>
      </c>
      <c r="E123" s="5" t="str">
        <f>_xlfn.SWITCH(recruitment_data3[[#This Row],[EducationLevel]], 1,"Bachelor Type 1", 2,"Bachelor Type 2", 3,"Masters", 4,"PhD")</f>
        <v>Bachelor Type 2</v>
      </c>
      <c r="F123" s="5">
        <v>2</v>
      </c>
      <c r="G123" s="5">
        <v>0</v>
      </c>
      <c r="H123" s="5">
        <v>5</v>
      </c>
      <c r="I123" s="5">
        <v>43.409074913997358</v>
      </c>
      <c r="J123" s="5">
        <v>20</v>
      </c>
      <c r="K123" s="5">
        <v>95</v>
      </c>
      <c r="L123" s="5">
        <v>60</v>
      </c>
      <c r="M123" s="5" t="str">
        <f>_xlfn.SWITCH(recruitment_data3[[#This Row],[RecruitmentStrategy]], 1,"Aggressive", 2,"Moderate", 3,"Conservative")</f>
        <v>Moderate</v>
      </c>
      <c r="N123" s="5">
        <v>2</v>
      </c>
      <c r="O123" s="5" t="str">
        <f>IF(recruitment_data3[[#This Row],[HiringDecision]]=1,"Hired","Rejected")</f>
        <v>Rejected</v>
      </c>
      <c r="P123" s="6">
        <v>0</v>
      </c>
    </row>
    <row r="124" spans="1:16" x14ac:dyDescent="0.25">
      <c r="A124" s="4" t="str">
        <f t="shared" si="1"/>
        <v>C0123</v>
      </c>
      <c r="B124" s="4">
        <v>43</v>
      </c>
      <c r="C124" s="5" t="str">
        <f>IF(recruitment_data3[[#This Row],[Gender]]=1,"Female","Male")</f>
        <v>Male</v>
      </c>
      <c r="D124" s="5">
        <v>0</v>
      </c>
      <c r="E124" s="5" t="str">
        <f>_xlfn.SWITCH(recruitment_data3[[#This Row],[EducationLevel]], 1,"Bachelor Type 1", 2,"Bachelor Type 2", 3,"Masters", 4,"PhD")</f>
        <v>Bachelor Type 1</v>
      </c>
      <c r="F124" s="5">
        <v>1</v>
      </c>
      <c r="G124" s="5">
        <v>12</v>
      </c>
      <c r="H124" s="5">
        <v>2</v>
      </c>
      <c r="I124" s="5">
        <v>35.258725663889031</v>
      </c>
      <c r="J124" s="5">
        <v>76</v>
      </c>
      <c r="K124" s="5">
        <v>55</v>
      </c>
      <c r="L124" s="5">
        <v>43</v>
      </c>
      <c r="M124" s="5" t="str">
        <f>_xlfn.SWITCH(recruitment_data3[[#This Row],[RecruitmentStrategy]], 1,"Aggressive", 2,"Moderate", 3,"Conservative")</f>
        <v>Moderate</v>
      </c>
      <c r="N124" s="5">
        <v>2</v>
      </c>
      <c r="O124" s="5" t="str">
        <f>IF(recruitment_data3[[#This Row],[HiringDecision]]=1,"Hired","Rejected")</f>
        <v>Rejected</v>
      </c>
      <c r="P124" s="6">
        <v>0</v>
      </c>
    </row>
    <row r="125" spans="1:16" x14ac:dyDescent="0.25">
      <c r="A125" s="4" t="str">
        <f t="shared" si="1"/>
        <v>C0124</v>
      </c>
      <c r="B125" s="4">
        <v>45</v>
      </c>
      <c r="C125" s="5" t="str">
        <f>IF(recruitment_data3[[#This Row],[Gender]]=1,"Female","Male")</f>
        <v>Male</v>
      </c>
      <c r="D125" s="5">
        <v>0</v>
      </c>
      <c r="E125" s="5" t="str">
        <f>_xlfn.SWITCH(recruitment_data3[[#This Row],[EducationLevel]], 1,"Bachelor Type 1", 2,"Bachelor Type 2", 3,"Masters", 4,"PhD")</f>
        <v>Bachelor Type 1</v>
      </c>
      <c r="F125" s="5">
        <v>1</v>
      </c>
      <c r="G125" s="5">
        <v>3</v>
      </c>
      <c r="H125" s="5">
        <v>4</v>
      </c>
      <c r="I125" s="5">
        <v>15.502201408899328</v>
      </c>
      <c r="J125" s="5">
        <v>100</v>
      </c>
      <c r="K125" s="5">
        <v>52</v>
      </c>
      <c r="L125" s="5">
        <v>96</v>
      </c>
      <c r="M125" s="5" t="str">
        <f>_xlfn.SWITCH(recruitment_data3[[#This Row],[RecruitmentStrategy]], 1,"Aggressive", 2,"Moderate", 3,"Conservative")</f>
        <v>Aggressive</v>
      </c>
      <c r="N125" s="5">
        <v>1</v>
      </c>
      <c r="O125" s="5" t="str">
        <f>IF(recruitment_data3[[#This Row],[HiringDecision]]=1,"Hired","Rejected")</f>
        <v>Hired</v>
      </c>
      <c r="P125" s="6">
        <v>1</v>
      </c>
    </row>
    <row r="126" spans="1:16" x14ac:dyDescent="0.25">
      <c r="A126" s="4" t="str">
        <f t="shared" si="1"/>
        <v>C0125</v>
      </c>
      <c r="B126" s="4">
        <v>44</v>
      </c>
      <c r="C126" s="5" t="str">
        <f>IF(recruitment_data3[[#This Row],[Gender]]=1,"Female","Male")</f>
        <v>Male</v>
      </c>
      <c r="D126" s="5">
        <v>0</v>
      </c>
      <c r="E126" s="5" t="str">
        <f>_xlfn.SWITCH(recruitment_data3[[#This Row],[EducationLevel]], 1,"Bachelor Type 1", 2,"Bachelor Type 2", 3,"Masters", 4,"PhD")</f>
        <v>Bachelor Type 1</v>
      </c>
      <c r="F126" s="5">
        <v>1</v>
      </c>
      <c r="G126" s="5">
        <v>6</v>
      </c>
      <c r="H126" s="5">
        <v>3</v>
      </c>
      <c r="I126" s="5">
        <v>11.073196052676646</v>
      </c>
      <c r="J126" s="5">
        <v>88</v>
      </c>
      <c r="K126" s="5">
        <v>6</v>
      </c>
      <c r="L126" s="5">
        <v>45</v>
      </c>
      <c r="M126" s="5" t="str">
        <f>_xlfn.SWITCH(recruitment_data3[[#This Row],[RecruitmentStrategy]], 1,"Aggressive", 2,"Moderate", 3,"Conservative")</f>
        <v>Conservative</v>
      </c>
      <c r="N126" s="5">
        <v>3</v>
      </c>
      <c r="O126" s="5" t="str">
        <f>IF(recruitment_data3[[#This Row],[HiringDecision]]=1,"Hired","Rejected")</f>
        <v>Rejected</v>
      </c>
      <c r="P126" s="6">
        <v>0</v>
      </c>
    </row>
    <row r="127" spans="1:16" x14ac:dyDescent="0.25">
      <c r="A127" s="4" t="str">
        <f t="shared" si="1"/>
        <v>C0126</v>
      </c>
      <c r="B127" s="4">
        <v>47</v>
      </c>
      <c r="C127" s="5" t="str">
        <f>IF(recruitment_data3[[#This Row],[Gender]]=1,"Female","Male")</f>
        <v>Female</v>
      </c>
      <c r="D127" s="5">
        <v>1</v>
      </c>
      <c r="E127" s="5" t="str">
        <f>_xlfn.SWITCH(recruitment_data3[[#This Row],[EducationLevel]], 1,"Bachelor Type 1", 2,"Bachelor Type 2", 3,"Masters", 4,"PhD")</f>
        <v>Bachelor Type 2</v>
      </c>
      <c r="F127" s="5">
        <v>2</v>
      </c>
      <c r="G127" s="5">
        <v>0</v>
      </c>
      <c r="H127" s="5">
        <v>2</v>
      </c>
      <c r="I127" s="5">
        <v>14.260426849841455</v>
      </c>
      <c r="J127" s="5">
        <v>25</v>
      </c>
      <c r="K127" s="5">
        <v>96</v>
      </c>
      <c r="L127" s="5">
        <v>13</v>
      </c>
      <c r="M127" s="5" t="str">
        <f>_xlfn.SWITCH(recruitment_data3[[#This Row],[RecruitmentStrategy]], 1,"Aggressive", 2,"Moderate", 3,"Conservative")</f>
        <v>Aggressive</v>
      </c>
      <c r="N127" s="5">
        <v>1</v>
      </c>
      <c r="O127" s="5" t="str">
        <f>IF(recruitment_data3[[#This Row],[HiringDecision]]=1,"Hired","Rejected")</f>
        <v>Rejected</v>
      </c>
      <c r="P127" s="6">
        <v>0</v>
      </c>
    </row>
    <row r="128" spans="1:16" x14ac:dyDescent="0.25">
      <c r="A128" s="4" t="str">
        <f t="shared" si="1"/>
        <v>C0127</v>
      </c>
      <c r="B128" s="4">
        <v>47</v>
      </c>
      <c r="C128" s="5" t="str">
        <f>IF(recruitment_data3[[#This Row],[Gender]]=1,"Female","Male")</f>
        <v>Female</v>
      </c>
      <c r="D128" s="5">
        <v>1</v>
      </c>
      <c r="E128" s="5" t="str">
        <f>_xlfn.SWITCH(recruitment_data3[[#This Row],[EducationLevel]], 1,"Bachelor Type 1", 2,"Bachelor Type 2", 3,"Masters", 4,"PhD")</f>
        <v>Bachelor Type 2</v>
      </c>
      <c r="F128" s="5">
        <v>2</v>
      </c>
      <c r="G128" s="5">
        <v>8</v>
      </c>
      <c r="H128" s="5">
        <v>5</v>
      </c>
      <c r="I128" s="5">
        <v>9.4879600696413267</v>
      </c>
      <c r="J128" s="5">
        <v>54</v>
      </c>
      <c r="K128" s="5">
        <v>68</v>
      </c>
      <c r="L128" s="5">
        <v>7</v>
      </c>
      <c r="M128" s="5" t="str">
        <f>_xlfn.SWITCH(recruitment_data3[[#This Row],[RecruitmentStrategy]], 1,"Aggressive", 2,"Moderate", 3,"Conservative")</f>
        <v>Moderate</v>
      </c>
      <c r="N128" s="5">
        <v>2</v>
      </c>
      <c r="O128" s="5" t="str">
        <f>IF(recruitment_data3[[#This Row],[HiringDecision]]=1,"Hired","Rejected")</f>
        <v>Rejected</v>
      </c>
      <c r="P128" s="6">
        <v>0</v>
      </c>
    </row>
    <row r="129" spans="1:16" x14ac:dyDescent="0.25">
      <c r="A129" s="4" t="str">
        <f t="shared" si="1"/>
        <v>C0128</v>
      </c>
      <c r="B129" s="4">
        <v>47</v>
      </c>
      <c r="C129" s="5" t="str">
        <f>IF(recruitment_data3[[#This Row],[Gender]]=1,"Female","Male")</f>
        <v>Female</v>
      </c>
      <c r="D129" s="5">
        <v>1</v>
      </c>
      <c r="E129" s="5" t="str">
        <f>_xlfn.SWITCH(recruitment_data3[[#This Row],[EducationLevel]], 1,"Bachelor Type 1", 2,"Bachelor Type 2", 3,"Masters", 4,"PhD")</f>
        <v>Bachelor Type 2</v>
      </c>
      <c r="F129" s="5">
        <v>2</v>
      </c>
      <c r="G129" s="5">
        <v>3</v>
      </c>
      <c r="H129" s="5">
        <v>1</v>
      </c>
      <c r="I129" s="5">
        <v>5.7820348011857972</v>
      </c>
      <c r="J129" s="5">
        <v>38</v>
      </c>
      <c r="K129" s="5">
        <v>91</v>
      </c>
      <c r="L129" s="5">
        <v>47</v>
      </c>
      <c r="M129" s="5" t="str">
        <f>_xlfn.SWITCH(recruitment_data3[[#This Row],[RecruitmentStrategy]], 1,"Aggressive", 2,"Moderate", 3,"Conservative")</f>
        <v>Moderate</v>
      </c>
      <c r="N129" s="5">
        <v>2</v>
      </c>
      <c r="O129" s="5" t="str">
        <f>IF(recruitment_data3[[#This Row],[HiringDecision]]=1,"Hired","Rejected")</f>
        <v>Rejected</v>
      </c>
      <c r="P129" s="6">
        <v>0</v>
      </c>
    </row>
    <row r="130" spans="1:16" x14ac:dyDescent="0.25">
      <c r="A130" s="4" t="str">
        <f t="shared" ref="A130:A193" si="2">"C"&amp;TEXT(ROW()-1,"0000")</f>
        <v>C0129</v>
      </c>
      <c r="B130" s="4">
        <v>32</v>
      </c>
      <c r="C130" s="5" t="str">
        <f>IF(recruitment_data3[[#This Row],[Gender]]=1,"Female","Male")</f>
        <v>Female</v>
      </c>
      <c r="D130" s="5">
        <v>1</v>
      </c>
      <c r="E130" s="5" t="str">
        <f>_xlfn.SWITCH(recruitment_data3[[#This Row],[EducationLevel]], 1,"Bachelor Type 1", 2,"Bachelor Type 2", 3,"Masters", 4,"PhD")</f>
        <v>Bachelor Type 2</v>
      </c>
      <c r="F130" s="5">
        <v>2</v>
      </c>
      <c r="G130" s="5">
        <v>2</v>
      </c>
      <c r="H130" s="5">
        <v>3</v>
      </c>
      <c r="I130" s="5">
        <v>21.95680872210275</v>
      </c>
      <c r="J130" s="5">
        <v>83</v>
      </c>
      <c r="K130" s="5">
        <v>71</v>
      </c>
      <c r="L130" s="5">
        <v>13</v>
      </c>
      <c r="M130" s="5" t="str">
        <f>_xlfn.SWITCH(recruitment_data3[[#This Row],[RecruitmentStrategy]], 1,"Aggressive", 2,"Moderate", 3,"Conservative")</f>
        <v>Aggressive</v>
      </c>
      <c r="N130" s="5">
        <v>1</v>
      </c>
      <c r="O130" s="5" t="str">
        <f>IF(recruitment_data3[[#This Row],[HiringDecision]]=1,"Hired","Rejected")</f>
        <v>Hired</v>
      </c>
      <c r="P130" s="6">
        <v>1</v>
      </c>
    </row>
    <row r="131" spans="1:16" x14ac:dyDescent="0.25">
      <c r="A131" s="4" t="str">
        <f t="shared" si="2"/>
        <v>C0130</v>
      </c>
      <c r="B131" s="4">
        <v>28</v>
      </c>
      <c r="C131" s="5" t="str">
        <f>IF(recruitment_data3[[#This Row],[Gender]]=1,"Female","Male")</f>
        <v>Male</v>
      </c>
      <c r="D131" s="5">
        <v>0</v>
      </c>
      <c r="E131" s="5" t="str">
        <f>_xlfn.SWITCH(recruitment_data3[[#This Row],[EducationLevel]], 1,"Bachelor Type 1", 2,"Bachelor Type 2", 3,"Masters", 4,"PhD")</f>
        <v>Bachelor Type 2</v>
      </c>
      <c r="F131" s="5">
        <v>2</v>
      </c>
      <c r="G131" s="5">
        <v>0</v>
      </c>
      <c r="H131" s="5">
        <v>2</v>
      </c>
      <c r="I131" s="5">
        <v>6.6649802199133852</v>
      </c>
      <c r="J131" s="5">
        <v>32</v>
      </c>
      <c r="K131" s="5">
        <v>78</v>
      </c>
      <c r="L131" s="5">
        <v>64</v>
      </c>
      <c r="M131" s="5" t="str">
        <f>_xlfn.SWITCH(recruitment_data3[[#This Row],[RecruitmentStrategy]], 1,"Aggressive", 2,"Moderate", 3,"Conservative")</f>
        <v>Aggressive</v>
      </c>
      <c r="N131" s="5">
        <v>1</v>
      </c>
      <c r="O131" s="5" t="str">
        <f>IF(recruitment_data3[[#This Row],[HiringDecision]]=1,"Hired","Rejected")</f>
        <v>Hired</v>
      </c>
      <c r="P131" s="6">
        <v>1</v>
      </c>
    </row>
    <row r="132" spans="1:16" x14ac:dyDescent="0.25">
      <c r="A132" s="4" t="str">
        <f t="shared" si="2"/>
        <v>C0131</v>
      </c>
      <c r="B132" s="4">
        <v>48</v>
      </c>
      <c r="C132" s="5" t="str">
        <f>IF(recruitment_data3[[#This Row],[Gender]]=1,"Female","Male")</f>
        <v>Male</v>
      </c>
      <c r="D132" s="5">
        <v>0</v>
      </c>
      <c r="E132" s="5" t="str">
        <f>_xlfn.SWITCH(recruitment_data3[[#This Row],[EducationLevel]], 1,"Bachelor Type 1", 2,"Bachelor Type 2", 3,"Masters", 4,"PhD")</f>
        <v>Bachelor Type 2</v>
      </c>
      <c r="F132" s="5">
        <v>2</v>
      </c>
      <c r="G132" s="5">
        <v>9</v>
      </c>
      <c r="H132" s="5">
        <v>2</v>
      </c>
      <c r="I132" s="5">
        <v>9.5956278863552171</v>
      </c>
      <c r="J132" s="5">
        <v>13</v>
      </c>
      <c r="K132" s="5">
        <v>51</v>
      </c>
      <c r="L132" s="5">
        <v>79</v>
      </c>
      <c r="M132" s="5" t="str">
        <f>_xlfn.SWITCH(recruitment_data3[[#This Row],[RecruitmentStrategy]], 1,"Aggressive", 2,"Moderate", 3,"Conservative")</f>
        <v>Moderate</v>
      </c>
      <c r="N132" s="5">
        <v>2</v>
      </c>
      <c r="O132" s="5" t="str">
        <f>IF(recruitment_data3[[#This Row],[HiringDecision]]=1,"Hired","Rejected")</f>
        <v>Rejected</v>
      </c>
      <c r="P132" s="6">
        <v>0</v>
      </c>
    </row>
    <row r="133" spans="1:16" x14ac:dyDescent="0.25">
      <c r="A133" s="4" t="str">
        <f t="shared" si="2"/>
        <v>C0132</v>
      </c>
      <c r="B133" s="4">
        <v>34</v>
      </c>
      <c r="C133" s="5" t="str">
        <f>IF(recruitment_data3[[#This Row],[Gender]]=1,"Female","Male")</f>
        <v>Male</v>
      </c>
      <c r="D133" s="5">
        <v>0</v>
      </c>
      <c r="E133" s="5" t="str">
        <f>_xlfn.SWITCH(recruitment_data3[[#This Row],[EducationLevel]], 1,"Bachelor Type 1", 2,"Bachelor Type 2", 3,"Masters", 4,"PhD")</f>
        <v>Masters</v>
      </c>
      <c r="F133" s="5">
        <v>3</v>
      </c>
      <c r="G133" s="5">
        <v>3</v>
      </c>
      <c r="H133" s="5">
        <v>2</v>
      </c>
      <c r="I133" s="5">
        <v>28.366234216974306</v>
      </c>
      <c r="J133" s="5">
        <v>55</v>
      </c>
      <c r="K133" s="5">
        <v>3</v>
      </c>
      <c r="L133" s="5">
        <v>81</v>
      </c>
      <c r="M133" s="5" t="str">
        <f>_xlfn.SWITCH(recruitment_data3[[#This Row],[RecruitmentStrategy]], 1,"Aggressive", 2,"Moderate", 3,"Conservative")</f>
        <v>Conservative</v>
      </c>
      <c r="N133" s="5">
        <v>3</v>
      </c>
      <c r="O133" s="5" t="str">
        <f>IF(recruitment_data3[[#This Row],[HiringDecision]]=1,"Hired","Rejected")</f>
        <v>Rejected</v>
      </c>
      <c r="P133" s="6">
        <v>0</v>
      </c>
    </row>
    <row r="134" spans="1:16" x14ac:dyDescent="0.25">
      <c r="A134" s="4" t="str">
        <f t="shared" si="2"/>
        <v>C0133</v>
      </c>
      <c r="B134" s="4">
        <v>32</v>
      </c>
      <c r="C134" s="5" t="str">
        <f>IF(recruitment_data3[[#This Row],[Gender]]=1,"Female","Male")</f>
        <v>Male</v>
      </c>
      <c r="D134" s="5">
        <v>0</v>
      </c>
      <c r="E134" s="5" t="str">
        <f>_xlfn.SWITCH(recruitment_data3[[#This Row],[EducationLevel]], 1,"Bachelor Type 1", 2,"Bachelor Type 2", 3,"Masters", 4,"PhD")</f>
        <v>Bachelor Type 2</v>
      </c>
      <c r="F134" s="5">
        <v>2</v>
      </c>
      <c r="G134" s="5">
        <v>8</v>
      </c>
      <c r="H134" s="5">
        <v>5</v>
      </c>
      <c r="I134" s="5">
        <v>9.2299636849787365</v>
      </c>
      <c r="J134" s="5">
        <v>99</v>
      </c>
      <c r="K134" s="5">
        <v>33</v>
      </c>
      <c r="L134" s="5">
        <v>6</v>
      </c>
      <c r="M134" s="5" t="str">
        <f>_xlfn.SWITCH(recruitment_data3[[#This Row],[RecruitmentStrategy]], 1,"Aggressive", 2,"Moderate", 3,"Conservative")</f>
        <v>Aggressive</v>
      </c>
      <c r="N134" s="5">
        <v>1</v>
      </c>
      <c r="O134" s="5" t="str">
        <f>IF(recruitment_data3[[#This Row],[HiringDecision]]=1,"Hired","Rejected")</f>
        <v>Hired</v>
      </c>
      <c r="P134" s="6">
        <v>1</v>
      </c>
    </row>
    <row r="135" spans="1:16" x14ac:dyDescent="0.25">
      <c r="A135" s="4" t="str">
        <f t="shared" si="2"/>
        <v>C0134</v>
      </c>
      <c r="B135" s="4">
        <v>20</v>
      </c>
      <c r="C135" s="5" t="str">
        <f>IF(recruitment_data3[[#This Row],[Gender]]=1,"Female","Male")</f>
        <v>Female</v>
      </c>
      <c r="D135" s="5">
        <v>1</v>
      </c>
      <c r="E135" s="5" t="str">
        <f>_xlfn.SWITCH(recruitment_data3[[#This Row],[EducationLevel]], 1,"Bachelor Type 1", 2,"Bachelor Type 2", 3,"Masters", 4,"PhD")</f>
        <v>PhD</v>
      </c>
      <c r="F135" s="5">
        <v>4</v>
      </c>
      <c r="G135" s="5">
        <v>12</v>
      </c>
      <c r="H135" s="5">
        <v>5</v>
      </c>
      <c r="I135" s="5">
        <v>4.1939883715451423</v>
      </c>
      <c r="J135" s="5">
        <v>80</v>
      </c>
      <c r="K135" s="5">
        <v>68</v>
      </c>
      <c r="L135" s="5">
        <v>78</v>
      </c>
      <c r="M135" s="5" t="str">
        <f>_xlfn.SWITCH(recruitment_data3[[#This Row],[RecruitmentStrategy]], 1,"Aggressive", 2,"Moderate", 3,"Conservative")</f>
        <v>Moderate</v>
      </c>
      <c r="N135" s="5">
        <v>2</v>
      </c>
      <c r="O135" s="5" t="str">
        <f>IF(recruitment_data3[[#This Row],[HiringDecision]]=1,"Hired","Rejected")</f>
        <v>Hired</v>
      </c>
      <c r="P135" s="6">
        <v>1</v>
      </c>
    </row>
    <row r="136" spans="1:16" x14ac:dyDescent="0.25">
      <c r="A136" s="4" t="str">
        <f t="shared" si="2"/>
        <v>C0135</v>
      </c>
      <c r="B136" s="4">
        <v>44</v>
      </c>
      <c r="C136" s="5" t="str">
        <f>IF(recruitment_data3[[#This Row],[Gender]]=1,"Female","Male")</f>
        <v>Male</v>
      </c>
      <c r="D136" s="5">
        <v>0</v>
      </c>
      <c r="E136" s="5" t="str">
        <f>_xlfn.SWITCH(recruitment_data3[[#This Row],[EducationLevel]], 1,"Bachelor Type 1", 2,"Bachelor Type 2", 3,"Masters", 4,"PhD")</f>
        <v>Masters</v>
      </c>
      <c r="F136" s="5">
        <v>3</v>
      </c>
      <c r="G136" s="5">
        <v>13</v>
      </c>
      <c r="H136" s="5">
        <v>5</v>
      </c>
      <c r="I136" s="5">
        <v>16.869442501394261</v>
      </c>
      <c r="J136" s="5">
        <v>20</v>
      </c>
      <c r="K136" s="5">
        <v>32</v>
      </c>
      <c r="L136" s="5">
        <v>87</v>
      </c>
      <c r="M136" s="5" t="str">
        <f>_xlfn.SWITCH(recruitment_data3[[#This Row],[RecruitmentStrategy]], 1,"Aggressive", 2,"Moderate", 3,"Conservative")</f>
        <v>Moderate</v>
      </c>
      <c r="N136" s="5">
        <v>2</v>
      </c>
      <c r="O136" s="5" t="str">
        <f>IF(recruitment_data3[[#This Row],[HiringDecision]]=1,"Hired","Rejected")</f>
        <v>Rejected</v>
      </c>
      <c r="P136" s="6">
        <v>0</v>
      </c>
    </row>
    <row r="137" spans="1:16" x14ac:dyDescent="0.25">
      <c r="A137" s="4" t="str">
        <f t="shared" si="2"/>
        <v>C0136</v>
      </c>
      <c r="B137" s="4">
        <v>26</v>
      </c>
      <c r="C137" s="5" t="str">
        <f>IF(recruitment_data3[[#This Row],[Gender]]=1,"Female","Male")</f>
        <v>Male</v>
      </c>
      <c r="D137" s="5">
        <v>0</v>
      </c>
      <c r="E137" s="5" t="str">
        <f>_xlfn.SWITCH(recruitment_data3[[#This Row],[EducationLevel]], 1,"Bachelor Type 1", 2,"Bachelor Type 2", 3,"Masters", 4,"PhD")</f>
        <v>Bachelor Type 1</v>
      </c>
      <c r="F137" s="5">
        <v>1</v>
      </c>
      <c r="G137" s="5">
        <v>9</v>
      </c>
      <c r="H137" s="5">
        <v>4</v>
      </c>
      <c r="I137" s="5">
        <v>12.015954931098376</v>
      </c>
      <c r="J137" s="5">
        <v>45</v>
      </c>
      <c r="K137" s="5">
        <v>68</v>
      </c>
      <c r="L137" s="5">
        <v>48</v>
      </c>
      <c r="M137" s="5" t="str">
        <f>_xlfn.SWITCH(recruitment_data3[[#This Row],[RecruitmentStrategy]], 1,"Aggressive", 2,"Moderate", 3,"Conservative")</f>
        <v>Aggressive</v>
      </c>
      <c r="N137" s="5">
        <v>1</v>
      </c>
      <c r="O137" s="5" t="str">
        <f>IF(recruitment_data3[[#This Row],[HiringDecision]]=1,"Hired","Rejected")</f>
        <v>Hired</v>
      </c>
      <c r="P137" s="6">
        <v>1</v>
      </c>
    </row>
    <row r="138" spans="1:16" x14ac:dyDescent="0.25">
      <c r="A138" s="4" t="str">
        <f t="shared" si="2"/>
        <v>C0137</v>
      </c>
      <c r="B138" s="4">
        <v>28</v>
      </c>
      <c r="C138" s="5" t="str">
        <f>IF(recruitment_data3[[#This Row],[Gender]]=1,"Female","Male")</f>
        <v>Female</v>
      </c>
      <c r="D138" s="5">
        <v>1</v>
      </c>
      <c r="E138" s="5" t="str">
        <f>_xlfn.SWITCH(recruitment_data3[[#This Row],[EducationLevel]], 1,"Bachelor Type 1", 2,"Bachelor Type 2", 3,"Masters", 4,"PhD")</f>
        <v>Masters</v>
      </c>
      <c r="F138" s="5">
        <v>3</v>
      </c>
      <c r="G138" s="5">
        <v>15</v>
      </c>
      <c r="H138" s="5">
        <v>2</v>
      </c>
      <c r="I138" s="5">
        <v>26.765259399718836</v>
      </c>
      <c r="J138" s="5">
        <v>15</v>
      </c>
      <c r="K138" s="5">
        <v>37</v>
      </c>
      <c r="L138" s="5">
        <v>54</v>
      </c>
      <c r="M138" s="5" t="str">
        <f>_xlfn.SWITCH(recruitment_data3[[#This Row],[RecruitmentStrategy]], 1,"Aggressive", 2,"Moderate", 3,"Conservative")</f>
        <v>Moderate</v>
      </c>
      <c r="N138" s="5">
        <v>2</v>
      </c>
      <c r="O138" s="5" t="str">
        <f>IF(recruitment_data3[[#This Row],[HiringDecision]]=1,"Hired","Rejected")</f>
        <v>Rejected</v>
      </c>
      <c r="P138" s="6">
        <v>0</v>
      </c>
    </row>
    <row r="139" spans="1:16" x14ac:dyDescent="0.25">
      <c r="A139" s="4" t="str">
        <f t="shared" si="2"/>
        <v>C0138</v>
      </c>
      <c r="B139" s="4">
        <v>43</v>
      </c>
      <c r="C139" s="5" t="str">
        <f>IF(recruitment_data3[[#This Row],[Gender]]=1,"Female","Male")</f>
        <v>Female</v>
      </c>
      <c r="D139" s="5">
        <v>1</v>
      </c>
      <c r="E139" s="5" t="str">
        <f>_xlfn.SWITCH(recruitment_data3[[#This Row],[EducationLevel]], 1,"Bachelor Type 1", 2,"Bachelor Type 2", 3,"Masters", 4,"PhD")</f>
        <v>Bachelor Type 2</v>
      </c>
      <c r="F139" s="5">
        <v>2</v>
      </c>
      <c r="G139" s="5">
        <v>15</v>
      </c>
      <c r="H139" s="5">
        <v>3</v>
      </c>
      <c r="I139" s="5">
        <v>6.1183542291604658</v>
      </c>
      <c r="J139" s="5">
        <v>15</v>
      </c>
      <c r="K139" s="5">
        <v>97</v>
      </c>
      <c r="L139" s="5">
        <v>12</v>
      </c>
      <c r="M139" s="5" t="str">
        <f>_xlfn.SWITCH(recruitment_data3[[#This Row],[RecruitmentStrategy]], 1,"Aggressive", 2,"Moderate", 3,"Conservative")</f>
        <v>Conservative</v>
      </c>
      <c r="N139" s="5">
        <v>3</v>
      </c>
      <c r="O139" s="5" t="str">
        <f>IF(recruitment_data3[[#This Row],[HiringDecision]]=1,"Hired","Rejected")</f>
        <v>Rejected</v>
      </c>
      <c r="P139" s="6">
        <v>0</v>
      </c>
    </row>
    <row r="140" spans="1:16" x14ac:dyDescent="0.25">
      <c r="A140" s="4" t="str">
        <f t="shared" si="2"/>
        <v>C0139</v>
      </c>
      <c r="B140" s="4">
        <v>20</v>
      </c>
      <c r="C140" s="5" t="str">
        <f>IF(recruitment_data3[[#This Row],[Gender]]=1,"Female","Male")</f>
        <v>Female</v>
      </c>
      <c r="D140" s="5">
        <v>1</v>
      </c>
      <c r="E140" s="5" t="str">
        <f>_xlfn.SWITCH(recruitment_data3[[#This Row],[EducationLevel]], 1,"Bachelor Type 1", 2,"Bachelor Type 2", 3,"Masters", 4,"PhD")</f>
        <v>Bachelor Type 2</v>
      </c>
      <c r="F140" s="5">
        <v>2</v>
      </c>
      <c r="G140" s="5">
        <v>5</v>
      </c>
      <c r="H140" s="5">
        <v>5</v>
      </c>
      <c r="I140" s="5">
        <v>38.588539384148909</v>
      </c>
      <c r="J140" s="5">
        <v>83</v>
      </c>
      <c r="K140" s="5">
        <v>25</v>
      </c>
      <c r="L140" s="5">
        <v>72</v>
      </c>
      <c r="M140" s="5" t="str">
        <f>_xlfn.SWITCH(recruitment_data3[[#This Row],[RecruitmentStrategy]], 1,"Aggressive", 2,"Moderate", 3,"Conservative")</f>
        <v>Moderate</v>
      </c>
      <c r="N140" s="5">
        <v>2</v>
      </c>
      <c r="O140" s="5" t="str">
        <f>IF(recruitment_data3[[#This Row],[HiringDecision]]=1,"Hired","Rejected")</f>
        <v>Rejected</v>
      </c>
      <c r="P140" s="6">
        <v>0</v>
      </c>
    </row>
    <row r="141" spans="1:16" x14ac:dyDescent="0.25">
      <c r="A141" s="4" t="str">
        <f t="shared" si="2"/>
        <v>C0140</v>
      </c>
      <c r="B141" s="4">
        <v>31</v>
      </c>
      <c r="C141" s="5" t="str">
        <f>IF(recruitment_data3[[#This Row],[Gender]]=1,"Female","Male")</f>
        <v>Female</v>
      </c>
      <c r="D141" s="5">
        <v>1</v>
      </c>
      <c r="E141" s="5" t="str">
        <f>_xlfn.SWITCH(recruitment_data3[[#This Row],[EducationLevel]], 1,"Bachelor Type 1", 2,"Bachelor Type 2", 3,"Masters", 4,"PhD")</f>
        <v>Bachelor Type 2</v>
      </c>
      <c r="F141" s="5">
        <v>2</v>
      </c>
      <c r="G141" s="5">
        <v>15</v>
      </c>
      <c r="H141" s="5">
        <v>5</v>
      </c>
      <c r="I141" s="5">
        <v>46.311675971756934</v>
      </c>
      <c r="J141" s="5">
        <v>28</v>
      </c>
      <c r="K141" s="5">
        <v>0</v>
      </c>
      <c r="L141" s="5">
        <v>55</v>
      </c>
      <c r="M141" s="5" t="str">
        <f>_xlfn.SWITCH(recruitment_data3[[#This Row],[RecruitmentStrategy]], 1,"Aggressive", 2,"Moderate", 3,"Conservative")</f>
        <v>Conservative</v>
      </c>
      <c r="N141" s="5">
        <v>3</v>
      </c>
      <c r="O141" s="5" t="str">
        <f>IF(recruitment_data3[[#This Row],[HiringDecision]]=1,"Hired","Rejected")</f>
        <v>Rejected</v>
      </c>
      <c r="P141" s="6">
        <v>0</v>
      </c>
    </row>
    <row r="142" spans="1:16" x14ac:dyDescent="0.25">
      <c r="A142" s="4" t="str">
        <f t="shared" si="2"/>
        <v>C0141</v>
      </c>
      <c r="B142" s="4">
        <v>27</v>
      </c>
      <c r="C142" s="5" t="str">
        <f>IF(recruitment_data3[[#This Row],[Gender]]=1,"Female","Male")</f>
        <v>Male</v>
      </c>
      <c r="D142" s="5">
        <v>0</v>
      </c>
      <c r="E142" s="5" t="str">
        <f>_xlfn.SWITCH(recruitment_data3[[#This Row],[EducationLevel]], 1,"Bachelor Type 1", 2,"Bachelor Type 2", 3,"Masters", 4,"PhD")</f>
        <v>Bachelor Type 2</v>
      </c>
      <c r="F142" s="5">
        <v>2</v>
      </c>
      <c r="G142" s="5">
        <v>5</v>
      </c>
      <c r="H142" s="5">
        <v>2</v>
      </c>
      <c r="I142" s="5">
        <v>38.171758697809722</v>
      </c>
      <c r="J142" s="5">
        <v>91</v>
      </c>
      <c r="K142" s="5">
        <v>3</v>
      </c>
      <c r="L142" s="5">
        <v>55</v>
      </c>
      <c r="M142" s="5" t="str">
        <f>_xlfn.SWITCH(recruitment_data3[[#This Row],[RecruitmentStrategy]], 1,"Aggressive", 2,"Moderate", 3,"Conservative")</f>
        <v>Aggressive</v>
      </c>
      <c r="N142" s="5">
        <v>1</v>
      </c>
      <c r="O142" s="5" t="str">
        <f>IF(recruitment_data3[[#This Row],[HiringDecision]]=1,"Hired","Rejected")</f>
        <v>Rejected</v>
      </c>
      <c r="P142" s="6">
        <v>0</v>
      </c>
    </row>
    <row r="143" spans="1:16" x14ac:dyDescent="0.25">
      <c r="A143" s="4" t="str">
        <f t="shared" si="2"/>
        <v>C0142</v>
      </c>
      <c r="B143" s="4">
        <v>43</v>
      </c>
      <c r="C143" s="5" t="str">
        <f>IF(recruitment_data3[[#This Row],[Gender]]=1,"Female","Male")</f>
        <v>Male</v>
      </c>
      <c r="D143" s="5">
        <v>0</v>
      </c>
      <c r="E143" s="5" t="str">
        <f>_xlfn.SWITCH(recruitment_data3[[#This Row],[EducationLevel]], 1,"Bachelor Type 1", 2,"Bachelor Type 2", 3,"Masters", 4,"PhD")</f>
        <v>Bachelor Type 2</v>
      </c>
      <c r="F143" s="5">
        <v>2</v>
      </c>
      <c r="G143" s="5">
        <v>0</v>
      </c>
      <c r="H143" s="5">
        <v>5</v>
      </c>
      <c r="I143" s="5">
        <v>27.641351870069713</v>
      </c>
      <c r="J143" s="5">
        <v>7</v>
      </c>
      <c r="K143" s="5">
        <v>38</v>
      </c>
      <c r="L143" s="5">
        <v>14</v>
      </c>
      <c r="M143" s="5" t="str">
        <f>_xlfn.SWITCH(recruitment_data3[[#This Row],[RecruitmentStrategy]], 1,"Aggressive", 2,"Moderate", 3,"Conservative")</f>
        <v>Moderate</v>
      </c>
      <c r="N143" s="5">
        <v>2</v>
      </c>
      <c r="O143" s="5" t="str">
        <f>IF(recruitment_data3[[#This Row],[HiringDecision]]=1,"Hired","Rejected")</f>
        <v>Rejected</v>
      </c>
      <c r="P143" s="6">
        <v>0</v>
      </c>
    </row>
    <row r="144" spans="1:16" x14ac:dyDescent="0.25">
      <c r="A144" s="4" t="str">
        <f t="shared" si="2"/>
        <v>C0143</v>
      </c>
      <c r="B144" s="4">
        <v>50</v>
      </c>
      <c r="C144" s="5" t="str">
        <f>IF(recruitment_data3[[#This Row],[Gender]]=1,"Female","Male")</f>
        <v>Female</v>
      </c>
      <c r="D144" s="5">
        <v>1</v>
      </c>
      <c r="E144" s="5" t="str">
        <f>_xlfn.SWITCH(recruitment_data3[[#This Row],[EducationLevel]], 1,"Bachelor Type 1", 2,"Bachelor Type 2", 3,"Masters", 4,"PhD")</f>
        <v>Bachelor Type 2</v>
      </c>
      <c r="F144" s="5">
        <v>2</v>
      </c>
      <c r="G144" s="5">
        <v>9</v>
      </c>
      <c r="H144" s="5">
        <v>4</v>
      </c>
      <c r="I144" s="5">
        <v>44.033391089444258</v>
      </c>
      <c r="J144" s="5">
        <v>87</v>
      </c>
      <c r="K144" s="5">
        <v>53</v>
      </c>
      <c r="L144" s="5">
        <v>56</v>
      </c>
      <c r="M144" s="5" t="str">
        <f>_xlfn.SWITCH(recruitment_data3[[#This Row],[RecruitmentStrategy]], 1,"Aggressive", 2,"Moderate", 3,"Conservative")</f>
        <v>Moderate</v>
      </c>
      <c r="N144" s="5">
        <v>2</v>
      </c>
      <c r="O144" s="5" t="str">
        <f>IF(recruitment_data3[[#This Row],[HiringDecision]]=1,"Hired","Rejected")</f>
        <v>Rejected</v>
      </c>
      <c r="P144" s="6">
        <v>0</v>
      </c>
    </row>
    <row r="145" spans="1:16" x14ac:dyDescent="0.25">
      <c r="A145" s="4" t="str">
        <f t="shared" si="2"/>
        <v>C0144</v>
      </c>
      <c r="B145" s="4">
        <v>30</v>
      </c>
      <c r="C145" s="5" t="str">
        <f>IF(recruitment_data3[[#This Row],[Gender]]=1,"Female","Male")</f>
        <v>Male</v>
      </c>
      <c r="D145" s="5">
        <v>0</v>
      </c>
      <c r="E145" s="5" t="str">
        <f>_xlfn.SWITCH(recruitment_data3[[#This Row],[EducationLevel]], 1,"Bachelor Type 1", 2,"Bachelor Type 2", 3,"Masters", 4,"PhD")</f>
        <v>Bachelor Type 2</v>
      </c>
      <c r="F145" s="5">
        <v>2</v>
      </c>
      <c r="G145" s="5">
        <v>1</v>
      </c>
      <c r="H145" s="5">
        <v>4</v>
      </c>
      <c r="I145" s="5">
        <v>35.745918989075378</v>
      </c>
      <c r="J145" s="5">
        <v>2</v>
      </c>
      <c r="K145" s="5">
        <v>89</v>
      </c>
      <c r="L145" s="5">
        <v>57</v>
      </c>
      <c r="M145" s="5" t="str">
        <f>_xlfn.SWITCH(recruitment_data3[[#This Row],[RecruitmentStrategy]], 1,"Aggressive", 2,"Moderate", 3,"Conservative")</f>
        <v>Moderate</v>
      </c>
      <c r="N145" s="5">
        <v>2</v>
      </c>
      <c r="O145" s="5" t="str">
        <f>IF(recruitment_data3[[#This Row],[HiringDecision]]=1,"Hired","Rejected")</f>
        <v>Rejected</v>
      </c>
      <c r="P145" s="6">
        <v>0</v>
      </c>
    </row>
    <row r="146" spans="1:16" x14ac:dyDescent="0.25">
      <c r="A146" s="4" t="str">
        <f t="shared" si="2"/>
        <v>C0145</v>
      </c>
      <c r="B146" s="4">
        <v>38</v>
      </c>
      <c r="C146" s="5" t="str">
        <f>IF(recruitment_data3[[#This Row],[Gender]]=1,"Female","Male")</f>
        <v>Male</v>
      </c>
      <c r="D146" s="5">
        <v>0</v>
      </c>
      <c r="E146" s="5" t="str">
        <f>_xlfn.SWITCH(recruitment_data3[[#This Row],[EducationLevel]], 1,"Bachelor Type 1", 2,"Bachelor Type 2", 3,"Masters", 4,"PhD")</f>
        <v>Bachelor Type 2</v>
      </c>
      <c r="F146" s="5">
        <v>2</v>
      </c>
      <c r="G146" s="5">
        <v>10</v>
      </c>
      <c r="H146" s="5">
        <v>5</v>
      </c>
      <c r="I146" s="5">
        <v>1.5275561225094927</v>
      </c>
      <c r="J146" s="5">
        <v>88</v>
      </c>
      <c r="K146" s="5">
        <v>32</v>
      </c>
      <c r="L146" s="5">
        <v>34</v>
      </c>
      <c r="M146" s="5" t="str">
        <f>_xlfn.SWITCH(recruitment_data3[[#This Row],[RecruitmentStrategy]], 1,"Aggressive", 2,"Moderate", 3,"Conservative")</f>
        <v>Moderate</v>
      </c>
      <c r="N146" s="5">
        <v>2</v>
      </c>
      <c r="O146" s="5" t="str">
        <f>IF(recruitment_data3[[#This Row],[HiringDecision]]=1,"Hired","Rejected")</f>
        <v>Rejected</v>
      </c>
      <c r="P146" s="6">
        <v>0</v>
      </c>
    </row>
    <row r="147" spans="1:16" x14ac:dyDescent="0.25">
      <c r="A147" s="4" t="str">
        <f t="shared" si="2"/>
        <v>C0146</v>
      </c>
      <c r="B147" s="4">
        <v>36</v>
      </c>
      <c r="C147" s="5" t="str">
        <f>IF(recruitment_data3[[#This Row],[Gender]]=1,"Female","Male")</f>
        <v>Male</v>
      </c>
      <c r="D147" s="5">
        <v>0</v>
      </c>
      <c r="E147" s="5" t="str">
        <f>_xlfn.SWITCH(recruitment_data3[[#This Row],[EducationLevel]], 1,"Bachelor Type 1", 2,"Bachelor Type 2", 3,"Masters", 4,"PhD")</f>
        <v>Bachelor Type 2</v>
      </c>
      <c r="F147" s="5">
        <v>2</v>
      </c>
      <c r="G147" s="5">
        <v>5</v>
      </c>
      <c r="H147" s="5">
        <v>2</v>
      </c>
      <c r="I147" s="5">
        <v>20.704507638725154</v>
      </c>
      <c r="J147" s="5">
        <v>18</v>
      </c>
      <c r="K147" s="5">
        <v>32</v>
      </c>
      <c r="L147" s="5">
        <v>87</v>
      </c>
      <c r="M147" s="5" t="str">
        <f>_xlfn.SWITCH(recruitment_data3[[#This Row],[RecruitmentStrategy]], 1,"Aggressive", 2,"Moderate", 3,"Conservative")</f>
        <v>Aggressive</v>
      </c>
      <c r="N147" s="5">
        <v>1</v>
      </c>
      <c r="O147" s="5" t="str">
        <f>IF(recruitment_data3[[#This Row],[HiringDecision]]=1,"Hired","Rejected")</f>
        <v>Rejected</v>
      </c>
      <c r="P147" s="6">
        <v>0</v>
      </c>
    </row>
    <row r="148" spans="1:16" x14ac:dyDescent="0.25">
      <c r="A148" s="4" t="str">
        <f t="shared" si="2"/>
        <v>C0147</v>
      </c>
      <c r="B148" s="4">
        <v>27</v>
      </c>
      <c r="C148" s="5" t="str">
        <f>IF(recruitment_data3[[#This Row],[Gender]]=1,"Female","Male")</f>
        <v>Female</v>
      </c>
      <c r="D148" s="5">
        <v>1</v>
      </c>
      <c r="E148" s="5" t="str">
        <f>_xlfn.SWITCH(recruitment_data3[[#This Row],[EducationLevel]], 1,"Bachelor Type 1", 2,"Bachelor Type 2", 3,"Masters", 4,"PhD")</f>
        <v>Masters</v>
      </c>
      <c r="F148" s="5">
        <v>3</v>
      </c>
      <c r="G148" s="5">
        <v>1</v>
      </c>
      <c r="H148" s="5">
        <v>2</v>
      </c>
      <c r="I148" s="5">
        <v>43.54759497034</v>
      </c>
      <c r="J148" s="5">
        <v>96</v>
      </c>
      <c r="K148" s="5">
        <v>71</v>
      </c>
      <c r="L148" s="5">
        <v>96</v>
      </c>
      <c r="M148" s="5" t="str">
        <f>_xlfn.SWITCH(recruitment_data3[[#This Row],[RecruitmentStrategy]], 1,"Aggressive", 2,"Moderate", 3,"Conservative")</f>
        <v>Moderate</v>
      </c>
      <c r="N148" s="5">
        <v>2</v>
      </c>
      <c r="O148" s="5" t="str">
        <f>IF(recruitment_data3[[#This Row],[HiringDecision]]=1,"Hired","Rejected")</f>
        <v>Hired</v>
      </c>
      <c r="P148" s="6">
        <v>1</v>
      </c>
    </row>
    <row r="149" spans="1:16" x14ac:dyDescent="0.25">
      <c r="A149" s="4" t="str">
        <f t="shared" si="2"/>
        <v>C0148</v>
      </c>
      <c r="B149" s="4">
        <v>22</v>
      </c>
      <c r="C149" s="5" t="str">
        <f>IF(recruitment_data3[[#This Row],[Gender]]=1,"Female","Male")</f>
        <v>Male</v>
      </c>
      <c r="D149" s="5">
        <v>0</v>
      </c>
      <c r="E149" s="5" t="str">
        <f>_xlfn.SWITCH(recruitment_data3[[#This Row],[EducationLevel]], 1,"Bachelor Type 1", 2,"Bachelor Type 2", 3,"Masters", 4,"PhD")</f>
        <v>Bachelor Type 1</v>
      </c>
      <c r="F149" s="5">
        <v>1</v>
      </c>
      <c r="G149" s="5">
        <v>2</v>
      </c>
      <c r="H149" s="5">
        <v>2</v>
      </c>
      <c r="I149" s="5">
        <v>18.292942898763464</v>
      </c>
      <c r="J149" s="5">
        <v>65</v>
      </c>
      <c r="K149" s="5">
        <v>19</v>
      </c>
      <c r="L149" s="5">
        <v>15</v>
      </c>
      <c r="M149" s="5" t="str">
        <f>_xlfn.SWITCH(recruitment_data3[[#This Row],[RecruitmentStrategy]], 1,"Aggressive", 2,"Moderate", 3,"Conservative")</f>
        <v>Moderate</v>
      </c>
      <c r="N149" s="5">
        <v>2</v>
      </c>
      <c r="O149" s="5" t="str">
        <f>IF(recruitment_data3[[#This Row],[HiringDecision]]=1,"Hired","Rejected")</f>
        <v>Rejected</v>
      </c>
      <c r="P149" s="6">
        <v>0</v>
      </c>
    </row>
    <row r="150" spans="1:16" x14ac:dyDescent="0.25">
      <c r="A150" s="4" t="str">
        <f t="shared" si="2"/>
        <v>C0149</v>
      </c>
      <c r="B150" s="4">
        <v>22</v>
      </c>
      <c r="C150" s="5" t="str">
        <f>IF(recruitment_data3[[#This Row],[Gender]]=1,"Female","Male")</f>
        <v>Female</v>
      </c>
      <c r="D150" s="5">
        <v>1</v>
      </c>
      <c r="E150" s="5" t="str">
        <f>_xlfn.SWITCH(recruitment_data3[[#This Row],[EducationLevel]], 1,"Bachelor Type 1", 2,"Bachelor Type 2", 3,"Masters", 4,"PhD")</f>
        <v>Bachelor Type 2</v>
      </c>
      <c r="F150" s="5">
        <v>2</v>
      </c>
      <c r="G150" s="5">
        <v>3</v>
      </c>
      <c r="H150" s="5">
        <v>1</v>
      </c>
      <c r="I150" s="5">
        <v>2.7607586762761751</v>
      </c>
      <c r="J150" s="5">
        <v>78</v>
      </c>
      <c r="K150" s="5">
        <v>15</v>
      </c>
      <c r="L150" s="5">
        <v>7</v>
      </c>
      <c r="M150" s="5" t="str">
        <f>_xlfn.SWITCH(recruitment_data3[[#This Row],[RecruitmentStrategy]], 1,"Aggressive", 2,"Moderate", 3,"Conservative")</f>
        <v>Aggressive</v>
      </c>
      <c r="N150" s="5">
        <v>1</v>
      </c>
      <c r="O150" s="5" t="str">
        <f>IF(recruitment_data3[[#This Row],[HiringDecision]]=1,"Hired","Rejected")</f>
        <v>Rejected</v>
      </c>
      <c r="P150" s="6">
        <v>0</v>
      </c>
    </row>
    <row r="151" spans="1:16" x14ac:dyDescent="0.25">
      <c r="A151" s="4" t="str">
        <f t="shared" si="2"/>
        <v>C0150</v>
      </c>
      <c r="B151" s="4">
        <v>20</v>
      </c>
      <c r="C151" s="5" t="str">
        <f>IF(recruitment_data3[[#This Row],[Gender]]=1,"Female","Male")</f>
        <v>Male</v>
      </c>
      <c r="D151" s="5">
        <v>0</v>
      </c>
      <c r="E151" s="5" t="str">
        <f>_xlfn.SWITCH(recruitment_data3[[#This Row],[EducationLevel]], 1,"Bachelor Type 1", 2,"Bachelor Type 2", 3,"Masters", 4,"PhD")</f>
        <v>Masters</v>
      </c>
      <c r="F151" s="5">
        <v>3</v>
      </c>
      <c r="G151" s="5">
        <v>10</v>
      </c>
      <c r="H151" s="5">
        <v>5</v>
      </c>
      <c r="I151" s="5">
        <v>38.308981927613615</v>
      </c>
      <c r="J151" s="5">
        <v>85</v>
      </c>
      <c r="K151" s="5">
        <v>20</v>
      </c>
      <c r="L151" s="5">
        <v>92</v>
      </c>
      <c r="M151" s="5" t="str">
        <f>_xlfn.SWITCH(recruitment_data3[[#This Row],[RecruitmentStrategy]], 1,"Aggressive", 2,"Moderate", 3,"Conservative")</f>
        <v>Conservative</v>
      </c>
      <c r="N151" s="5">
        <v>3</v>
      </c>
      <c r="O151" s="5" t="str">
        <f>IF(recruitment_data3[[#This Row],[HiringDecision]]=1,"Hired","Rejected")</f>
        <v>Hired</v>
      </c>
      <c r="P151" s="6">
        <v>1</v>
      </c>
    </row>
    <row r="152" spans="1:16" x14ac:dyDescent="0.25">
      <c r="A152" s="4" t="str">
        <f t="shared" si="2"/>
        <v>C0151</v>
      </c>
      <c r="B152" s="4">
        <v>46</v>
      </c>
      <c r="C152" s="5" t="str">
        <f>IF(recruitment_data3[[#This Row],[Gender]]=1,"Female","Male")</f>
        <v>Male</v>
      </c>
      <c r="D152" s="5">
        <v>0</v>
      </c>
      <c r="E152" s="5" t="str">
        <f>_xlfn.SWITCH(recruitment_data3[[#This Row],[EducationLevel]], 1,"Bachelor Type 1", 2,"Bachelor Type 2", 3,"Masters", 4,"PhD")</f>
        <v>Bachelor Type 2</v>
      </c>
      <c r="F152" s="5">
        <v>2</v>
      </c>
      <c r="G152" s="5">
        <v>4</v>
      </c>
      <c r="H152" s="5">
        <v>2</v>
      </c>
      <c r="I152" s="5">
        <v>41.101913514143426</v>
      </c>
      <c r="J152" s="5">
        <v>73</v>
      </c>
      <c r="K152" s="5">
        <v>44</v>
      </c>
      <c r="L152" s="5">
        <v>86</v>
      </c>
      <c r="M152" s="5" t="str">
        <f>_xlfn.SWITCH(recruitment_data3[[#This Row],[RecruitmentStrategy]], 1,"Aggressive", 2,"Moderate", 3,"Conservative")</f>
        <v>Moderate</v>
      </c>
      <c r="N152" s="5">
        <v>2</v>
      </c>
      <c r="O152" s="5" t="str">
        <f>IF(recruitment_data3[[#This Row],[HiringDecision]]=1,"Hired","Rejected")</f>
        <v>Rejected</v>
      </c>
      <c r="P152" s="6">
        <v>0</v>
      </c>
    </row>
    <row r="153" spans="1:16" x14ac:dyDescent="0.25">
      <c r="A153" s="4" t="str">
        <f t="shared" si="2"/>
        <v>C0152</v>
      </c>
      <c r="B153" s="4">
        <v>24</v>
      </c>
      <c r="C153" s="5" t="str">
        <f>IF(recruitment_data3[[#This Row],[Gender]]=1,"Female","Male")</f>
        <v>Male</v>
      </c>
      <c r="D153" s="5">
        <v>0</v>
      </c>
      <c r="E153" s="5" t="str">
        <f>_xlfn.SWITCH(recruitment_data3[[#This Row],[EducationLevel]], 1,"Bachelor Type 1", 2,"Bachelor Type 2", 3,"Masters", 4,"PhD")</f>
        <v>Bachelor Type 1</v>
      </c>
      <c r="F153" s="5">
        <v>1</v>
      </c>
      <c r="G153" s="5">
        <v>14</v>
      </c>
      <c r="H153" s="5">
        <v>4</v>
      </c>
      <c r="I153" s="5">
        <v>9.0296847521654282</v>
      </c>
      <c r="J153" s="5">
        <v>81</v>
      </c>
      <c r="K153" s="5">
        <v>89</v>
      </c>
      <c r="L153" s="5">
        <v>44</v>
      </c>
      <c r="M153" s="5" t="str">
        <f>_xlfn.SWITCH(recruitment_data3[[#This Row],[RecruitmentStrategy]], 1,"Aggressive", 2,"Moderate", 3,"Conservative")</f>
        <v>Moderate</v>
      </c>
      <c r="N153" s="5">
        <v>2</v>
      </c>
      <c r="O153" s="5" t="str">
        <f>IF(recruitment_data3[[#This Row],[HiringDecision]]=1,"Hired","Rejected")</f>
        <v>Rejected</v>
      </c>
      <c r="P153" s="6">
        <v>0</v>
      </c>
    </row>
    <row r="154" spans="1:16" x14ac:dyDescent="0.25">
      <c r="A154" s="4" t="str">
        <f t="shared" si="2"/>
        <v>C0153</v>
      </c>
      <c r="B154" s="4">
        <v>29</v>
      </c>
      <c r="C154" s="5" t="str">
        <f>IF(recruitment_data3[[#This Row],[Gender]]=1,"Female","Male")</f>
        <v>Female</v>
      </c>
      <c r="D154" s="5">
        <v>1</v>
      </c>
      <c r="E154" s="5" t="str">
        <f>_xlfn.SWITCH(recruitment_data3[[#This Row],[EducationLevel]], 1,"Bachelor Type 1", 2,"Bachelor Type 2", 3,"Masters", 4,"PhD")</f>
        <v>Bachelor Type 1</v>
      </c>
      <c r="F154" s="5">
        <v>1</v>
      </c>
      <c r="G154" s="5">
        <v>8</v>
      </c>
      <c r="H154" s="5">
        <v>3</v>
      </c>
      <c r="I154" s="5">
        <v>27.867024842159061</v>
      </c>
      <c r="J154" s="5">
        <v>21</v>
      </c>
      <c r="K154" s="5">
        <v>86</v>
      </c>
      <c r="L154" s="5">
        <v>94</v>
      </c>
      <c r="M154" s="5" t="str">
        <f>_xlfn.SWITCH(recruitment_data3[[#This Row],[RecruitmentStrategy]], 1,"Aggressive", 2,"Moderate", 3,"Conservative")</f>
        <v>Aggressive</v>
      </c>
      <c r="N154" s="5">
        <v>1</v>
      </c>
      <c r="O154" s="5" t="str">
        <f>IF(recruitment_data3[[#This Row],[HiringDecision]]=1,"Hired","Rejected")</f>
        <v>Hired</v>
      </c>
      <c r="P154" s="6">
        <v>1</v>
      </c>
    </row>
    <row r="155" spans="1:16" x14ac:dyDescent="0.25">
      <c r="A155" s="4" t="str">
        <f t="shared" si="2"/>
        <v>C0154</v>
      </c>
      <c r="B155" s="4">
        <v>26</v>
      </c>
      <c r="C155" s="5" t="str">
        <f>IF(recruitment_data3[[#This Row],[Gender]]=1,"Female","Male")</f>
        <v>Male</v>
      </c>
      <c r="D155" s="5">
        <v>0</v>
      </c>
      <c r="E155" s="5" t="str">
        <f>_xlfn.SWITCH(recruitment_data3[[#This Row],[EducationLevel]], 1,"Bachelor Type 1", 2,"Bachelor Type 2", 3,"Masters", 4,"PhD")</f>
        <v>Bachelor Type 2</v>
      </c>
      <c r="F155" s="5">
        <v>2</v>
      </c>
      <c r="G155" s="5">
        <v>11</v>
      </c>
      <c r="H155" s="5">
        <v>3</v>
      </c>
      <c r="I155" s="5">
        <v>10.597771949786289</v>
      </c>
      <c r="J155" s="5">
        <v>45</v>
      </c>
      <c r="K155" s="5">
        <v>81</v>
      </c>
      <c r="L155" s="5">
        <v>39</v>
      </c>
      <c r="M155" s="5" t="str">
        <f>_xlfn.SWITCH(recruitment_data3[[#This Row],[RecruitmentStrategy]], 1,"Aggressive", 2,"Moderate", 3,"Conservative")</f>
        <v>Aggressive</v>
      </c>
      <c r="N155" s="5">
        <v>1</v>
      </c>
      <c r="O155" s="5" t="str">
        <f>IF(recruitment_data3[[#This Row],[HiringDecision]]=1,"Hired","Rejected")</f>
        <v>Hired</v>
      </c>
      <c r="P155" s="6">
        <v>1</v>
      </c>
    </row>
    <row r="156" spans="1:16" x14ac:dyDescent="0.25">
      <c r="A156" s="4" t="str">
        <f t="shared" si="2"/>
        <v>C0155</v>
      </c>
      <c r="B156" s="4">
        <v>45</v>
      </c>
      <c r="C156" s="5" t="str">
        <f>IF(recruitment_data3[[#This Row],[Gender]]=1,"Female","Male")</f>
        <v>Female</v>
      </c>
      <c r="D156" s="5">
        <v>1</v>
      </c>
      <c r="E156" s="5" t="str">
        <f>_xlfn.SWITCH(recruitment_data3[[#This Row],[EducationLevel]], 1,"Bachelor Type 1", 2,"Bachelor Type 2", 3,"Masters", 4,"PhD")</f>
        <v>PhD</v>
      </c>
      <c r="F156" s="5">
        <v>4</v>
      </c>
      <c r="G156" s="5">
        <v>14</v>
      </c>
      <c r="H156" s="5">
        <v>2</v>
      </c>
      <c r="I156" s="5">
        <v>36.961720952207337</v>
      </c>
      <c r="J156" s="5">
        <v>90</v>
      </c>
      <c r="K156" s="5">
        <v>61</v>
      </c>
      <c r="L156" s="5">
        <v>53</v>
      </c>
      <c r="M156" s="5" t="str">
        <f>_xlfn.SWITCH(recruitment_data3[[#This Row],[RecruitmentStrategy]], 1,"Aggressive", 2,"Moderate", 3,"Conservative")</f>
        <v>Moderate</v>
      </c>
      <c r="N156" s="5">
        <v>2</v>
      </c>
      <c r="O156" s="5" t="str">
        <f>IF(recruitment_data3[[#This Row],[HiringDecision]]=1,"Hired","Rejected")</f>
        <v>Hired</v>
      </c>
      <c r="P156" s="6">
        <v>1</v>
      </c>
    </row>
    <row r="157" spans="1:16" x14ac:dyDescent="0.25">
      <c r="A157" s="4" t="str">
        <f t="shared" si="2"/>
        <v>C0156</v>
      </c>
      <c r="B157" s="4">
        <v>28</v>
      </c>
      <c r="C157" s="5" t="str">
        <f>IF(recruitment_data3[[#This Row],[Gender]]=1,"Female","Male")</f>
        <v>Female</v>
      </c>
      <c r="D157" s="5">
        <v>1</v>
      </c>
      <c r="E157" s="5" t="str">
        <f>_xlfn.SWITCH(recruitment_data3[[#This Row],[EducationLevel]], 1,"Bachelor Type 1", 2,"Bachelor Type 2", 3,"Masters", 4,"PhD")</f>
        <v>Bachelor Type 2</v>
      </c>
      <c r="F157" s="5">
        <v>2</v>
      </c>
      <c r="G157" s="5">
        <v>14</v>
      </c>
      <c r="H157" s="5">
        <v>3</v>
      </c>
      <c r="I157" s="5">
        <v>14.577522758874283</v>
      </c>
      <c r="J157" s="5">
        <v>12</v>
      </c>
      <c r="K157" s="5">
        <v>30</v>
      </c>
      <c r="L157" s="5">
        <v>13</v>
      </c>
      <c r="M157" s="5" t="str">
        <f>_xlfn.SWITCH(recruitment_data3[[#This Row],[RecruitmentStrategy]], 1,"Aggressive", 2,"Moderate", 3,"Conservative")</f>
        <v>Moderate</v>
      </c>
      <c r="N157" s="5">
        <v>2</v>
      </c>
      <c r="O157" s="5" t="str">
        <f>IF(recruitment_data3[[#This Row],[HiringDecision]]=1,"Hired","Rejected")</f>
        <v>Rejected</v>
      </c>
      <c r="P157" s="6">
        <v>0</v>
      </c>
    </row>
    <row r="158" spans="1:16" x14ac:dyDescent="0.25">
      <c r="A158" s="4" t="str">
        <f t="shared" si="2"/>
        <v>C0157</v>
      </c>
      <c r="B158" s="4">
        <v>47</v>
      </c>
      <c r="C158" s="5" t="str">
        <f>IF(recruitment_data3[[#This Row],[Gender]]=1,"Female","Male")</f>
        <v>Female</v>
      </c>
      <c r="D158" s="5">
        <v>1</v>
      </c>
      <c r="E158" s="5" t="str">
        <f>_xlfn.SWITCH(recruitment_data3[[#This Row],[EducationLevel]], 1,"Bachelor Type 1", 2,"Bachelor Type 2", 3,"Masters", 4,"PhD")</f>
        <v>PhD</v>
      </c>
      <c r="F158" s="5">
        <v>4</v>
      </c>
      <c r="G158" s="5">
        <v>3</v>
      </c>
      <c r="H158" s="5">
        <v>3</v>
      </c>
      <c r="I158" s="5">
        <v>16.810756128166503</v>
      </c>
      <c r="J158" s="5">
        <v>32</v>
      </c>
      <c r="K158" s="5">
        <v>41</v>
      </c>
      <c r="L158" s="5">
        <v>58</v>
      </c>
      <c r="M158" s="5" t="str">
        <f>_xlfn.SWITCH(recruitment_data3[[#This Row],[RecruitmentStrategy]], 1,"Aggressive", 2,"Moderate", 3,"Conservative")</f>
        <v>Moderate</v>
      </c>
      <c r="N158" s="5">
        <v>2</v>
      </c>
      <c r="O158" s="5" t="str">
        <f>IF(recruitment_data3[[#This Row],[HiringDecision]]=1,"Hired","Rejected")</f>
        <v>Rejected</v>
      </c>
      <c r="P158" s="6">
        <v>0</v>
      </c>
    </row>
    <row r="159" spans="1:16" x14ac:dyDescent="0.25">
      <c r="A159" s="4" t="str">
        <f t="shared" si="2"/>
        <v>C0158</v>
      </c>
      <c r="B159" s="4">
        <v>26</v>
      </c>
      <c r="C159" s="5" t="str">
        <f>IF(recruitment_data3[[#This Row],[Gender]]=1,"Female","Male")</f>
        <v>Male</v>
      </c>
      <c r="D159" s="5">
        <v>0</v>
      </c>
      <c r="E159" s="5" t="str">
        <f>_xlfn.SWITCH(recruitment_data3[[#This Row],[EducationLevel]], 1,"Bachelor Type 1", 2,"Bachelor Type 2", 3,"Masters", 4,"PhD")</f>
        <v>Bachelor Type 2</v>
      </c>
      <c r="F159" s="5">
        <v>2</v>
      </c>
      <c r="G159" s="5">
        <v>12</v>
      </c>
      <c r="H159" s="5">
        <v>1</v>
      </c>
      <c r="I159" s="5">
        <v>43.248542682005066</v>
      </c>
      <c r="J159" s="5">
        <v>4</v>
      </c>
      <c r="K159" s="5">
        <v>11</v>
      </c>
      <c r="L159" s="5">
        <v>93</v>
      </c>
      <c r="M159" s="5" t="str">
        <f>_xlfn.SWITCH(recruitment_data3[[#This Row],[RecruitmentStrategy]], 1,"Aggressive", 2,"Moderate", 3,"Conservative")</f>
        <v>Moderate</v>
      </c>
      <c r="N159" s="5">
        <v>2</v>
      </c>
      <c r="O159" s="5" t="str">
        <f>IF(recruitment_data3[[#This Row],[HiringDecision]]=1,"Hired","Rejected")</f>
        <v>Rejected</v>
      </c>
      <c r="P159" s="6">
        <v>0</v>
      </c>
    </row>
    <row r="160" spans="1:16" x14ac:dyDescent="0.25">
      <c r="A160" s="4" t="str">
        <f t="shared" si="2"/>
        <v>C0159</v>
      </c>
      <c r="B160" s="4">
        <v>28</v>
      </c>
      <c r="C160" s="5" t="str">
        <f>IF(recruitment_data3[[#This Row],[Gender]]=1,"Female","Male")</f>
        <v>Male</v>
      </c>
      <c r="D160" s="5">
        <v>0</v>
      </c>
      <c r="E160" s="5" t="str">
        <f>_xlfn.SWITCH(recruitment_data3[[#This Row],[EducationLevel]], 1,"Bachelor Type 1", 2,"Bachelor Type 2", 3,"Masters", 4,"PhD")</f>
        <v>Bachelor Type 2</v>
      </c>
      <c r="F160" s="5">
        <v>2</v>
      </c>
      <c r="G160" s="5">
        <v>10</v>
      </c>
      <c r="H160" s="5">
        <v>4</v>
      </c>
      <c r="I160" s="5">
        <v>24.816117610345216</v>
      </c>
      <c r="J160" s="5">
        <v>89</v>
      </c>
      <c r="K160" s="5">
        <v>64</v>
      </c>
      <c r="L160" s="5">
        <v>52</v>
      </c>
      <c r="M160" s="5" t="str">
        <f>_xlfn.SWITCH(recruitment_data3[[#This Row],[RecruitmentStrategy]], 1,"Aggressive", 2,"Moderate", 3,"Conservative")</f>
        <v>Aggressive</v>
      </c>
      <c r="N160" s="5">
        <v>1</v>
      </c>
      <c r="O160" s="5" t="str">
        <f>IF(recruitment_data3[[#This Row],[HiringDecision]]=1,"Hired","Rejected")</f>
        <v>Hired</v>
      </c>
      <c r="P160" s="6">
        <v>1</v>
      </c>
    </row>
    <row r="161" spans="1:16" x14ac:dyDescent="0.25">
      <c r="A161" s="4" t="str">
        <f t="shared" si="2"/>
        <v>C0160</v>
      </c>
      <c r="B161" s="4">
        <v>27</v>
      </c>
      <c r="C161" s="5" t="str">
        <f>IF(recruitment_data3[[#This Row],[Gender]]=1,"Female","Male")</f>
        <v>Male</v>
      </c>
      <c r="D161" s="5">
        <v>0</v>
      </c>
      <c r="E161" s="5" t="str">
        <f>_xlfn.SWITCH(recruitment_data3[[#This Row],[EducationLevel]], 1,"Bachelor Type 1", 2,"Bachelor Type 2", 3,"Masters", 4,"PhD")</f>
        <v>Bachelor Type 2</v>
      </c>
      <c r="F161" s="5">
        <v>2</v>
      </c>
      <c r="G161" s="5">
        <v>8</v>
      </c>
      <c r="H161" s="5">
        <v>4</v>
      </c>
      <c r="I161" s="5">
        <v>34.487722560912388</v>
      </c>
      <c r="J161" s="5">
        <v>76</v>
      </c>
      <c r="K161" s="5">
        <v>72</v>
      </c>
      <c r="L161" s="5">
        <v>26</v>
      </c>
      <c r="M161" s="5" t="str">
        <f>_xlfn.SWITCH(recruitment_data3[[#This Row],[RecruitmentStrategy]], 1,"Aggressive", 2,"Moderate", 3,"Conservative")</f>
        <v>Moderate</v>
      </c>
      <c r="N161" s="5">
        <v>2</v>
      </c>
      <c r="O161" s="5" t="str">
        <f>IF(recruitment_data3[[#This Row],[HiringDecision]]=1,"Hired","Rejected")</f>
        <v>Rejected</v>
      </c>
      <c r="P161" s="6">
        <v>0</v>
      </c>
    </row>
    <row r="162" spans="1:16" x14ac:dyDescent="0.25">
      <c r="A162" s="4" t="str">
        <f t="shared" si="2"/>
        <v>C0161</v>
      </c>
      <c r="B162" s="4">
        <v>31</v>
      </c>
      <c r="C162" s="5" t="str">
        <f>IF(recruitment_data3[[#This Row],[Gender]]=1,"Female","Male")</f>
        <v>Male</v>
      </c>
      <c r="D162" s="5">
        <v>0</v>
      </c>
      <c r="E162" s="5" t="str">
        <f>_xlfn.SWITCH(recruitment_data3[[#This Row],[EducationLevel]], 1,"Bachelor Type 1", 2,"Bachelor Type 2", 3,"Masters", 4,"PhD")</f>
        <v>Bachelor Type 2</v>
      </c>
      <c r="F162" s="5">
        <v>2</v>
      </c>
      <c r="G162" s="5">
        <v>10</v>
      </c>
      <c r="H162" s="5">
        <v>1</v>
      </c>
      <c r="I162" s="5">
        <v>21.118652536123381</v>
      </c>
      <c r="J162" s="5">
        <v>26</v>
      </c>
      <c r="K162" s="5">
        <v>2</v>
      </c>
      <c r="L162" s="5">
        <v>46</v>
      </c>
      <c r="M162" s="5" t="str">
        <f>_xlfn.SWITCH(recruitment_data3[[#This Row],[RecruitmentStrategy]], 1,"Aggressive", 2,"Moderate", 3,"Conservative")</f>
        <v>Moderate</v>
      </c>
      <c r="N162" s="5">
        <v>2</v>
      </c>
      <c r="O162" s="5" t="str">
        <f>IF(recruitment_data3[[#This Row],[HiringDecision]]=1,"Hired","Rejected")</f>
        <v>Rejected</v>
      </c>
      <c r="P162" s="6">
        <v>0</v>
      </c>
    </row>
    <row r="163" spans="1:16" x14ac:dyDescent="0.25">
      <c r="A163" s="4" t="str">
        <f t="shared" si="2"/>
        <v>C0162</v>
      </c>
      <c r="B163" s="4">
        <v>21</v>
      </c>
      <c r="C163" s="5" t="str">
        <f>IF(recruitment_data3[[#This Row],[Gender]]=1,"Female","Male")</f>
        <v>Female</v>
      </c>
      <c r="D163" s="5">
        <v>1</v>
      </c>
      <c r="E163" s="5" t="str">
        <f>_xlfn.SWITCH(recruitment_data3[[#This Row],[EducationLevel]], 1,"Bachelor Type 1", 2,"Bachelor Type 2", 3,"Masters", 4,"PhD")</f>
        <v>Bachelor Type 1</v>
      </c>
      <c r="F163" s="5">
        <v>1</v>
      </c>
      <c r="G163" s="5">
        <v>9</v>
      </c>
      <c r="H163" s="5">
        <v>1</v>
      </c>
      <c r="I163" s="5">
        <v>15.90034285968777</v>
      </c>
      <c r="J163" s="5">
        <v>77</v>
      </c>
      <c r="K163" s="5">
        <v>89</v>
      </c>
      <c r="L163" s="5">
        <v>79</v>
      </c>
      <c r="M163" s="5" t="str">
        <f>_xlfn.SWITCH(recruitment_data3[[#This Row],[RecruitmentStrategy]], 1,"Aggressive", 2,"Moderate", 3,"Conservative")</f>
        <v>Moderate</v>
      </c>
      <c r="N163" s="5">
        <v>2</v>
      </c>
      <c r="O163" s="5" t="str">
        <f>IF(recruitment_data3[[#This Row],[HiringDecision]]=1,"Hired","Rejected")</f>
        <v>Hired</v>
      </c>
      <c r="P163" s="6">
        <v>1</v>
      </c>
    </row>
    <row r="164" spans="1:16" x14ac:dyDescent="0.25">
      <c r="A164" s="4" t="str">
        <f t="shared" si="2"/>
        <v>C0163</v>
      </c>
      <c r="B164" s="4">
        <v>20</v>
      </c>
      <c r="C164" s="5" t="str">
        <f>IF(recruitment_data3[[#This Row],[Gender]]=1,"Female","Male")</f>
        <v>Female</v>
      </c>
      <c r="D164" s="5">
        <v>1</v>
      </c>
      <c r="E164" s="5" t="str">
        <f>_xlfn.SWITCH(recruitment_data3[[#This Row],[EducationLevel]], 1,"Bachelor Type 1", 2,"Bachelor Type 2", 3,"Masters", 4,"PhD")</f>
        <v>Masters</v>
      </c>
      <c r="F164" s="5">
        <v>3</v>
      </c>
      <c r="G164" s="5">
        <v>2</v>
      </c>
      <c r="H164" s="5">
        <v>3</v>
      </c>
      <c r="I164" s="5">
        <v>32.273903021233068</v>
      </c>
      <c r="J164" s="5">
        <v>23</v>
      </c>
      <c r="K164" s="5">
        <v>8</v>
      </c>
      <c r="L164" s="5">
        <v>5</v>
      </c>
      <c r="M164" s="5" t="str">
        <f>_xlfn.SWITCH(recruitment_data3[[#This Row],[RecruitmentStrategy]], 1,"Aggressive", 2,"Moderate", 3,"Conservative")</f>
        <v>Aggressive</v>
      </c>
      <c r="N164" s="5">
        <v>1</v>
      </c>
      <c r="O164" s="5" t="str">
        <f>IF(recruitment_data3[[#This Row],[HiringDecision]]=1,"Hired","Rejected")</f>
        <v>Rejected</v>
      </c>
      <c r="P164" s="6">
        <v>0</v>
      </c>
    </row>
    <row r="165" spans="1:16" x14ac:dyDescent="0.25">
      <c r="A165" s="4" t="str">
        <f t="shared" si="2"/>
        <v>C0164</v>
      </c>
      <c r="B165" s="4">
        <v>35</v>
      </c>
      <c r="C165" s="5" t="str">
        <f>IF(recruitment_data3[[#This Row],[Gender]]=1,"Female","Male")</f>
        <v>Female</v>
      </c>
      <c r="D165" s="5">
        <v>1</v>
      </c>
      <c r="E165" s="5" t="str">
        <f>_xlfn.SWITCH(recruitment_data3[[#This Row],[EducationLevel]], 1,"Bachelor Type 1", 2,"Bachelor Type 2", 3,"Masters", 4,"PhD")</f>
        <v>Masters</v>
      </c>
      <c r="F165" s="5">
        <v>3</v>
      </c>
      <c r="G165" s="5">
        <v>7</v>
      </c>
      <c r="H165" s="5">
        <v>5</v>
      </c>
      <c r="I165" s="5">
        <v>8.7428787039410629</v>
      </c>
      <c r="J165" s="5">
        <v>66</v>
      </c>
      <c r="K165" s="5">
        <v>50</v>
      </c>
      <c r="L165" s="5">
        <v>54</v>
      </c>
      <c r="M165" s="5" t="str">
        <f>_xlfn.SWITCH(recruitment_data3[[#This Row],[RecruitmentStrategy]], 1,"Aggressive", 2,"Moderate", 3,"Conservative")</f>
        <v>Aggressive</v>
      </c>
      <c r="N165" s="5">
        <v>1</v>
      </c>
      <c r="O165" s="5" t="str">
        <f>IF(recruitment_data3[[#This Row],[HiringDecision]]=1,"Hired","Rejected")</f>
        <v>Hired</v>
      </c>
      <c r="P165" s="6">
        <v>1</v>
      </c>
    </row>
    <row r="166" spans="1:16" x14ac:dyDescent="0.25">
      <c r="A166" s="4" t="str">
        <f t="shared" si="2"/>
        <v>C0165</v>
      </c>
      <c r="B166" s="4">
        <v>42</v>
      </c>
      <c r="C166" s="5" t="str">
        <f>IF(recruitment_data3[[#This Row],[Gender]]=1,"Female","Male")</f>
        <v>Male</v>
      </c>
      <c r="D166" s="5">
        <v>0</v>
      </c>
      <c r="E166" s="5" t="str">
        <f>_xlfn.SWITCH(recruitment_data3[[#This Row],[EducationLevel]], 1,"Bachelor Type 1", 2,"Bachelor Type 2", 3,"Masters", 4,"PhD")</f>
        <v>Bachelor Type 2</v>
      </c>
      <c r="F166" s="5">
        <v>2</v>
      </c>
      <c r="G166" s="5">
        <v>11</v>
      </c>
      <c r="H166" s="5">
        <v>3</v>
      </c>
      <c r="I166" s="5">
        <v>19.64999177834315</v>
      </c>
      <c r="J166" s="5">
        <v>62</v>
      </c>
      <c r="K166" s="5">
        <v>15</v>
      </c>
      <c r="L166" s="5">
        <v>96</v>
      </c>
      <c r="M166" s="5" t="str">
        <f>_xlfn.SWITCH(recruitment_data3[[#This Row],[RecruitmentStrategy]], 1,"Aggressive", 2,"Moderate", 3,"Conservative")</f>
        <v>Moderate</v>
      </c>
      <c r="N166" s="5">
        <v>2</v>
      </c>
      <c r="O166" s="5" t="str">
        <f>IF(recruitment_data3[[#This Row],[HiringDecision]]=1,"Hired","Rejected")</f>
        <v>Rejected</v>
      </c>
      <c r="P166" s="6">
        <v>0</v>
      </c>
    </row>
    <row r="167" spans="1:16" x14ac:dyDescent="0.25">
      <c r="A167" s="4" t="str">
        <f t="shared" si="2"/>
        <v>C0166</v>
      </c>
      <c r="B167" s="4">
        <v>42</v>
      </c>
      <c r="C167" s="5" t="str">
        <f>IF(recruitment_data3[[#This Row],[Gender]]=1,"Female","Male")</f>
        <v>Female</v>
      </c>
      <c r="D167" s="5">
        <v>1</v>
      </c>
      <c r="E167" s="5" t="str">
        <f>_xlfn.SWITCH(recruitment_data3[[#This Row],[EducationLevel]], 1,"Bachelor Type 1", 2,"Bachelor Type 2", 3,"Masters", 4,"PhD")</f>
        <v>PhD</v>
      </c>
      <c r="F167" s="5">
        <v>4</v>
      </c>
      <c r="G167" s="5">
        <v>0</v>
      </c>
      <c r="H167" s="5">
        <v>1</v>
      </c>
      <c r="I167" s="5">
        <v>11.451851869296114</v>
      </c>
      <c r="J167" s="5">
        <v>93</v>
      </c>
      <c r="K167" s="5">
        <v>87</v>
      </c>
      <c r="L167" s="5">
        <v>43</v>
      </c>
      <c r="M167" s="5" t="str">
        <f>_xlfn.SWITCH(recruitment_data3[[#This Row],[RecruitmentStrategy]], 1,"Aggressive", 2,"Moderate", 3,"Conservative")</f>
        <v>Aggressive</v>
      </c>
      <c r="N167" s="5">
        <v>1</v>
      </c>
      <c r="O167" s="5" t="str">
        <f>IF(recruitment_data3[[#This Row],[HiringDecision]]=1,"Hired","Rejected")</f>
        <v>Hired</v>
      </c>
      <c r="P167" s="6">
        <v>1</v>
      </c>
    </row>
    <row r="168" spans="1:16" x14ac:dyDescent="0.25">
      <c r="A168" s="4" t="str">
        <f t="shared" si="2"/>
        <v>C0167</v>
      </c>
      <c r="B168" s="4">
        <v>49</v>
      </c>
      <c r="C168" s="5" t="str">
        <f>IF(recruitment_data3[[#This Row],[Gender]]=1,"Female","Male")</f>
        <v>Male</v>
      </c>
      <c r="D168" s="5">
        <v>0</v>
      </c>
      <c r="E168" s="5" t="str">
        <f>_xlfn.SWITCH(recruitment_data3[[#This Row],[EducationLevel]], 1,"Bachelor Type 1", 2,"Bachelor Type 2", 3,"Masters", 4,"PhD")</f>
        <v>Masters</v>
      </c>
      <c r="F168" s="5">
        <v>3</v>
      </c>
      <c r="G168" s="5">
        <v>10</v>
      </c>
      <c r="H168" s="5">
        <v>4</v>
      </c>
      <c r="I168" s="5">
        <v>35.789748347037275</v>
      </c>
      <c r="J168" s="5">
        <v>98</v>
      </c>
      <c r="K168" s="5">
        <v>77</v>
      </c>
      <c r="L168" s="5">
        <v>17</v>
      </c>
      <c r="M168" s="5" t="str">
        <f>_xlfn.SWITCH(recruitment_data3[[#This Row],[RecruitmentStrategy]], 1,"Aggressive", 2,"Moderate", 3,"Conservative")</f>
        <v>Aggressive</v>
      </c>
      <c r="N168" s="5">
        <v>1</v>
      </c>
      <c r="O168" s="5" t="str">
        <f>IF(recruitment_data3[[#This Row],[HiringDecision]]=1,"Hired","Rejected")</f>
        <v>Hired</v>
      </c>
      <c r="P168" s="6">
        <v>1</v>
      </c>
    </row>
    <row r="169" spans="1:16" x14ac:dyDescent="0.25">
      <c r="A169" s="4" t="str">
        <f t="shared" si="2"/>
        <v>C0168</v>
      </c>
      <c r="B169" s="4">
        <v>43</v>
      </c>
      <c r="C169" s="5" t="str">
        <f>IF(recruitment_data3[[#This Row],[Gender]]=1,"Female","Male")</f>
        <v>Female</v>
      </c>
      <c r="D169" s="5">
        <v>1</v>
      </c>
      <c r="E169" s="5" t="str">
        <f>_xlfn.SWITCH(recruitment_data3[[#This Row],[EducationLevel]], 1,"Bachelor Type 1", 2,"Bachelor Type 2", 3,"Masters", 4,"PhD")</f>
        <v>Bachelor Type 2</v>
      </c>
      <c r="F169" s="5">
        <v>2</v>
      </c>
      <c r="G169" s="5">
        <v>8</v>
      </c>
      <c r="H169" s="5">
        <v>3</v>
      </c>
      <c r="I169" s="5">
        <v>48.210441917305381</v>
      </c>
      <c r="J169" s="5">
        <v>47</v>
      </c>
      <c r="K169" s="5">
        <v>2</v>
      </c>
      <c r="L169" s="5">
        <v>15</v>
      </c>
      <c r="M169" s="5" t="str">
        <f>_xlfn.SWITCH(recruitment_data3[[#This Row],[RecruitmentStrategy]], 1,"Aggressive", 2,"Moderate", 3,"Conservative")</f>
        <v>Aggressive</v>
      </c>
      <c r="N169" s="5">
        <v>1</v>
      </c>
      <c r="O169" s="5" t="str">
        <f>IF(recruitment_data3[[#This Row],[HiringDecision]]=1,"Hired","Rejected")</f>
        <v>Rejected</v>
      </c>
      <c r="P169" s="6">
        <v>0</v>
      </c>
    </row>
    <row r="170" spans="1:16" x14ac:dyDescent="0.25">
      <c r="A170" s="4" t="str">
        <f t="shared" si="2"/>
        <v>C0169</v>
      </c>
      <c r="B170" s="4">
        <v>24</v>
      </c>
      <c r="C170" s="5" t="str">
        <f>IF(recruitment_data3[[#This Row],[Gender]]=1,"Female","Male")</f>
        <v>Male</v>
      </c>
      <c r="D170" s="5">
        <v>0</v>
      </c>
      <c r="E170" s="5" t="str">
        <f>_xlfn.SWITCH(recruitment_data3[[#This Row],[EducationLevel]], 1,"Bachelor Type 1", 2,"Bachelor Type 2", 3,"Masters", 4,"PhD")</f>
        <v>Bachelor Type 1</v>
      </c>
      <c r="F170" s="5">
        <v>1</v>
      </c>
      <c r="G170" s="5">
        <v>8</v>
      </c>
      <c r="H170" s="5">
        <v>5</v>
      </c>
      <c r="I170" s="5">
        <v>50.775548400793319</v>
      </c>
      <c r="J170" s="5">
        <v>62</v>
      </c>
      <c r="K170" s="5">
        <v>97</v>
      </c>
      <c r="L170" s="5">
        <v>11</v>
      </c>
      <c r="M170" s="5" t="str">
        <f>_xlfn.SWITCH(recruitment_data3[[#This Row],[RecruitmentStrategy]], 1,"Aggressive", 2,"Moderate", 3,"Conservative")</f>
        <v>Moderate</v>
      </c>
      <c r="N170" s="5">
        <v>2</v>
      </c>
      <c r="O170" s="5" t="str">
        <f>IF(recruitment_data3[[#This Row],[HiringDecision]]=1,"Hired","Rejected")</f>
        <v>Rejected</v>
      </c>
      <c r="P170" s="6">
        <v>0</v>
      </c>
    </row>
    <row r="171" spans="1:16" x14ac:dyDescent="0.25">
      <c r="A171" s="4" t="str">
        <f t="shared" si="2"/>
        <v>C0170</v>
      </c>
      <c r="B171" s="4">
        <v>22</v>
      </c>
      <c r="C171" s="5" t="str">
        <f>IF(recruitment_data3[[#This Row],[Gender]]=1,"Female","Male")</f>
        <v>Male</v>
      </c>
      <c r="D171" s="5">
        <v>0</v>
      </c>
      <c r="E171" s="5" t="str">
        <f>_xlfn.SWITCH(recruitment_data3[[#This Row],[EducationLevel]], 1,"Bachelor Type 1", 2,"Bachelor Type 2", 3,"Masters", 4,"PhD")</f>
        <v>Bachelor Type 2</v>
      </c>
      <c r="F171" s="5">
        <v>2</v>
      </c>
      <c r="G171" s="5">
        <v>9</v>
      </c>
      <c r="H171" s="5">
        <v>3</v>
      </c>
      <c r="I171" s="5">
        <v>23.513840522079537</v>
      </c>
      <c r="J171" s="5">
        <v>77</v>
      </c>
      <c r="K171" s="5">
        <v>96</v>
      </c>
      <c r="L171" s="5">
        <v>19</v>
      </c>
      <c r="M171" s="5" t="str">
        <f>_xlfn.SWITCH(recruitment_data3[[#This Row],[RecruitmentStrategy]], 1,"Aggressive", 2,"Moderate", 3,"Conservative")</f>
        <v>Moderate</v>
      </c>
      <c r="N171" s="5">
        <v>2</v>
      </c>
      <c r="O171" s="5" t="str">
        <f>IF(recruitment_data3[[#This Row],[HiringDecision]]=1,"Hired","Rejected")</f>
        <v>Rejected</v>
      </c>
      <c r="P171" s="6">
        <v>0</v>
      </c>
    </row>
    <row r="172" spans="1:16" x14ac:dyDescent="0.25">
      <c r="A172" s="4" t="str">
        <f t="shared" si="2"/>
        <v>C0171</v>
      </c>
      <c r="B172" s="4">
        <v>31</v>
      </c>
      <c r="C172" s="5" t="str">
        <f>IF(recruitment_data3[[#This Row],[Gender]]=1,"Female","Male")</f>
        <v>Female</v>
      </c>
      <c r="D172" s="5">
        <v>1</v>
      </c>
      <c r="E172" s="5" t="str">
        <f>_xlfn.SWITCH(recruitment_data3[[#This Row],[EducationLevel]], 1,"Bachelor Type 1", 2,"Bachelor Type 2", 3,"Masters", 4,"PhD")</f>
        <v>Bachelor Type 2</v>
      </c>
      <c r="F172" s="5">
        <v>2</v>
      </c>
      <c r="G172" s="5">
        <v>1</v>
      </c>
      <c r="H172" s="5">
        <v>2</v>
      </c>
      <c r="I172" s="5">
        <v>13.626519481822223</v>
      </c>
      <c r="J172" s="5">
        <v>11</v>
      </c>
      <c r="K172" s="5">
        <v>23</v>
      </c>
      <c r="L172" s="5">
        <v>44</v>
      </c>
      <c r="M172" s="5" t="str">
        <f>_xlfn.SWITCH(recruitment_data3[[#This Row],[RecruitmentStrategy]], 1,"Aggressive", 2,"Moderate", 3,"Conservative")</f>
        <v>Moderate</v>
      </c>
      <c r="N172" s="5">
        <v>2</v>
      </c>
      <c r="O172" s="5" t="str">
        <f>IF(recruitment_data3[[#This Row],[HiringDecision]]=1,"Hired","Rejected")</f>
        <v>Rejected</v>
      </c>
      <c r="P172" s="6">
        <v>0</v>
      </c>
    </row>
    <row r="173" spans="1:16" x14ac:dyDescent="0.25">
      <c r="A173" s="4" t="str">
        <f t="shared" si="2"/>
        <v>C0172</v>
      </c>
      <c r="B173" s="4">
        <v>27</v>
      </c>
      <c r="C173" s="5" t="str">
        <f>IF(recruitment_data3[[#This Row],[Gender]]=1,"Female","Male")</f>
        <v>Female</v>
      </c>
      <c r="D173" s="5">
        <v>1</v>
      </c>
      <c r="E173" s="5" t="str">
        <f>_xlfn.SWITCH(recruitment_data3[[#This Row],[EducationLevel]], 1,"Bachelor Type 1", 2,"Bachelor Type 2", 3,"Masters", 4,"PhD")</f>
        <v>Bachelor Type 2</v>
      </c>
      <c r="F173" s="5">
        <v>2</v>
      </c>
      <c r="G173" s="5">
        <v>3</v>
      </c>
      <c r="H173" s="5">
        <v>3</v>
      </c>
      <c r="I173" s="5">
        <v>23.141468519216208</v>
      </c>
      <c r="J173" s="5">
        <v>27</v>
      </c>
      <c r="K173" s="5">
        <v>72</v>
      </c>
      <c r="L173" s="5">
        <v>63</v>
      </c>
      <c r="M173" s="5" t="str">
        <f>_xlfn.SWITCH(recruitment_data3[[#This Row],[RecruitmentStrategy]], 1,"Aggressive", 2,"Moderate", 3,"Conservative")</f>
        <v>Aggressive</v>
      </c>
      <c r="N173" s="5">
        <v>1</v>
      </c>
      <c r="O173" s="5" t="str">
        <f>IF(recruitment_data3[[#This Row],[HiringDecision]]=1,"Hired","Rejected")</f>
        <v>Hired</v>
      </c>
      <c r="P173" s="6">
        <v>1</v>
      </c>
    </row>
    <row r="174" spans="1:16" x14ac:dyDescent="0.25">
      <c r="A174" s="4" t="str">
        <f t="shared" si="2"/>
        <v>C0173</v>
      </c>
      <c r="B174" s="4">
        <v>41</v>
      </c>
      <c r="C174" s="5" t="str">
        <f>IF(recruitment_data3[[#This Row],[Gender]]=1,"Female","Male")</f>
        <v>Female</v>
      </c>
      <c r="D174" s="5">
        <v>1</v>
      </c>
      <c r="E174" s="5" t="str">
        <f>_xlfn.SWITCH(recruitment_data3[[#This Row],[EducationLevel]], 1,"Bachelor Type 1", 2,"Bachelor Type 2", 3,"Masters", 4,"PhD")</f>
        <v>Bachelor Type 1</v>
      </c>
      <c r="F174" s="5">
        <v>1</v>
      </c>
      <c r="G174" s="5">
        <v>12</v>
      </c>
      <c r="H174" s="5">
        <v>1</v>
      </c>
      <c r="I174" s="5">
        <v>43.363470498136188</v>
      </c>
      <c r="J174" s="5">
        <v>43</v>
      </c>
      <c r="K174" s="5">
        <v>12</v>
      </c>
      <c r="L174" s="5">
        <v>58</v>
      </c>
      <c r="M174" s="5" t="str">
        <f>_xlfn.SWITCH(recruitment_data3[[#This Row],[RecruitmentStrategy]], 1,"Aggressive", 2,"Moderate", 3,"Conservative")</f>
        <v>Moderate</v>
      </c>
      <c r="N174" s="5">
        <v>2</v>
      </c>
      <c r="O174" s="5" t="str">
        <f>IF(recruitment_data3[[#This Row],[HiringDecision]]=1,"Hired","Rejected")</f>
        <v>Rejected</v>
      </c>
      <c r="P174" s="6">
        <v>0</v>
      </c>
    </row>
    <row r="175" spans="1:16" x14ac:dyDescent="0.25">
      <c r="A175" s="4" t="str">
        <f t="shared" si="2"/>
        <v>C0174</v>
      </c>
      <c r="B175" s="4">
        <v>46</v>
      </c>
      <c r="C175" s="5" t="str">
        <f>IF(recruitment_data3[[#This Row],[Gender]]=1,"Female","Male")</f>
        <v>Female</v>
      </c>
      <c r="D175" s="5">
        <v>1</v>
      </c>
      <c r="E175" s="5" t="str">
        <f>_xlfn.SWITCH(recruitment_data3[[#This Row],[EducationLevel]], 1,"Bachelor Type 1", 2,"Bachelor Type 2", 3,"Masters", 4,"PhD")</f>
        <v>Masters</v>
      </c>
      <c r="F175" s="5">
        <v>3</v>
      </c>
      <c r="G175" s="5">
        <v>7</v>
      </c>
      <c r="H175" s="5">
        <v>4</v>
      </c>
      <c r="I175" s="5">
        <v>11.300283927601994</v>
      </c>
      <c r="J175" s="5">
        <v>92</v>
      </c>
      <c r="K175" s="5">
        <v>1</v>
      </c>
      <c r="L175" s="5">
        <v>92</v>
      </c>
      <c r="M175" s="5" t="str">
        <f>_xlfn.SWITCH(recruitment_data3[[#This Row],[RecruitmentStrategy]], 1,"Aggressive", 2,"Moderate", 3,"Conservative")</f>
        <v>Aggressive</v>
      </c>
      <c r="N175" s="5">
        <v>1</v>
      </c>
      <c r="O175" s="5" t="str">
        <f>IF(recruitment_data3[[#This Row],[HiringDecision]]=1,"Hired","Rejected")</f>
        <v>Hired</v>
      </c>
      <c r="P175" s="6">
        <v>1</v>
      </c>
    </row>
    <row r="176" spans="1:16" x14ac:dyDescent="0.25">
      <c r="A176" s="4" t="str">
        <f t="shared" si="2"/>
        <v>C0175</v>
      </c>
      <c r="B176" s="4">
        <v>22</v>
      </c>
      <c r="C176" s="5" t="str">
        <f>IF(recruitment_data3[[#This Row],[Gender]]=1,"Female","Male")</f>
        <v>Male</v>
      </c>
      <c r="D176" s="5">
        <v>0</v>
      </c>
      <c r="E176" s="5" t="str">
        <f>_xlfn.SWITCH(recruitment_data3[[#This Row],[EducationLevel]], 1,"Bachelor Type 1", 2,"Bachelor Type 2", 3,"Masters", 4,"PhD")</f>
        <v>Bachelor Type 1</v>
      </c>
      <c r="F176" s="5">
        <v>1</v>
      </c>
      <c r="G176" s="5">
        <v>6</v>
      </c>
      <c r="H176" s="5">
        <v>4</v>
      </c>
      <c r="I176" s="5">
        <v>48.604782582646187</v>
      </c>
      <c r="J176" s="5">
        <v>42</v>
      </c>
      <c r="K176" s="5">
        <v>70</v>
      </c>
      <c r="L176" s="5">
        <v>93</v>
      </c>
      <c r="M176" s="5" t="str">
        <f>_xlfn.SWITCH(recruitment_data3[[#This Row],[RecruitmentStrategy]], 1,"Aggressive", 2,"Moderate", 3,"Conservative")</f>
        <v>Conservative</v>
      </c>
      <c r="N176" s="5">
        <v>3</v>
      </c>
      <c r="O176" s="5" t="str">
        <f>IF(recruitment_data3[[#This Row],[HiringDecision]]=1,"Hired","Rejected")</f>
        <v>Rejected</v>
      </c>
      <c r="P176" s="6">
        <v>0</v>
      </c>
    </row>
    <row r="177" spans="1:16" x14ac:dyDescent="0.25">
      <c r="A177" s="4" t="str">
        <f t="shared" si="2"/>
        <v>C0176</v>
      </c>
      <c r="B177" s="4">
        <v>20</v>
      </c>
      <c r="C177" s="5" t="str">
        <f>IF(recruitment_data3[[#This Row],[Gender]]=1,"Female","Male")</f>
        <v>Female</v>
      </c>
      <c r="D177" s="5">
        <v>1</v>
      </c>
      <c r="E177" s="5" t="str">
        <f>_xlfn.SWITCH(recruitment_data3[[#This Row],[EducationLevel]], 1,"Bachelor Type 1", 2,"Bachelor Type 2", 3,"Masters", 4,"PhD")</f>
        <v>Bachelor Type 2</v>
      </c>
      <c r="F177" s="5">
        <v>2</v>
      </c>
      <c r="G177" s="5">
        <v>0</v>
      </c>
      <c r="H177" s="5">
        <v>1</v>
      </c>
      <c r="I177" s="5">
        <v>18.09328843990755</v>
      </c>
      <c r="J177" s="5">
        <v>16</v>
      </c>
      <c r="K177" s="5">
        <v>20</v>
      </c>
      <c r="L177" s="5">
        <v>89</v>
      </c>
      <c r="M177" s="5" t="str">
        <f>_xlfn.SWITCH(recruitment_data3[[#This Row],[RecruitmentStrategy]], 1,"Aggressive", 2,"Moderate", 3,"Conservative")</f>
        <v>Moderate</v>
      </c>
      <c r="N177" s="5">
        <v>2</v>
      </c>
      <c r="O177" s="5" t="str">
        <f>IF(recruitment_data3[[#This Row],[HiringDecision]]=1,"Hired","Rejected")</f>
        <v>Rejected</v>
      </c>
      <c r="P177" s="6">
        <v>0</v>
      </c>
    </row>
    <row r="178" spans="1:16" x14ac:dyDescent="0.25">
      <c r="A178" s="4" t="str">
        <f t="shared" si="2"/>
        <v>C0177</v>
      </c>
      <c r="B178" s="4">
        <v>22</v>
      </c>
      <c r="C178" s="5" t="str">
        <f>IF(recruitment_data3[[#This Row],[Gender]]=1,"Female","Male")</f>
        <v>Female</v>
      </c>
      <c r="D178" s="5">
        <v>1</v>
      </c>
      <c r="E178" s="5" t="str">
        <f>_xlfn.SWITCH(recruitment_data3[[#This Row],[EducationLevel]], 1,"Bachelor Type 1", 2,"Bachelor Type 2", 3,"Masters", 4,"PhD")</f>
        <v>PhD</v>
      </c>
      <c r="F178" s="5">
        <v>4</v>
      </c>
      <c r="G178" s="5">
        <v>4</v>
      </c>
      <c r="H178" s="5">
        <v>2</v>
      </c>
      <c r="I178" s="5">
        <v>50.290182972515247</v>
      </c>
      <c r="J178" s="5">
        <v>39</v>
      </c>
      <c r="K178" s="5">
        <v>18</v>
      </c>
      <c r="L178" s="5">
        <v>21</v>
      </c>
      <c r="M178" s="5" t="str">
        <f>_xlfn.SWITCH(recruitment_data3[[#This Row],[RecruitmentStrategy]], 1,"Aggressive", 2,"Moderate", 3,"Conservative")</f>
        <v>Moderate</v>
      </c>
      <c r="N178" s="5">
        <v>2</v>
      </c>
      <c r="O178" s="5" t="str">
        <f>IF(recruitment_data3[[#This Row],[HiringDecision]]=1,"Hired","Rejected")</f>
        <v>Rejected</v>
      </c>
      <c r="P178" s="6">
        <v>0</v>
      </c>
    </row>
    <row r="179" spans="1:16" x14ac:dyDescent="0.25">
      <c r="A179" s="4" t="str">
        <f t="shared" si="2"/>
        <v>C0178</v>
      </c>
      <c r="B179" s="4">
        <v>24</v>
      </c>
      <c r="C179" s="5" t="str">
        <f>IF(recruitment_data3[[#This Row],[Gender]]=1,"Female","Male")</f>
        <v>Female</v>
      </c>
      <c r="D179" s="5">
        <v>1</v>
      </c>
      <c r="E179" s="5" t="str">
        <f>_xlfn.SWITCH(recruitment_data3[[#This Row],[EducationLevel]], 1,"Bachelor Type 1", 2,"Bachelor Type 2", 3,"Masters", 4,"PhD")</f>
        <v>Masters</v>
      </c>
      <c r="F179" s="5">
        <v>3</v>
      </c>
      <c r="G179" s="5">
        <v>6</v>
      </c>
      <c r="H179" s="5">
        <v>1</v>
      </c>
      <c r="I179" s="5">
        <v>42.930444376698112</v>
      </c>
      <c r="J179" s="5">
        <v>48</v>
      </c>
      <c r="K179" s="5">
        <v>88</v>
      </c>
      <c r="L179" s="5">
        <v>96</v>
      </c>
      <c r="M179" s="5" t="str">
        <f>_xlfn.SWITCH(recruitment_data3[[#This Row],[RecruitmentStrategy]], 1,"Aggressive", 2,"Moderate", 3,"Conservative")</f>
        <v>Aggressive</v>
      </c>
      <c r="N179" s="5">
        <v>1</v>
      </c>
      <c r="O179" s="5" t="str">
        <f>IF(recruitment_data3[[#This Row],[HiringDecision]]=1,"Hired","Rejected")</f>
        <v>Hired</v>
      </c>
      <c r="P179" s="6">
        <v>1</v>
      </c>
    </row>
    <row r="180" spans="1:16" x14ac:dyDescent="0.25">
      <c r="A180" s="4" t="str">
        <f t="shared" si="2"/>
        <v>C0179</v>
      </c>
      <c r="B180" s="4">
        <v>34</v>
      </c>
      <c r="C180" s="5" t="str">
        <f>IF(recruitment_data3[[#This Row],[Gender]]=1,"Female","Male")</f>
        <v>Male</v>
      </c>
      <c r="D180" s="5">
        <v>0</v>
      </c>
      <c r="E180" s="5" t="str">
        <f>_xlfn.SWITCH(recruitment_data3[[#This Row],[EducationLevel]], 1,"Bachelor Type 1", 2,"Bachelor Type 2", 3,"Masters", 4,"PhD")</f>
        <v>Bachelor Type 2</v>
      </c>
      <c r="F180" s="5">
        <v>2</v>
      </c>
      <c r="G180" s="5">
        <v>14</v>
      </c>
      <c r="H180" s="5">
        <v>3</v>
      </c>
      <c r="I180" s="5">
        <v>41.428526707369514</v>
      </c>
      <c r="J180" s="5">
        <v>84</v>
      </c>
      <c r="K180" s="5">
        <v>46</v>
      </c>
      <c r="L180" s="5">
        <v>46</v>
      </c>
      <c r="M180" s="5" t="str">
        <f>_xlfn.SWITCH(recruitment_data3[[#This Row],[RecruitmentStrategy]], 1,"Aggressive", 2,"Moderate", 3,"Conservative")</f>
        <v>Aggressive</v>
      </c>
      <c r="N180" s="5">
        <v>1</v>
      </c>
      <c r="O180" s="5" t="str">
        <f>IF(recruitment_data3[[#This Row],[HiringDecision]]=1,"Hired","Rejected")</f>
        <v>Hired</v>
      </c>
      <c r="P180" s="6">
        <v>1</v>
      </c>
    </row>
    <row r="181" spans="1:16" x14ac:dyDescent="0.25">
      <c r="A181" s="4" t="str">
        <f t="shared" si="2"/>
        <v>C0180</v>
      </c>
      <c r="B181" s="4">
        <v>33</v>
      </c>
      <c r="C181" s="5" t="str">
        <f>IF(recruitment_data3[[#This Row],[Gender]]=1,"Female","Male")</f>
        <v>Male</v>
      </c>
      <c r="D181" s="5">
        <v>0</v>
      </c>
      <c r="E181" s="5" t="str">
        <f>_xlfn.SWITCH(recruitment_data3[[#This Row],[EducationLevel]], 1,"Bachelor Type 1", 2,"Bachelor Type 2", 3,"Masters", 4,"PhD")</f>
        <v>Masters</v>
      </c>
      <c r="F181" s="5">
        <v>3</v>
      </c>
      <c r="G181" s="5">
        <v>15</v>
      </c>
      <c r="H181" s="5">
        <v>1</v>
      </c>
      <c r="I181" s="5">
        <v>16.895233688664177</v>
      </c>
      <c r="J181" s="5">
        <v>56</v>
      </c>
      <c r="K181" s="5">
        <v>21</v>
      </c>
      <c r="L181" s="5">
        <v>28</v>
      </c>
      <c r="M181" s="5" t="str">
        <f>_xlfn.SWITCH(recruitment_data3[[#This Row],[RecruitmentStrategy]], 1,"Aggressive", 2,"Moderate", 3,"Conservative")</f>
        <v>Moderate</v>
      </c>
      <c r="N181" s="5">
        <v>2</v>
      </c>
      <c r="O181" s="5" t="str">
        <f>IF(recruitment_data3[[#This Row],[HiringDecision]]=1,"Hired","Rejected")</f>
        <v>Rejected</v>
      </c>
      <c r="P181" s="6">
        <v>0</v>
      </c>
    </row>
    <row r="182" spans="1:16" x14ac:dyDescent="0.25">
      <c r="A182" s="4" t="str">
        <f t="shared" si="2"/>
        <v>C0181</v>
      </c>
      <c r="B182" s="4">
        <v>22</v>
      </c>
      <c r="C182" s="5" t="str">
        <f>IF(recruitment_data3[[#This Row],[Gender]]=1,"Female","Male")</f>
        <v>Female</v>
      </c>
      <c r="D182" s="5">
        <v>1</v>
      </c>
      <c r="E182" s="5" t="str">
        <f>_xlfn.SWITCH(recruitment_data3[[#This Row],[EducationLevel]], 1,"Bachelor Type 1", 2,"Bachelor Type 2", 3,"Masters", 4,"PhD")</f>
        <v>Bachelor Type 1</v>
      </c>
      <c r="F182" s="5">
        <v>1</v>
      </c>
      <c r="G182" s="5">
        <v>3</v>
      </c>
      <c r="H182" s="5">
        <v>1</v>
      </c>
      <c r="I182" s="5">
        <v>1.4388605973964732</v>
      </c>
      <c r="J182" s="5">
        <v>86</v>
      </c>
      <c r="K182" s="5">
        <v>74</v>
      </c>
      <c r="L182" s="5">
        <v>85</v>
      </c>
      <c r="M182" s="5" t="str">
        <f>_xlfn.SWITCH(recruitment_data3[[#This Row],[RecruitmentStrategy]], 1,"Aggressive", 2,"Moderate", 3,"Conservative")</f>
        <v>Moderate</v>
      </c>
      <c r="N182" s="5">
        <v>2</v>
      </c>
      <c r="O182" s="5" t="str">
        <f>IF(recruitment_data3[[#This Row],[HiringDecision]]=1,"Hired","Rejected")</f>
        <v>Rejected</v>
      </c>
      <c r="P182" s="6">
        <v>0</v>
      </c>
    </row>
    <row r="183" spans="1:16" x14ac:dyDescent="0.25">
      <c r="A183" s="4" t="str">
        <f t="shared" si="2"/>
        <v>C0182</v>
      </c>
      <c r="B183" s="4">
        <v>20</v>
      </c>
      <c r="C183" s="5" t="str">
        <f>IF(recruitment_data3[[#This Row],[Gender]]=1,"Female","Male")</f>
        <v>Male</v>
      </c>
      <c r="D183" s="5">
        <v>0</v>
      </c>
      <c r="E183" s="5" t="str">
        <f>_xlfn.SWITCH(recruitment_data3[[#This Row],[EducationLevel]], 1,"Bachelor Type 1", 2,"Bachelor Type 2", 3,"Masters", 4,"PhD")</f>
        <v>Bachelor Type 1</v>
      </c>
      <c r="F183" s="5">
        <v>1</v>
      </c>
      <c r="G183" s="5">
        <v>14</v>
      </c>
      <c r="H183" s="5">
        <v>2</v>
      </c>
      <c r="I183" s="5">
        <v>20.106645441299392</v>
      </c>
      <c r="J183" s="5">
        <v>83</v>
      </c>
      <c r="K183" s="5">
        <v>32</v>
      </c>
      <c r="L183" s="5">
        <v>44</v>
      </c>
      <c r="M183" s="5" t="str">
        <f>_xlfn.SWITCH(recruitment_data3[[#This Row],[RecruitmentStrategy]], 1,"Aggressive", 2,"Moderate", 3,"Conservative")</f>
        <v>Aggressive</v>
      </c>
      <c r="N183" s="5">
        <v>1</v>
      </c>
      <c r="O183" s="5" t="str">
        <f>IF(recruitment_data3[[#This Row],[HiringDecision]]=1,"Hired","Rejected")</f>
        <v>Hired</v>
      </c>
      <c r="P183" s="6">
        <v>1</v>
      </c>
    </row>
    <row r="184" spans="1:16" x14ac:dyDescent="0.25">
      <c r="A184" s="4" t="str">
        <f t="shared" si="2"/>
        <v>C0183</v>
      </c>
      <c r="B184" s="4">
        <v>24</v>
      </c>
      <c r="C184" s="5" t="str">
        <f>IF(recruitment_data3[[#This Row],[Gender]]=1,"Female","Male")</f>
        <v>Female</v>
      </c>
      <c r="D184" s="5">
        <v>1</v>
      </c>
      <c r="E184" s="5" t="str">
        <f>_xlfn.SWITCH(recruitment_data3[[#This Row],[EducationLevel]], 1,"Bachelor Type 1", 2,"Bachelor Type 2", 3,"Masters", 4,"PhD")</f>
        <v>Bachelor Type 2</v>
      </c>
      <c r="F184" s="5">
        <v>2</v>
      </c>
      <c r="G184" s="5">
        <v>15</v>
      </c>
      <c r="H184" s="5">
        <v>3</v>
      </c>
      <c r="I184" s="5">
        <v>16.090468483134686</v>
      </c>
      <c r="J184" s="5">
        <v>63</v>
      </c>
      <c r="K184" s="5">
        <v>31</v>
      </c>
      <c r="L184" s="5">
        <v>76</v>
      </c>
      <c r="M184" s="5" t="str">
        <f>_xlfn.SWITCH(recruitment_data3[[#This Row],[RecruitmentStrategy]], 1,"Aggressive", 2,"Moderate", 3,"Conservative")</f>
        <v>Conservative</v>
      </c>
      <c r="N184" s="5">
        <v>3</v>
      </c>
      <c r="O184" s="5" t="str">
        <f>IF(recruitment_data3[[#This Row],[HiringDecision]]=1,"Hired","Rejected")</f>
        <v>Rejected</v>
      </c>
      <c r="P184" s="6">
        <v>0</v>
      </c>
    </row>
    <row r="185" spans="1:16" x14ac:dyDescent="0.25">
      <c r="A185" s="4" t="str">
        <f t="shared" si="2"/>
        <v>C0184</v>
      </c>
      <c r="B185" s="4">
        <v>45</v>
      </c>
      <c r="C185" s="5" t="str">
        <f>IF(recruitment_data3[[#This Row],[Gender]]=1,"Female","Male")</f>
        <v>Male</v>
      </c>
      <c r="D185" s="5">
        <v>0</v>
      </c>
      <c r="E185" s="5" t="str">
        <f>_xlfn.SWITCH(recruitment_data3[[#This Row],[EducationLevel]], 1,"Bachelor Type 1", 2,"Bachelor Type 2", 3,"Masters", 4,"PhD")</f>
        <v>Bachelor Type 2</v>
      </c>
      <c r="F185" s="5">
        <v>2</v>
      </c>
      <c r="G185" s="5">
        <v>14</v>
      </c>
      <c r="H185" s="5">
        <v>5</v>
      </c>
      <c r="I185" s="5">
        <v>2.8698495204398649</v>
      </c>
      <c r="J185" s="5">
        <v>74</v>
      </c>
      <c r="K185" s="5">
        <v>63</v>
      </c>
      <c r="L185" s="5">
        <v>8</v>
      </c>
      <c r="M185" s="5" t="str">
        <f>_xlfn.SWITCH(recruitment_data3[[#This Row],[RecruitmentStrategy]], 1,"Aggressive", 2,"Moderate", 3,"Conservative")</f>
        <v>Conservative</v>
      </c>
      <c r="N185" s="5">
        <v>3</v>
      </c>
      <c r="O185" s="5" t="str">
        <f>IF(recruitment_data3[[#This Row],[HiringDecision]]=1,"Hired","Rejected")</f>
        <v>Rejected</v>
      </c>
      <c r="P185" s="6">
        <v>0</v>
      </c>
    </row>
    <row r="186" spans="1:16" x14ac:dyDescent="0.25">
      <c r="A186" s="4" t="str">
        <f t="shared" si="2"/>
        <v>C0185</v>
      </c>
      <c r="B186" s="4">
        <v>42</v>
      </c>
      <c r="C186" s="5" t="str">
        <f>IF(recruitment_data3[[#This Row],[Gender]]=1,"Female","Male")</f>
        <v>Male</v>
      </c>
      <c r="D186" s="5">
        <v>0</v>
      </c>
      <c r="E186" s="5" t="str">
        <f>_xlfn.SWITCH(recruitment_data3[[#This Row],[EducationLevel]], 1,"Bachelor Type 1", 2,"Bachelor Type 2", 3,"Masters", 4,"PhD")</f>
        <v>Bachelor Type 2</v>
      </c>
      <c r="F186" s="5">
        <v>2</v>
      </c>
      <c r="G186" s="5">
        <v>0</v>
      </c>
      <c r="H186" s="5">
        <v>5</v>
      </c>
      <c r="I186" s="5">
        <v>26.268262825296482</v>
      </c>
      <c r="J186" s="5">
        <v>56</v>
      </c>
      <c r="K186" s="5">
        <v>84</v>
      </c>
      <c r="L186" s="5">
        <v>23</v>
      </c>
      <c r="M186" s="5" t="str">
        <f>_xlfn.SWITCH(recruitment_data3[[#This Row],[RecruitmentStrategy]], 1,"Aggressive", 2,"Moderate", 3,"Conservative")</f>
        <v>Moderate</v>
      </c>
      <c r="N186" s="5">
        <v>2</v>
      </c>
      <c r="O186" s="5" t="str">
        <f>IF(recruitment_data3[[#This Row],[HiringDecision]]=1,"Hired","Rejected")</f>
        <v>Rejected</v>
      </c>
      <c r="P186" s="6">
        <v>0</v>
      </c>
    </row>
    <row r="187" spans="1:16" x14ac:dyDescent="0.25">
      <c r="A187" s="4" t="str">
        <f t="shared" si="2"/>
        <v>C0186</v>
      </c>
      <c r="B187" s="4">
        <v>50</v>
      </c>
      <c r="C187" s="5" t="str">
        <f>IF(recruitment_data3[[#This Row],[Gender]]=1,"Female","Male")</f>
        <v>Male</v>
      </c>
      <c r="D187" s="5">
        <v>0</v>
      </c>
      <c r="E187" s="5" t="str">
        <f>_xlfn.SWITCH(recruitment_data3[[#This Row],[EducationLevel]], 1,"Bachelor Type 1", 2,"Bachelor Type 2", 3,"Masters", 4,"PhD")</f>
        <v>Bachelor Type 2</v>
      </c>
      <c r="F187" s="5">
        <v>2</v>
      </c>
      <c r="G187" s="5">
        <v>8</v>
      </c>
      <c r="H187" s="5">
        <v>4</v>
      </c>
      <c r="I187" s="5">
        <v>21.151565564136831</v>
      </c>
      <c r="J187" s="5">
        <v>97</v>
      </c>
      <c r="K187" s="5">
        <v>38</v>
      </c>
      <c r="L187" s="5">
        <v>14</v>
      </c>
      <c r="M187" s="5" t="str">
        <f>_xlfn.SWITCH(recruitment_data3[[#This Row],[RecruitmentStrategy]], 1,"Aggressive", 2,"Moderate", 3,"Conservative")</f>
        <v>Conservative</v>
      </c>
      <c r="N187" s="5">
        <v>3</v>
      </c>
      <c r="O187" s="5" t="str">
        <f>IF(recruitment_data3[[#This Row],[HiringDecision]]=1,"Hired","Rejected")</f>
        <v>Rejected</v>
      </c>
      <c r="P187" s="6">
        <v>0</v>
      </c>
    </row>
    <row r="188" spans="1:16" x14ac:dyDescent="0.25">
      <c r="A188" s="4" t="str">
        <f t="shared" si="2"/>
        <v>C0187</v>
      </c>
      <c r="B188" s="4">
        <v>33</v>
      </c>
      <c r="C188" s="5" t="str">
        <f>IF(recruitment_data3[[#This Row],[Gender]]=1,"Female","Male")</f>
        <v>Male</v>
      </c>
      <c r="D188" s="5">
        <v>0</v>
      </c>
      <c r="E188" s="5" t="str">
        <f>_xlfn.SWITCH(recruitment_data3[[#This Row],[EducationLevel]], 1,"Bachelor Type 1", 2,"Bachelor Type 2", 3,"Masters", 4,"PhD")</f>
        <v>Bachelor Type 1</v>
      </c>
      <c r="F188" s="5">
        <v>1</v>
      </c>
      <c r="G188" s="5">
        <v>13</v>
      </c>
      <c r="H188" s="5">
        <v>1</v>
      </c>
      <c r="I188" s="5">
        <v>32.727823387076242</v>
      </c>
      <c r="J188" s="5">
        <v>73</v>
      </c>
      <c r="K188" s="5">
        <v>83</v>
      </c>
      <c r="L188" s="5">
        <v>35</v>
      </c>
      <c r="M188" s="5" t="str">
        <f>_xlfn.SWITCH(recruitment_data3[[#This Row],[RecruitmentStrategy]], 1,"Aggressive", 2,"Moderate", 3,"Conservative")</f>
        <v>Aggressive</v>
      </c>
      <c r="N188" s="5">
        <v>1</v>
      </c>
      <c r="O188" s="5" t="str">
        <f>IF(recruitment_data3[[#This Row],[HiringDecision]]=1,"Hired","Rejected")</f>
        <v>Hired</v>
      </c>
      <c r="P188" s="6">
        <v>1</v>
      </c>
    </row>
    <row r="189" spans="1:16" x14ac:dyDescent="0.25">
      <c r="A189" s="4" t="str">
        <f t="shared" si="2"/>
        <v>C0188</v>
      </c>
      <c r="B189" s="4">
        <v>26</v>
      </c>
      <c r="C189" s="5" t="str">
        <f>IF(recruitment_data3[[#This Row],[Gender]]=1,"Female","Male")</f>
        <v>Female</v>
      </c>
      <c r="D189" s="5">
        <v>1</v>
      </c>
      <c r="E189" s="5" t="str">
        <f>_xlfn.SWITCH(recruitment_data3[[#This Row],[EducationLevel]], 1,"Bachelor Type 1", 2,"Bachelor Type 2", 3,"Masters", 4,"PhD")</f>
        <v>Bachelor Type 2</v>
      </c>
      <c r="F189" s="5">
        <v>2</v>
      </c>
      <c r="G189" s="5">
        <v>4</v>
      </c>
      <c r="H189" s="5">
        <v>4</v>
      </c>
      <c r="I189" s="5">
        <v>32.059316109704156</v>
      </c>
      <c r="J189" s="5">
        <v>73</v>
      </c>
      <c r="K189" s="5">
        <v>71</v>
      </c>
      <c r="L189" s="5">
        <v>12</v>
      </c>
      <c r="M189" s="5" t="str">
        <f>_xlfn.SWITCH(recruitment_data3[[#This Row],[RecruitmentStrategy]], 1,"Aggressive", 2,"Moderate", 3,"Conservative")</f>
        <v>Aggressive</v>
      </c>
      <c r="N189" s="5">
        <v>1</v>
      </c>
      <c r="O189" s="5" t="str">
        <f>IF(recruitment_data3[[#This Row],[HiringDecision]]=1,"Hired","Rejected")</f>
        <v>Hired</v>
      </c>
      <c r="P189" s="6">
        <v>1</v>
      </c>
    </row>
    <row r="190" spans="1:16" x14ac:dyDescent="0.25">
      <c r="A190" s="4" t="str">
        <f t="shared" si="2"/>
        <v>C0189</v>
      </c>
      <c r="B190" s="4">
        <v>46</v>
      </c>
      <c r="C190" s="5" t="str">
        <f>IF(recruitment_data3[[#This Row],[Gender]]=1,"Female","Male")</f>
        <v>Female</v>
      </c>
      <c r="D190" s="5">
        <v>1</v>
      </c>
      <c r="E190" s="5" t="str">
        <f>_xlfn.SWITCH(recruitment_data3[[#This Row],[EducationLevel]], 1,"Bachelor Type 1", 2,"Bachelor Type 2", 3,"Masters", 4,"PhD")</f>
        <v>Bachelor Type 2</v>
      </c>
      <c r="F190" s="5">
        <v>2</v>
      </c>
      <c r="G190" s="5">
        <v>10</v>
      </c>
      <c r="H190" s="5">
        <v>2</v>
      </c>
      <c r="I190" s="5">
        <v>7.0373317948340057</v>
      </c>
      <c r="J190" s="5">
        <v>69</v>
      </c>
      <c r="K190" s="5">
        <v>41</v>
      </c>
      <c r="L190" s="5">
        <v>90</v>
      </c>
      <c r="M190" s="5" t="str">
        <f>_xlfn.SWITCH(recruitment_data3[[#This Row],[RecruitmentStrategy]], 1,"Aggressive", 2,"Moderate", 3,"Conservative")</f>
        <v>Aggressive</v>
      </c>
      <c r="N190" s="5">
        <v>1</v>
      </c>
      <c r="O190" s="5" t="str">
        <f>IF(recruitment_data3[[#This Row],[HiringDecision]]=1,"Hired","Rejected")</f>
        <v>Hired</v>
      </c>
      <c r="P190" s="6">
        <v>1</v>
      </c>
    </row>
    <row r="191" spans="1:16" x14ac:dyDescent="0.25">
      <c r="A191" s="4" t="str">
        <f t="shared" si="2"/>
        <v>C0190</v>
      </c>
      <c r="B191" s="4">
        <v>28</v>
      </c>
      <c r="C191" s="5" t="str">
        <f>IF(recruitment_data3[[#This Row],[Gender]]=1,"Female","Male")</f>
        <v>Female</v>
      </c>
      <c r="D191" s="5">
        <v>1</v>
      </c>
      <c r="E191" s="5" t="str">
        <f>_xlfn.SWITCH(recruitment_data3[[#This Row],[EducationLevel]], 1,"Bachelor Type 1", 2,"Bachelor Type 2", 3,"Masters", 4,"PhD")</f>
        <v>Masters</v>
      </c>
      <c r="F191" s="5">
        <v>3</v>
      </c>
      <c r="G191" s="5">
        <v>15</v>
      </c>
      <c r="H191" s="5">
        <v>5</v>
      </c>
      <c r="I191" s="5">
        <v>49.848277306331127</v>
      </c>
      <c r="J191" s="5">
        <v>99</v>
      </c>
      <c r="K191" s="5">
        <v>100</v>
      </c>
      <c r="L191" s="5">
        <v>43</v>
      </c>
      <c r="M191" s="5" t="str">
        <f>_xlfn.SWITCH(recruitment_data3[[#This Row],[RecruitmentStrategy]], 1,"Aggressive", 2,"Moderate", 3,"Conservative")</f>
        <v>Moderate</v>
      </c>
      <c r="N191" s="5">
        <v>2</v>
      </c>
      <c r="O191" s="5" t="str">
        <f>IF(recruitment_data3[[#This Row],[HiringDecision]]=1,"Hired","Rejected")</f>
        <v>Hired</v>
      </c>
      <c r="P191" s="6">
        <v>1</v>
      </c>
    </row>
    <row r="192" spans="1:16" x14ac:dyDescent="0.25">
      <c r="A192" s="4" t="str">
        <f t="shared" si="2"/>
        <v>C0191</v>
      </c>
      <c r="B192" s="4">
        <v>34</v>
      </c>
      <c r="C192" s="5" t="str">
        <f>IF(recruitment_data3[[#This Row],[Gender]]=1,"Female","Male")</f>
        <v>Male</v>
      </c>
      <c r="D192" s="5">
        <v>0</v>
      </c>
      <c r="E192" s="5" t="str">
        <f>_xlfn.SWITCH(recruitment_data3[[#This Row],[EducationLevel]], 1,"Bachelor Type 1", 2,"Bachelor Type 2", 3,"Masters", 4,"PhD")</f>
        <v>Bachelor Type 2</v>
      </c>
      <c r="F192" s="5">
        <v>2</v>
      </c>
      <c r="G192" s="5">
        <v>1</v>
      </c>
      <c r="H192" s="5">
        <v>1</v>
      </c>
      <c r="I192" s="5">
        <v>10.346571472072347</v>
      </c>
      <c r="J192" s="5">
        <v>87</v>
      </c>
      <c r="K192" s="5">
        <v>8</v>
      </c>
      <c r="L192" s="5">
        <v>100</v>
      </c>
      <c r="M192" s="5" t="str">
        <f>_xlfn.SWITCH(recruitment_data3[[#This Row],[RecruitmentStrategy]], 1,"Aggressive", 2,"Moderate", 3,"Conservative")</f>
        <v>Aggressive</v>
      </c>
      <c r="N192" s="5">
        <v>1</v>
      </c>
      <c r="O192" s="5" t="str">
        <f>IF(recruitment_data3[[#This Row],[HiringDecision]]=1,"Hired","Rejected")</f>
        <v>Hired</v>
      </c>
      <c r="P192" s="6">
        <v>1</v>
      </c>
    </row>
    <row r="193" spans="1:16" x14ac:dyDescent="0.25">
      <c r="A193" s="4" t="str">
        <f t="shared" si="2"/>
        <v>C0192</v>
      </c>
      <c r="B193" s="4">
        <v>34</v>
      </c>
      <c r="C193" s="5" t="str">
        <f>IF(recruitment_data3[[#This Row],[Gender]]=1,"Female","Male")</f>
        <v>Female</v>
      </c>
      <c r="D193" s="5">
        <v>1</v>
      </c>
      <c r="E193" s="5" t="str">
        <f>_xlfn.SWITCH(recruitment_data3[[#This Row],[EducationLevel]], 1,"Bachelor Type 1", 2,"Bachelor Type 2", 3,"Masters", 4,"PhD")</f>
        <v>Bachelor Type 2</v>
      </c>
      <c r="F193" s="5">
        <v>2</v>
      </c>
      <c r="G193" s="5">
        <v>7</v>
      </c>
      <c r="H193" s="5">
        <v>2</v>
      </c>
      <c r="I193" s="5">
        <v>23.263701238235228</v>
      </c>
      <c r="J193" s="5">
        <v>75</v>
      </c>
      <c r="K193" s="5">
        <v>24</v>
      </c>
      <c r="L193" s="5">
        <v>70</v>
      </c>
      <c r="M193" s="5" t="str">
        <f>_xlfn.SWITCH(recruitment_data3[[#This Row],[RecruitmentStrategy]], 1,"Aggressive", 2,"Moderate", 3,"Conservative")</f>
        <v>Conservative</v>
      </c>
      <c r="N193" s="5">
        <v>3</v>
      </c>
      <c r="O193" s="5" t="str">
        <f>IF(recruitment_data3[[#This Row],[HiringDecision]]=1,"Hired","Rejected")</f>
        <v>Rejected</v>
      </c>
      <c r="P193" s="6">
        <v>0</v>
      </c>
    </row>
    <row r="194" spans="1:16" x14ac:dyDescent="0.25">
      <c r="A194" s="4" t="str">
        <f t="shared" ref="A194:A257" si="3">"C"&amp;TEXT(ROW()-1,"0000")</f>
        <v>C0193</v>
      </c>
      <c r="B194" s="4">
        <v>45</v>
      </c>
      <c r="C194" s="5" t="str">
        <f>IF(recruitment_data3[[#This Row],[Gender]]=1,"Female","Male")</f>
        <v>Female</v>
      </c>
      <c r="D194" s="5">
        <v>1</v>
      </c>
      <c r="E194" s="5" t="str">
        <f>_xlfn.SWITCH(recruitment_data3[[#This Row],[EducationLevel]], 1,"Bachelor Type 1", 2,"Bachelor Type 2", 3,"Masters", 4,"PhD")</f>
        <v>Bachelor Type 2</v>
      </c>
      <c r="F194" s="5">
        <v>2</v>
      </c>
      <c r="G194" s="5">
        <v>10</v>
      </c>
      <c r="H194" s="5">
        <v>2</v>
      </c>
      <c r="I194" s="5">
        <v>25.405877171686747</v>
      </c>
      <c r="J194" s="5">
        <v>42</v>
      </c>
      <c r="K194" s="5">
        <v>88</v>
      </c>
      <c r="L194" s="5">
        <v>71</v>
      </c>
      <c r="M194" s="5" t="str">
        <f>_xlfn.SWITCH(recruitment_data3[[#This Row],[RecruitmentStrategy]], 1,"Aggressive", 2,"Moderate", 3,"Conservative")</f>
        <v>Aggressive</v>
      </c>
      <c r="N194" s="5">
        <v>1</v>
      </c>
      <c r="O194" s="5" t="str">
        <f>IF(recruitment_data3[[#This Row],[HiringDecision]]=1,"Hired","Rejected")</f>
        <v>Hired</v>
      </c>
      <c r="P194" s="6">
        <v>1</v>
      </c>
    </row>
    <row r="195" spans="1:16" x14ac:dyDescent="0.25">
      <c r="A195" s="4" t="str">
        <f t="shared" si="3"/>
        <v>C0194</v>
      </c>
      <c r="B195" s="4">
        <v>29</v>
      </c>
      <c r="C195" s="5" t="str">
        <f>IF(recruitment_data3[[#This Row],[Gender]]=1,"Female","Male")</f>
        <v>Female</v>
      </c>
      <c r="D195" s="5">
        <v>1</v>
      </c>
      <c r="E195" s="5" t="str">
        <f>_xlfn.SWITCH(recruitment_data3[[#This Row],[EducationLevel]], 1,"Bachelor Type 1", 2,"Bachelor Type 2", 3,"Masters", 4,"PhD")</f>
        <v>Bachelor Type 1</v>
      </c>
      <c r="F195" s="5">
        <v>1</v>
      </c>
      <c r="G195" s="5">
        <v>12</v>
      </c>
      <c r="H195" s="5">
        <v>1</v>
      </c>
      <c r="I195" s="5">
        <v>41.653139860706005</v>
      </c>
      <c r="J195" s="5">
        <v>22</v>
      </c>
      <c r="K195" s="5">
        <v>96</v>
      </c>
      <c r="L195" s="5">
        <v>100</v>
      </c>
      <c r="M195" s="5" t="str">
        <f>_xlfn.SWITCH(recruitment_data3[[#This Row],[RecruitmentStrategy]], 1,"Aggressive", 2,"Moderate", 3,"Conservative")</f>
        <v>Moderate</v>
      </c>
      <c r="N195" s="5">
        <v>2</v>
      </c>
      <c r="O195" s="5" t="str">
        <f>IF(recruitment_data3[[#This Row],[HiringDecision]]=1,"Hired","Rejected")</f>
        <v>Rejected</v>
      </c>
      <c r="P195" s="6">
        <v>0</v>
      </c>
    </row>
    <row r="196" spans="1:16" x14ac:dyDescent="0.25">
      <c r="A196" s="4" t="str">
        <f t="shared" si="3"/>
        <v>C0195</v>
      </c>
      <c r="B196" s="4">
        <v>47</v>
      </c>
      <c r="C196" s="5" t="str">
        <f>IF(recruitment_data3[[#This Row],[Gender]]=1,"Female","Male")</f>
        <v>Male</v>
      </c>
      <c r="D196" s="5">
        <v>0</v>
      </c>
      <c r="E196" s="5" t="str">
        <f>_xlfn.SWITCH(recruitment_data3[[#This Row],[EducationLevel]], 1,"Bachelor Type 1", 2,"Bachelor Type 2", 3,"Masters", 4,"PhD")</f>
        <v>Bachelor Type 1</v>
      </c>
      <c r="F196" s="5">
        <v>1</v>
      </c>
      <c r="G196" s="5">
        <v>1</v>
      </c>
      <c r="H196" s="5">
        <v>2</v>
      </c>
      <c r="I196" s="5">
        <v>5.9614798047323383</v>
      </c>
      <c r="J196" s="5">
        <v>26</v>
      </c>
      <c r="K196" s="5">
        <v>1</v>
      </c>
      <c r="L196" s="5">
        <v>77</v>
      </c>
      <c r="M196" s="5" t="str">
        <f>_xlfn.SWITCH(recruitment_data3[[#This Row],[RecruitmentStrategy]], 1,"Aggressive", 2,"Moderate", 3,"Conservative")</f>
        <v>Conservative</v>
      </c>
      <c r="N196" s="5">
        <v>3</v>
      </c>
      <c r="O196" s="5" t="str">
        <f>IF(recruitment_data3[[#This Row],[HiringDecision]]=1,"Hired","Rejected")</f>
        <v>Rejected</v>
      </c>
      <c r="P196" s="6">
        <v>0</v>
      </c>
    </row>
    <row r="197" spans="1:16" x14ac:dyDescent="0.25">
      <c r="A197" s="4" t="str">
        <f t="shared" si="3"/>
        <v>C0196</v>
      </c>
      <c r="B197" s="4">
        <v>32</v>
      </c>
      <c r="C197" s="5" t="str">
        <f>IF(recruitment_data3[[#This Row],[Gender]]=1,"Female","Male")</f>
        <v>Male</v>
      </c>
      <c r="D197" s="5">
        <v>0</v>
      </c>
      <c r="E197" s="5" t="str">
        <f>_xlfn.SWITCH(recruitment_data3[[#This Row],[EducationLevel]], 1,"Bachelor Type 1", 2,"Bachelor Type 2", 3,"Masters", 4,"PhD")</f>
        <v>Masters</v>
      </c>
      <c r="F197" s="5">
        <v>3</v>
      </c>
      <c r="G197" s="5">
        <v>2</v>
      </c>
      <c r="H197" s="5">
        <v>1</v>
      </c>
      <c r="I197" s="5">
        <v>22.432213960426587</v>
      </c>
      <c r="J197" s="5">
        <v>57</v>
      </c>
      <c r="K197" s="5">
        <v>18</v>
      </c>
      <c r="L197" s="5">
        <v>75</v>
      </c>
      <c r="M197" s="5" t="str">
        <f>_xlfn.SWITCH(recruitment_data3[[#This Row],[RecruitmentStrategy]], 1,"Aggressive", 2,"Moderate", 3,"Conservative")</f>
        <v>Aggressive</v>
      </c>
      <c r="N197" s="5">
        <v>1</v>
      </c>
      <c r="O197" s="5" t="str">
        <f>IF(recruitment_data3[[#This Row],[HiringDecision]]=1,"Hired","Rejected")</f>
        <v>Hired</v>
      </c>
      <c r="P197" s="6">
        <v>1</v>
      </c>
    </row>
    <row r="198" spans="1:16" x14ac:dyDescent="0.25">
      <c r="A198" s="4" t="str">
        <f t="shared" si="3"/>
        <v>C0197</v>
      </c>
      <c r="B198" s="4">
        <v>38</v>
      </c>
      <c r="C198" s="5" t="str">
        <f>IF(recruitment_data3[[#This Row],[Gender]]=1,"Female","Male")</f>
        <v>Male</v>
      </c>
      <c r="D198" s="5">
        <v>0</v>
      </c>
      <c r="E198" s="5" t="str">
        <f>_xlfn.SWITCH(recruitment_data3[[#This Row],[EducationLevel]], 1,"Bachelor Type 1", 2,"Bachelor Type 2", 3,"Masters", 4,"PhD")</f>
        <v>Bachelor Type 2</v>
      </c>
      <c r="F198" s="5">
        <v>2</v>
      </c>
      <c r="G198" s="5">
        <v>13</v>
      </c>
      <c r="H198" s="5">
        <v>1</v>
      </c>
      <c r="I198" s="5">
        <v>32.425108511810194</v>
      </c>
      <c r="J198" s="5">
        <v>36</v>
      </c>
      <c r="K198" s="5">
        <v>19</v>
      </c>
      <c r="L198" s="5">
        <v>35</v>
      </c>
      <c r="M198" s="5" t="str">
        <f>_xlfn.SWITCH(recruitment_data3[[#This Row],[RecruitmentStrategy]], 1,"Aggressive", 2,"Moderate", 3,"Conservative")</f>
        <v>Aggressive</v>
      </c>
      <c r="N198" s="5">
        <v>1</v>
      </c>
      <c r="O198" s="5" t="str">
        <f>IF(recruitment_data3[[#This Row],[HiringDecision]]=1,"Hired","Rejected")</f>
        <v>Rejected</v>
      </c>
      <c r="P198" s="6">
        <v>0</v>
      </c>
    </row>
    <row r="199" spans="1:16" x14ac:dyDescent="0.25">
      <c r="A199" s="4" t="str">
        <f t="shared" si="3"/>
        <v>C0198</v>
      </c>
      <c r="B199" s="4">
        <v>50</v>
      </c>
      <c r="C199" s="5" t="str">
        <f>IF(recruitment_data3[[#This Row],[Gender]]=1,"Female","Male")</f>
        <v>Female</v>
      </c>
      <c r="D199" s="5">
        <v>1</v>
      </c>
      <c r="E199" s="5" t="str">
        <f>_xlfn.SWITCH(recruitment_data3[[#This Row],[EducationLevel]], 1,"Bachelor Type 1", 2,"Bachelor Type 2", 3,"Masters", 4,"PhD")</f>
        <v>Bachelor Type 1</v>
      </c>
      <c r="F199" s="5">
        <v>1</v>
      </c>
      <c r="G199" s="5">
        <v>9</v>
      </c>
      <c r="H199" s="5">
        <v>3</v>
      </c>
      <c r="I199" s="5">
        <v>11.757781081202777</v>
      </c>
      <c r="J199" s="5">
        <v>5</v>
      </c>
      <c r="K199" s="5">
        <v>92</v>
      </c>
      <c r="L199" s="5">
        <v>60</v>
      </c>
      <c r="M199" s="5" t="str">
        <f>_xlfn.SWITCH(recruitment_data3[[#This Row],[RecruitmentStrategy]], 1,"Aggressive", 2,"Moderate", 3,"Conservative")</f>
        <v>Moderate</v>
      </c>
      <c r="N199" s="5">
        <v>2</v>
      </c>
      <c r="O199" s="5" t="str">
        <f>IF(recruitment_data3[[#This Row],[HiringDecision]]=1,"Hired","Rejected")</f>
        <v>Rejected</v>
      </c>
      <c r="P199" s="6">
        <v>0</v>
      </c>
    </row>
    <row r="200" spans="1:16" x14ac:dyDescent="0.25">
      <c r="A200" s="4" t="str">
        <f t="shared" si="3"/>
        <v>C0199</v>
      </c>
      <c r="B200" s="4">
        <v>26</v>
      </c>
      <c r="C200" s="5" t="str">
        <f>IF(recruitment_data3[[#This Row],[Gender]]=1,"Female","Male")</f>
        <v>Female</v>
      </c>
      <c r="D200" s="5">
        <v>1</v>
      </c>
      <c r="E200" s="5" t="str">
        <f>_xlfn.SWITCH(recruitment_data3[[#This Row],[EducationLevel]], 1,"Bachelor Type 1", 2,"Bachelor Type 2", 3,"Masters", 4,"PhD")</f>
        <v>Bachelor Type 2</v>
      </c>
      <c r="F200" s="5">
        <v>2</v>
      </c>
      <c r="G200" s="5">
        <v>0</v>
      </c>
      <c r="H200" s="5">
        <v>4</v>
      </c>
      <c r="I200" s="5">
        <v>32.37339493830364</v>
      </c>
      <c r="J200" s="5">
        <v>64</v>
      </c>
      <c r="K200" s="5">
        <v>69</v>
      </c>
      <c r="L200" s="5">
        <v>80</v>
      </c>
      <c r="M200" s="5" t="str">
        <f>_xlfn.SWITCH(recruitment_data3[[#This Row],[RecruitmentStrategy]], 1,"Aggressive", 2,"Moderate", 3,"Conservative")</f>
        <v>Aggressive</v>
      </c>
      <c r="N200" s="5">
        <v>1</v>
      </c>
      <c r="O200" s="5" t="str">
        <f>IF(recruitment_data3[[#This Row],[HiringDecision]]=1,"Hired","Rejected")</f>
        <v>Hired</v>
      </c>
      <c r="P200" s="6">
        <v>1</v>
      </c>
    </row>
    <row r="201" spans="1:16" x14ac:dyDescent="0.25">
      <c r="A201" s="4" t="str">
        <f t="shared" si="3"/>
        <v>C0200</v>
      </c>
      <c r="B201" s="4">
        <v>36</v>
      </c>
      <c r="C201" s="5" t="str">
        <f>IF(recruitment_data3[[#This Row],[Gender]]=1,"Female","Male")</f>
        <v>Female</v>
      </c>
      <c r="D201" s="5">
        <v>1</v>
      </c>
      <c r="E201" s="5" t="str">
        <f>_xlfn.SWITCH(recruitment_data3[[#This Row],[EducationLevel]], 1,"Bachelor Type 1", 2,"Bachelor Type 2", 3,"Masters", 4,"PhD")</f>
        <v>Bachelor Type 2</v>
      </c>
      <c r="F201" s="5">
        <v>2</v>
      </c>
      <c r="G201" s="5">
        <v>10</v>
      </c>
      <c r="H201" s="5">
        <v>2</v>
      </c>
      <c r="I201" s="5">
        <v>47.183241877482637</v>
      </c>
      <c r="J201" s="5">
        <v>5</v>
      </c>
      <c r="K201" s="5">
        <v>16</v>
      </c>
      <c r="L201" s="5">
        <v>39</v>
      </c>
      <c r="M201" s="5" t="str">
        <f>_xlfn.SWITCH(recruitment_data3[[#This Row],[RecruitmentStrategy]], 1,"Aggressive", 2,"Moderate", 3,"Conservative")</f>
        <v>Aggressive</v>
      </c>
      <c r="N201" s="5">
        <v>1</v>
      </c>
      <c r="O201" s="5" t="str">
        <f>IF(recruitment_data3[[#This Row],[HiringDecision]]=1,"Hired","Rejected")</f>
        <v>Rejected</v>
      </c>
      <c r="P201" s="6">
        <v>0</v>
      </c>
    </row>
    <row r="202" spans="1:16" x14ac:dyDescent="0.25">
      <c r="A202" s="4" t="str">
        <f t="shared" si="3"/>
        <v>C0201</v>
      </c>
      <c r="B202" s="4">
        <v>39</v>
      </c>
      <c r="C202" s="5" t="str">
        <f>IF(recruitment_data3[[#This Row],[Gender]]=1,"Female","Male")</f>
        <v>Male</v>
      </c>
      <c r="D202" s="5">
        <v>0</v>
      </c>
      <c r="E202" s="5" t="str">
        <f>_xlfn.SWITCH(recruitment_data3[[#This Row],[EducationLevel]], 1,"Bachelor Type 1", 2,"Bachelor Type 2", 3,"Masters", 4,"PhD")</f>
        <v>Bachelor Type 2</v>
      </c>
      <c r="F202" s="5">
        <v>2</v>
      </c>
      <c r="G202" s="5">
        <v>15</v>
      </c>
      <c r="H202" s="5">
        <v>2</v>
      </c>
      <c r="I202" s="5">
        <v>50.875906558633751</v>
      </c>
      <c r="J202" s="5">
        <v>49</v>
      </c>
      <c r="K202" s="5">
        <v>88</v>
      </c>
      <c r="L202" s="5">
        <v>92</v>
      </c>
      <c r="M202" s="5" t="str">
        <f>_xlfn.SWITCH(recruitment_data3[[#This Row],[RecruitmentStrategy]], 1,"Aggressive", 2,"Moderate", 3,"Conservative")</f>
        <v>Aggressive</v>
      </c>
      <c r="N202" s="5">
        <v>1</v>
      </c>
      <c r="O202" s="5" t="str">
        <f>IF(recruitment_data3[[#This Row],[HiringDecision]]=1,"Hired","Rejected")</f>
        <v>Hired</v>
      </c>
      <c r="P202" s="6">
        <v>1</v>
      </c>
    </row>
    <row r="203" spans="1:16" x14ac:dyDescent="0.25">
      <c r="A203" s="4" t="str">
        <f t="shared" si="3"/>
        <v>C0202</v>
      </c>
      <c r="B203" s="4">
        <v>48</v>
      </c>
      <c r="C203" s="5" t="str">
        <f>IF(recruitment_data3[[#This Row],[Gender]]=1,"Female","Male")</f>
        <v>Male</v>
      </c>
      <c r="D203" s="5">
        <v>0</v>
      </c>
      <c r="E203" s="5" t="str">
        <f>_xlfn.SWITCH(recruitment_data3[[#This Row],[EducationLevel]], 1,"Bachelor Type 1", 2,"Bachelor Type 2", 3,"Masters", 4,"PhD")</f>
        <v>Bachelor Type 2</v>
      </c>
      <c r="F203" s="5">
        <v>2</v>
      </c>
      <c r="G203" s="5">
        <v>1</v>
      </c>
      <c r="H203" s="5">
        <v>3</v>
      </c>
      <c r="I203" s="5">
        <v>2.6225538395337855</v>
      </c>
      <c r="J203" s="5">
        <v>21</v>
      </c>
      <c r="K203" s="5">
        <v>67</v>
      </c>
      <c r="L203" s="5">
        <v>26</v>
      </c>
      <c r="M203" s="5" t="str">
        <f>_xlfn.SWITCH(recruitment_data3[[#This Row],[RecruitmentStrategy]], 1,"Aggressive", 2,"Moderate", 3,"Conservative")</f>
        <v>Moderate</v>
      </c>
      <c r="N203" s="5">
        <v>2</v>
      </c>
      <c r="O203" s="5" t="str">
        <f>IF(recruitment_data3[[#This Row],[HiringDecision]]=1,"Hired","Rejected")</f>
        <v>Rejected</v>
      </c>
      <c r="P203" s="6">
        <v>0</v>
      </c>
    </row>
    <row r="204" spans="1:16" x14ac:dyDescent="0.25">
      <c r="A204" s="4" t="str">
        <f t="shared" si="3"/>
        <v>C0203</v>
      </c>
      <c r="B204" s="4">
        <v>23</v>
      </c>
      <c r="C204" s="5" t="str">
        <f>IF(recruitment_data3[[#This Row],[Gender]]=1,"Female","Male")</f>
        <v>Female</v>
      </c>
      <c r="D204" s="5">
        <v>1</v>
      </c>
      <c r="E204" s="5" t="str">
        <f>_xlfn.SWITCH(recruitment_data3[[#This Row],[EducationLevel]], 1,"Bachelor Type 1", 2,"Bachelor Type 2", 3,"Masters", 4,"PhD")</f>
        <v>Bachelor Type 2</v>
      </c>
      <c r="F204" s="5">
        <v>2</v>
      </c>
      <c r="G204" s="5">
        <v>13</v>
      </c>
      <c r="H204" s="5">
        <v>3</v>
      </c>
      <c r="I204" s="5">
        <v>12.779411412233875</v>
      </c>
      <c r="J204" s="5">
        <v>87</v>
      </c>
      <c r="K204" s="5">
        <v>93</v>
      </c>
      <c r="L204" s="5">
        <v>0</v>
      </c>
      <c r="M204" s="5" t="str">
        <f>_xlfn.SWITCH(recruitment_data3[[#This Row],[RecruitmentStrategy]], 1,"Aggressive", 2,"Moderate", 3,"Conservative")</f>
        <v>Conservative</v>
      </c>
      <c r="N204" s="5">
        <v>3</v>
      </c>
      <c r="O204" s="5" t="str">
        <f>IF(recruitment_data3[[#This Row],[HiringDecision]]=1,"Hired","Rejected")</f>
        <v>Rejected</v>
      </c>
      <c r="P204" s="6">
        <v>0</v>
      </c>
    </row>
    <row r="205" spans="1:16" x14ac:dyDescent="0.25">
      <c r="A205" s="4" t="str">
        <f t="shared" si="3"/>
        <v>C0204</v>
      </c>
      <c r="B205" s="4">
        <v>49</v>
      </c>
      <c r="C205" s="5" t="str">
        <f>IF(recruitment_data3[[#This Row],[Gender]]=1,"Female","Male")</f>
        <v>Male</v>
      </c>
      <c r="D205" s="5">
        <v>0</v>
      </c>
      <c r="E205" s="5" t="str">
        <f>_xlfn.SWITCH(recruitment_data3[[#This Row],[EducationLevel]], 1,"Bachelor Type 1", 2,"Bachelor Type 2", 3,"Masters", 4,"PhD")</f>
        <v>Bachelor Type 2</v>
      </c>
      <c r="F205" s="5">
        <v>2</v>
      </c>
      <c r="G205" s="5">
        <v>15</v>
      </c>
      <c r="H205" s="5">
        <v>3</v>
      </c>
      <c r="I205" s="5">
        <v>16.515355789584873</v>
      </c>
      <c r="J205" s="5">
        <v>24</v>
      </c>
      <c r="K205" s="5">
        <v>83</v>
      </c>
      <c r="L205" s="5">
        <v>33</v>
      </c>
      <c r="M205" s="5" t="str">
        <f>_xlfn.SWITCH(recruitment_data3[[#This Row],[RecruitmentStrategy]], 1,"Aggressive", 2,"Moderate", 3,"Conservative")</f>
        <v>Conservative</v>
      </c>
      <c r="N205" s="5">
        <v>3</v>
      </c>
      <c r="O205" s="5" t="str">
        <f>IF(recruitment_data3[[#This Row],[HiringDecision]]=1,"Hired","Rejected")</f>
        <v>Rejected</v>
      </c>
      <c r="P205" s="6">
        <v>0</v>
      </c>
    </row>
    <row r="206" spans="1:16" x14ac:dyDescent="0.25">
      <c r="A206" s="4" t="str">
        <f t="shared" si="3"/>
        <v>C0205</v>
      </c>
      <c r="B206" s="4">
        <v>24</v>
      </c>
      <c r="C206" s="5" t="str">
        <f>IF(recruitment_data3[[#This Row],[Gender]]=1,"Female","Male")</f>
        <v>Male</v>
      </c>
      <c r="D206" s="5">
        <v>0</v>
      </c>
      <c r="E206" s="5" t="str">
        <f>_xlfn.SWITCH(recruitment_data3[[#This Row],[EducationLevel]], 1,"Bachelor Type 1", 2,"Bachelor Type 2", 3,"Masters", 4,"PhD")</f>
        <v>Bachelor Type 1</v>
      </c>
      <c r="F206" s="5">
        <v>1</v>
      </c>
      <c r="G206" s="5">
        <v>6</v>
      </c>
      <c r="H206" s="5">
        <v>5</v>
      </c>
      <c r="I206" s="5">
        <v>20.956305022248305</v>
      </c>
      <c r="J206" s="5">
        <v>78</v>
      </c>
      <c r="K206" s="5">
        <v>2</v>
      </c>
      <c r="L206" s="5">
        <v>67</v>
      </c>
      <c r="M206" s="5" t="str">
        <f>_xlfn.SWITCH(recruitment_data3[[#This Row],[RecruitmentStrategy]], 1,"Aggressive", 2,"Moderate", 3,"Conservative")</f>
        <v>Aggressive</v>
      </c>
      <c r="N206" s="5">
        <v>1</v>
      </c>
      <c r="O206" s="5" t="str">
        <f>IF(recruitment_data3[[#This Row],[HiringDecision]]=1,"Hired","Rejected")</f>
        <v>Hired</v>
      </c>
      <c r="P206" s="6">
        <v>1</v>
      </c>
    </row>
    <row r="207" spans="1:16" x14ac:dyDescent="0.25">
      <c r="A207" s="4" t="str">
        <f t="shared" si="3"/>
        <v>C0206</v>
      </c>
      <c r="B207" s="4">
        <v>42</v>
      </c>
      <c r="C207" s="5" t="str">
        <f>IF(recruitment_data3[[#This Row],[Gender]]=1,"Female","Male")</f>
        <v>Male</v>
      </c>
      <c r="D207" s="5">
        <v>0</v>
      </c>
      <c r="E207" s="5" t="str">
        <f>_xlfn.SWITCH(recruitment_data3[[#This Row],[EducationLevel]], 1,"Bachelor Type 1", 2,"Bachelor Type 2", 3,"Masters", 4,"PhD")</f>
        <v>Bachelor Type 2</v>
      </c>
      <c r="F207" s="5">
        <v>2</v>
      </c>
      <c r="G207" s="5">
        <v>9</v>
      </c>
      <c r="H207" s="5">
        <v>5</v>
      </c>
      <c r="I207" s="5">
        <v>13.112857879238369</v>
      </c>
      <c r="J207" s="5">
        <v>89</v>
      </c>
      <c r="K207" s="5">
        <v>86</v>
      </c>
      <c r="L207" s="5">
        <v>87</v>
      </c>
      <c r="M207" s="5" t="str">
        <f>_xlfn.SWITCH(recruitment_data3[[#This Row],[RecruitmentStrategy]], 1,"Aggressive", 2,"Moderate", 3,"Conservative")</f>
        <v>Moderate</v>
      </c>
      <c r="N207" s="5">
        <v>2</v>
      </c>
      <c r="O207" s="5" t="str">
        <f>IF(recruitment_data3[[#This Row],[HiringDecision]]=1,"Hired","Rejected")</f>
        <v>Hired</v>
      </c>
      <c r="P207" s="6">
        <v>1</v>
      </c>
    </row>
    <row r="208" spans="1:16" x14ac:dyDescent="0.25">
      <c r="A208" s="4" t="str">
        <f t="shared" si="3"/>
        <v>C0207</v>
      </c>
      <c r="B208" s="4">
        <v>26</v>
      </c>
      <c r="C208" s="5" t="str">
        <f>IF(recruitment_data3[[#This Row],[Gender]]=1,"Female","Male")</f>
        <v>Male</v>
      </c>
      <c r="D208" s="5">
        <v>0</v>
      </c>
      <c r="E208" s="5" t="str">
        <f>_xlfn.SWITCH(recruitment_data3[[#This Row],[EducationLevel]], 1,"Bachelor Type 1", 2,"Bachelor Type 2", 3,"Masters", 4,"PhD")</f>
        <v>Masters</v>
      </c>
      <c r="F208" s="5">
        <v>3</v>
      </c>
      <c r="G208" s="5">
        <v>1</v>
      </c>
      <c r="H208" s="5">
        <v>5</v>
      </c>
      <c r="I208" s="5">
        <v>11.174399727765627</v>
      </c>
      <c r="J208" s="5">
        <v>71</v>
      </c>
      <c r="K208" s="5">
        <v>50</v>
      </c>
      <c r="L208" s="5">
        <v>20</v>
      </c>
      <c r="M208" s="5" t="str">
        <f>_xlfn.SWITCH(recruitment_data3[[#This Row],[RecruitmentStrategy]], 1,"Aggressive", 2,"Moderate", 3,"Conservative")</f>
        <v>Moderate</v>
      </c>
      <c r="N208" s="5">
        <v>2</v>
      </c>
      <c r="O208" s="5" t="str">
        <f>IF(recruitment_data3[[#This Row],[HiringDecision]]=1,"Hired","Rejected")</f>
        <v>Rejected</v>
      </c>
      <c r="P208" s="6">
        <v>0</v>
      </c>
    </row>
    <row r="209" spans="1:16" x14ac:dyDescent="0.25">
      <c r="A209" s="4" t="str">
        <f t="shared" si="3"/>
        <v>C0208</v>
      </c>
      <c r="B209" s="4">
        <v>32</v>
      </c>
      <c r="C209" s="5" t="str">
        <f>IF(recruitment_data3[[#This Row],[Gender]]=1,"Female","Male")</f>
        <v>Female</v>
      </c>
      <c r="D209" s="5">
        <v>1</v>
      </c>
      <c r="E209" s="5" t="str">
        <f>_xlfn.SWITCH(recruitment_data3[[#This Row],[EducationLevel]], 1,"Bachelor Type 1", 2,"Bachelor Type 2", 3,"Masters", 4,"PhD")</f>
        <v>Masters</v>
      </c>
      <c r="F209" s="5">
        <v>3</v>
      </c>
      <c r="G209" s="5">
        <v>5</v>
      </c>
      <c r="H209" s="5">
        <v>1</v>
      </c>
      <c r="I209" s="5">
        <v>48.727692120874998</v>
      </c>
      <c r="J209" s="5">
        <v>50</v>
      </c>
      <c r="K209" s="5">
        <v>81</v>
      </c>
      <c r="L209" s="5">
        <v>32</v>
      </c>
      <c r="M209" s="5" t="str">
        <f>_xlfn.SWITCH(recruitment_data3[[#This Row],[RecruitmentStrategy]], 1,"Aggressive", 2,"Moderate", 3,"Conservative")</f>
        <v>Conservative</v>
      </c>
      <c r="N209" s="5">
        <v>3</v>
      </c>
      <c r="O209" s="5" t="str">
        <f>IF(recruitment_data3[[#This Row],[HiringDecision]]=1,"Hired","Rejected")</f>
        <v>Rejected</v>
      </c>
      <c r="P209" s="6">
        <v>0</v>
      </c>
    </row>
    <row r="210" spans="1:16" x14ac:dyDescent="0.25">
      <c r="A210" s="4" t="str">
        <f t="shared" si="3"/>
        <v>C0209</v>
      </c>
      <c r="B210" s="4">
        <v>34</v>
      </c>
      <c r="C210" s="5" t="str">
        <f>IF(recruitment_data3[[#This Row],[Gender]]=1,"Female","Male")</f>
        <v>Male</v>
      </c>
      <c r="D210" s="5">
        <v>0</v>
      </c>
      <c r="E210" s="5" t="str">
        <f>_xlfn.SWITCH(recruitment_data3[[#This Row],[EducationLevel]], 1,"Bachelor Type 1", 2,"Bachelor Type 2", 3,"Masters", 4,"PhD")</f>
        <v>Masters</v>
      </c>
      <c r="F210" s="5">
        <v>3</v>
      </c>
      <c r="G210" s="5">
        <v>14</v>
      </c>
      <c r="H210" s="5">
        <v>2</v>
      </c>
      <c r="I210" s="5">
        <v>46.92608013852589</v>
      </c>
      <c r="J210" s="5">
        <v>87</v>
      </c>
      <c r="K210" s="5">
        <v>25</v>
      </c>
      <c r="L210" s="5">
        <v>6</v>
      </c>
      <c r="M210" s="5" t="str">
        <f>_xlfn.SWITCH(recruitment_data3[[#This Row],[RecruitmentStrategy]], 1,"Aggressive", 2,"Moderate", 3,"Conservative")</f>
        <v>Aggressive</v>
      </c>
      <c r="N210" s="5">
        <v>1</v>
      </c>
      <c r="O210" s="5" t="str">
        <f>IF(recruitment_data3[[#This Row],[HiringDecision]]=1,"Hired","Rejected")</f>
        <v>Hired</v>
      </c>
      <c r="P210" s="6">
        <v>1</v>
      </c>
    </row>
    <row r="211" spans="1:16" x14ac:dyDescent="0.25">
      <c r="A211" s="4" t="str">
        <f t="shared" si="3"/>
        <v>C0210</v>
      </c>
      <c r="B211" s="4">
        <v>30</v>
      </c>
      <c r="C211" s="5" t="str">
        <f>IF(recruitment_data3[[#This Row],[Gender]]=1,"Female","Male")</f>
        <v>Male</v>
      </c>
      <c r="D211" s="5">
        <v>0</v>
      </c>
      <c r="E211" s="5" t="str">
        <f>_xlfn.SWITCH(recruitment_data3[[#This Row],[EducationLevel]], 1,"Bachelor Type 1", 2,"Bachelor Type 2", 3,"Masters", 4,"PhD")</f>
        <v>Bachelor Type 2</v>
      </c>
      <c r="F211" s="5">
        <v>2</v>
      </c>
      <c r="G211" s="5">
        <v>2</v>
      </c>
      <c r="H211" s="5">
        <v>4</v>
      </c>
      <c r="I211" s="5">
        <v>3.3496250501558738</v>
      </c>
      <c r="J211" s="5">
        <v>47</v>
      </c>
      <c r="K211" s="5">
        <v>55</v>
      </c>
      <c r="L211" s="5">
        <v>64</v>
      </c>
      <c r="M211" s="5" t="str">
        <f>_xlfn.SWITCH(recruitment_data3[[#This Row],[RecruitmentStrategy]], 1,"Aggressive", 2,"Moderate", 3,"Conservative")</f>
        <v>Moderate</v>
      </c>
      <c r="N211" s="5">
        <v>2</v>
      </c>
      <c r="O211" s="5" t="str">
        <f>IF(recruitment_data3[[#This Row],[HiringDecision]]=1,"Hired","Rejected")</f>
        <v>Rejected</v>
      </c>
      <c r="P211" s="6">
        <v>0</v>
      </c>
    </row>
    <row r="212" spans="1:16" x14ac:dyDescent="0.25">
      <c r="A212" s="4" t="str">
        <f t="shared" si="3"/>
        <v>C0211</v>
      </c>
      <c r="B212" s="4">
        <v>48</v>
      </c>
      <c r="C212" s="5" t="str">
        <f>IF(recruitment_data3[[#This Row],[Gender]]=1,"Female","Male")</f>
        <v>Male</v>
      </c>
      <c r="D212" s="5">
        <v>0</v>
      </c>
      <c r="E212" s="5" t="str">
        <f>_xlfn.SWITCH(recruitment_data3[[#This Row],[EducationLevel]], 1,"Bachelor Type 1", 2,"Bachelor Type 2", 3,"Masters", 4,"PhD")</f>
        <v>Bachelor Type 2</v>
      </c>
      <c r="F212" s="5">
        <v>2</v>
      </c>
      <c r="G212" s="5">
        <v>3</v>
      </c>
      <c r="H212" s="5">
        <v>1</v>
      </c>
      <c r="I212" s="5">
        <v>17.940651080242407</v>
      </c>
      <c r="J212" s="5">
        <v>69</v>
      </c>
      <c r="K212" s="5">
        <v>99</v>
      </c>
      <c r="L212" s="5">
        <v>2</v>
      </c>
      <c r="M212" s="5" t="str">
        <f>_xlfn.SWITCH(recruitment_data3[[#This Row],[RecruitmentStrategy]], 1,"Aggressive", 2,"Moderate", 3,"Conservative")</f>
        <v>Moderate</v>
      </c>
      <c r="N212" s="5">
        <v>2</v>
      </c>
      <c r="O212" s="5" t="str">
        <f>IF(recruitment_data3[[#This Row],[HiringDecision]]=1,"Hired","Rejected")</f>
        <v>Rejected</v>
      </c>
      <c r="P212" s="6">
        <v>0</v>
      </c>
    </row>
    <row r="213" spans="1:16" x14ac:dyDescent="0.25">
      <c r="A213" s="4" t="str">
        <f t="shared" si="3"/>
        <v>C0212</v>
      </c>
      <c r="B213" s="4">
        <v>23</v>
      </c>
      <c r="C213" s="5" t="str">
        <f>IF(recruitment_data3[[#This Row],[Gender]]=1,"Female","Male")</f>
        <v>Male</v>
      </c>
      <c r="D213" s="5">
        <v>0</v>
      </c>
      <c r="E213" s="5" t="str">
        <f>_xlfn.SWITCH(recruitment_data3[[#This Row],[EducationLevel]], 1,"Bachelor Type 1", 2,"Bachelor Type 2", 3,"Masters", 4,"PhD")</f>
        <v>Bachelor Type 2</v>
      </c>
      <c r="F213" s="5">
        <v>2</v>
      </c>
      <c r="G213" s="5">
        <v>10</v>
      </c>
      <c r="H213" s="5">
        <v>2</v>
      </c>
      <c r="I213" s="5">
        <v>21.25742768392033</v>
      </c>
      <c r="J213" s="5">
        <v>98</v>
      </c>
      <c r="K213" s="5">
        <v>63</v>
      </c>
      <c r="L213" s="5">
        <v>50</v>
      </c>
      <c r="M213" s="5" t="str">
        <f>_xlfn.SWITCH(recruitment_data3[[#This Row],[RecruitmentStrategy]], 1,"Aggressive", 2,"Moderate", 3,"Conservative")</f>
        <v>Conservative</v>
      </c>
      <c r="N213" s="5">
        <v>3</v>
      </c>
      <c r="O213" s="5" t="str">
        <f>IF(recruitment_data3[[#This Row],[HiringDecision]]=1,"Hired","Rejected")</f>
        <v>Rejected</v>
      </c>
      <c r="P213" s="6">
        <v>0</v>
      </c>
    </row>
    <row r="214" spans="1:16" x14ac:dyDescent="0.25">
      <c r="A214" s="4" t="str">
        <f t="shared" si="3"/>
        <v>C0213</v>
      </c>
      <c r="B214" s="4">
        <v>32</v>
      </c>
      <c r="C214" s="5" t="str">
        <f>IF(recruitment_data3[[#This Row],[Gender]]=1,"Female","Male")</f>
        <v>Female</v>
      </c>
      <c r="D214" s="5">
        <v>1</v>
      </c>
      <c r="E214" s="5" t="str">
        <f>_xlfn.SWITCH(recruitment_data3[[#This Row],[EducationLevel]], 1,"Bachelor Type 1", 2,"Bachelor Type 2", 3,"Masters", 4,"PhD")</f>
        <v>Bachelor Type 2</v>
      </c>
      <c r="F214" s="5">
        <v>2</v>
      </c>
      <c r="G214" s="5">
        <v>14</v>
      </c>
      <c r="H214" s="5">
        <v>2</v>
      </c>
      <c r="I214" s="5">
        <v>12.950726733297168</v>
      </c>
      <c r="J214" s="5">
        <v>64</v>
      </c>
      <c r="K214" s="5">
        <v>7</v>
      </c>
      <c r="L214" s="5">
        <v>78</v>
      </c>
      <c r="M214" s="5" t="str">
        <f>_xlfn.SWITCH(recruitment_data3[[#This Row],[RecruitmentStrategy]], 1,"Aggressive", 2,"Moderate", 3,"Conservative")</f>
        <v>Aggressive</v>
      </c>
      <c r="N214" s="5">
        <v>1</v>
      </c>
      <c r="O214" s="5" t="str">
        <f>IF(recruitment_data3[[#This Row],[HiringDecision]]=1,"Hired","Rejected")</f>
        <v>Hired</v>
      </c>
      <c r="P214" s="6">
        <v>1</v>
      </c>
    </row>
    <row r="215" spans="1:16" x14ac:dyDescent="0.25">
      <c r="A215" s="4" t="str">
        <f t="shared" si="3"/>
        <v>C0214</v>
      </c>
      <c r="B215" s="4">
        <v>26</v>
      </c>
      <c r="C215" s="5" t="str">
        <f>IF(recruitment_data3[[#This Row],[Gender]]=1,"Female","Male")</f>
        <v>Female</v>
      </c>
      <c r="D215" s="5">
        <v>1</v>
      </c>
      <c r="E215" s="5" t="str">
        <f>_xlfn.SWITCH(recruitment_data3[[#This Row],[EducationLevel]], 1,"Bachelor Type 1", 2,"Bachelor Type 2", 3,"Masters", 4,"PhD")</f>
        <v>Bachelor Type 2</v>
      </c>
      <c r="F215" s="5">
        <v>2</v>
      </c>
      <c r="G215" s="5">
        <v>12</v>
      </c>
      <c r="H215" s="5">
        <v>3</v>
      </c>
      <c r="I215" s="5">
        <v>32.44364484940877</v>
      </c>
      <c r="J215" s="5">
        <v>59</v>
      </c>
      <c r="K215" s="5">
        <v>80</v>
      </c>
      <c r="L215" s="5">
        <v>94</v>
      </c>
      <c r="M215" s="5" t="str">
        <f>_xlfn.SWITCH(recruitment_data3[[#This Row],[RecruitmentStrategy]], 1,"Aggressive", 2,"Moderate", 3,"Conservative")</f>
        <v>Aggressive</v>
      </c>
      <c r="N215" s="5">
        <v>1</v>
      </c>
      <c r="O215" s="5" t="str">
        <f>IF(recruitment_data3[[#This Row],[HiringDecision]]=1,"Hired","Rejected")</f>
        <v>Hired</v>
      </c>
      <c r="P215" s="6">
        <v>1</v>
      </c>
    </row>
    <row r="216" spans="1:16" x14ac:dyDescent="0.25">
      <c r="A216" s="4" t="str">
        <f t="shared" si="3"/>
        <v>C0215</v>
      </c>
      <c r="B216" s="4">
        <v>46</v>
      </c>
      <c r="C216" s="5" t="str">
        <f>IF(recruitment_data3[[#This Row],[Gender]]=1,"Female","Male")</f>
        <v>Male</v>
      </c>
      <c r="D216" s="5">
        <v>0</v>
      </c>
      <c r="E216" s="5" t="str">
        <f>_xlfn.SWITCH(recruitment_data3[[#This Row],[EducationLevel]], 1,"Bachelor Type 1", 2,"Bachelor Type 2", 3,"Masters", 4,"PhD")</f>
        <v>Bachelor Type 1</v>
      </c>
      <c r="F216" s="5">
        <v>1</v>
      </c>
      <c r="G216" s="5">
        <v>7</v>
      </c>
      <c r="H216" s="5">
        <v>3</v>
      </c>
      <c r="I216" s="5">
        <v>33.019037332212051</v>
      </c>
      <c r="J216" s="5">
        <v>45</v>
      </c>
      <c r="K216" s="5">
        <v>94</v>
      </c>
      <c r="L216" s="5">
        <v>53</v>
      </c>
      <c r="M216" s="5" t="str">
        <f>_xlfn.SWITCH(recruitment_data3[[#This Row],[RecruitmentStrategy]], 1,"Aggressive", 2,"Moderate", 3,"Conservative")</f>
        <v>Aggressive</v>
      </c>
      <c r="N216" s="5">
        <v>1</v>
      </c>
      <c r="O216" s="5" t="str">
        <f>IF(recruitment_data3[[#This Row],[HiringDecision]]=1,"Hired","Rejected")</f>
        <v>Hired</v>
      </c>
      <c r="P216" s="6">
        <v>1</v>
      </c>
    </row>
    <row r="217" spans="1:16" x14ac:dyDescent="0.25">
      <c r="A217" s="4" t="str">
        <f t="shared" si="3"/>
        <v>C0216</v>
      </c>
      <c r="B217" s="4">
        <v>38</v>
      </c>
      <c r="C217" s="5" t="str">
        <f>IF(recruitment_data3[[#This Row],[Gender]]=1,"Female","Male")</f>
        <v>Male</v>
      </c>
      <c r="D217" s="5">
        <v>0</v>
      </c>
      <c r="E217" s="5" t="str">
        <f>_xlfn.SWITCH(recruitment_data3[[#This Row],[EducationLevel]], 1,"Bachelor Type 1", 2,"Bachelor Type 2", 3,"Masters", 4,"PhD")</f>
        <v>Bachelor Type 2</v>
      </c>
      <c r="F217" s="5">
        <v>2</v>
      </c>
      <c r="G217" s="5">
        <v>13</v>
      </c>
      <c r="H217" s="5">
        <v>1</v>
      </c>
      <c r="I217" s="5">
        <v>43.525211416429855</v>
      </c>
      <c r="J217" s="5">
        <v>35</v>
      </c>
      <c r="K217" s="5">
        <v>36</v>
      </c>
      <c r="L217" s="5">
        <v>79</v>
      </c>
      <c r="M217" s="5" t="str">
        <f>_xlfn.SWITCH(recruitment_data3[[#This Row],[RecruitmentStrategy]], 1,"Aggressive", 2,"Moderate", 3,"Conservative")</f>
        <v>Aggressive</v>
      </c>
      <c r="N217" s="5">
        <v>1</v>
      </c>
      <c r="O217" s="5" t="str">
        <f>IF(recruitment_data3[[#This Row],[HiringDecision]]=1,"Hired","Rejected")</f>
        <v>Hired</v>
      </c>
      <c r="P217" s="6">
        <v>1</v>
      </c>
    </row>
    <row r="218" spans="1:16" x14ac:dyDescent="0.25">
      <c r="A218" s="4" t="str">
        <f t="shared" si="3"/>
        <v>C0217</v>
      </c>
      <c r="B218" s="4">
        <v>41</v>
      </c>
      <c r="C218" s="5" t="str">
        <f>IF(recruitment_data3[[#This Row],[Gender]]=1,"Female","Male")</f>
        <v>Male</v>
      </c>
      <c r="D218" s="5">
        <v>0</v>
      </c>
      <c r="E218" s="5" t="str">
        <f>_xlfn.SWITCH(recruitment_data3[[#This Row],[EducationLevel]], 1,"Bachelor Type 1", 2,"Bachelor Type 2", 3,"Masters", 4,"PhD")</f>
        <v>PhD</v>
      </c>
      <c r="F218" s="5">
        <v>4</v>
      </c>
      <c r="G218" s="5">
        <v>2</v>
      </c>
      <c r="H218" s="5">
        <v>3</v>
      </c>
      <c r="I218" s="5">
        <v>38.043463419260888</v>
      </c>
      <c r="J218" s="5">
        <v>57</v>
      </c>
      <c r="K218" s="5">
        <v>96</v>
      </c>
      <c r="L218" s="5">
        <v>73</v>
      </c>
      <c r="M218" s="5" t="str">
        <f>_xlfn.SWITCH(recruitment_data3[[#This Row],[RecruitmentStrategy]], 1,"Aggressive", 2,"Moderate", 3,"Conservative")</f>
        <v>Moderate</v>
      </c>
      <c r="N218" s="5">
        <v>2</v>
      </c>
      <c r="O218" s="5" t="str">
        <f>IF(recruitment_data3[[#This Row],[HiringDecision]]=1,"Hired","Rejected")</f>
        <v>Rejected</v>
      </c>
      <c r="P218" s="6">
        <v>0</v>
      </c>
    </row>
    <row r="219" spans="1:16" x14ac:dyDescent="0.25">
      <c r="A219" s="4" t="str">
        <f t="shared" si="3"/>
        <v>C0218</v>
      </c>
      <c r="B219" s="4">
        <v>47</v>
      </c>
      <c r="C219" s="5" t="str">
        <f>IF(recruitment_data3[[#This Row],[Gender]]=1,"Female","Male")</f>
        <v>Male</v>
      </c>
      <c r="D219" s="5">
        <v>0</v>
      </c>
      <c r="E219" s="5" t="str">
        <f>_xlfn.SWITCH(recruitment_data3[[#This Row],[EducationLevel]], 1,"Bachelor Type 1", 2,"Bachelor Type 2", 3,"Masters", 4,"PhD")</f>
        <v>Bachelor Type 2</v>
      </c>
      <c r="F219" s="5">
        <v>2</v>
      </c>
      <c r="G219" s="5">
        <v>9</v>
      </c>
      <c r="H219" s="5">
        <v>2</v>
      </c>
      <c r="I219" s="5">
        <v>28.128666348297781</v>
      </c>
      <c r="J219" s="5">
        <v>75</v>
      </c>
      <c r="K219" s="5">
        <v>26</v>
      </c>
      <c r="L219" s="5">
        <v>92</v>
      </c>
      <c r="M219" s="5" t="str">
        <f>_xlfn.SWITCH(recruitment_data3[[#This Row],[RecruitmentStrategy]], 1,"Aggressive", 2,"Moderate", 3,"Conservative")</f>
        <v>Moderate</v>
      </c>
      <c r="N219" s="5">
        <v>2</v>
      </c>
      <c r="O219" s="5" t="str">
        <f>IF(recruitment_data3[[#This Row],[HiringDecision]]=1,"Hired","Rejected")</f>
        <v>Rejected</v>
      </c>
      <c r="P219" s="6">
        <v>0</v>
      </c>
    </row>
    <row r="220" spans="1:16" x14ac:dyDescent="0.25">
      <c r="A220" s="4" t="str">
        <f t="shared" si="3"/>
        <v>C0219</v>
      </c>
      <c r="B220" s="4">
        <v>21</v>
      </c>
      <c r="C220" s="5" t="str">
        <f>IF(recruitment_data3[[#This Row],[Gender]]=1,"Female","Male")</f>
        <v>Male</v>
      </c>
      <c r="D220" s="5">
        <v>0</v>
      </c>
      <c r="E220" s="5" t="str">
        <f>_xlfn.SWITCH(recruitment_data3[[#This Row],[EducationLevel]], 1,"Bachelor Type 1", 2,"Bachelor Type 2", 3,"Masters", 4,"PhD")</f>
        <v>Bachelor Type 1</v>
      </c>
      <c r="F220" s="5">
        <v>1</v>
      </c>
      <c r="G220" s="5">
        <v>5</v>
      </c>
      <c r="H220" s="5">
        <v>3</v>
      </c>
      <c r="I220" s="5">
        <v>33.679338502220993</v>
      </c>
      <c r="J220" s="5">
        <v>37</v>
      </c>
      <c r="K220" s="5">
        <v>44</v>
      </c>
      <c r="L220" s="5">
        <v>58</v>
      </c>
      <c r="M220" s="5" t="str">
        <f>_xlfn.SWITCH(recruitment_data3[[#This Row],[RecruitmentStrategy]], 1,"Aggressive", 2,"Moderate", 3,"Conservative")</f>
        <v>Moderate</v>
      </c>
      <c r="N220" s="5">
        <v>2</v>
      </c>
      <c r="O220" s="5" t="str">
        <f>IF(recruitment_data3[[#This Row],[HiringDecision]]=1,"Hired","Rejected")</f>
        <v>Rejected</v>
      </c>
      <c r="P220" s="6">
        <v>0</v>
      </c>
    </row>
    <row r="221" spans="1:16" x14ac:dyDescent="0.25">
      <c r="A221" s="4" t="str">
        <f t="shared" si="3"/>
        <v>C0220</v>
      </c>
      <c r="B221" s="4">
        <v>29</v>
      </c>
      <c r="C221" s="5" t="str">
        <f>IF(recruitment_data3[[#This Row],[Gender]]=1,"Female","Male")</f>
        <v>Male</v>
      </c>
      <c r="D221" s="5">
        <v>0</v>
      </c>
      <c r="E221" s="5" t="str">
        <f>_xlfn.SWITCH(recruitment_data3[[#This Row],[EducationLevel]], 1,"Bachelor Type 1", 2,"Bachelor Type 2", 3,"Masters", 4,"PhD")</f>
        <v>Bachelor Type 2</v>
      </c>
      <c r="F221" s="5">
        <v>2</v>
      </c>
      <c r="G221" s="5">
        <v>0</v>
      </c>
      <c r="H221" s="5">
        <v>5</v>
      </c>
      <c r="I221" s="5">
        <v>14.699439077150904</v>
      </c>
      <c r="J221" s="5">
        <v>10</v>
      </c>
      <c r="K221" s="5">
        <v>3</v>
      </c>
      <c r="L221" s="5">
        <v>5</v>
      </c>
      <c r="M221" s="5" t="str">
        <f>_xlfn.SWITCH(recruitment_data3[[#This Row],[RecruitmentStrategy]], 1,"Aggressive", 2,"Moderate", 3,"Conservative")</f>
        <v>Aggressive</v>
      </c>
      <c r="N221" s="5">
        <v>1</v>
      </c>
      <c r="O221" s="5" t="str">
        <f>IF(recruitment_data3[[#This Row],[HiringDecision]]=1,"Hired","Rejected")</f>
        <v>Rejected</v>
      </c>
      <c r="P221" s="6">
        <v>0</v>
      </c>
    </row>
    <row r="222" spans="1:16" x14ac:dyDescent="0.25">
      <c r="A222" s="4" t="str">
        <f t="shared" si="3"/>
        <v>C0221</v>
      </c>
      <c r="B222" s="4">
        <v>32</v>
      </c>
      <c r="C222" s="5" t="str">
        <f>IF(recruitment_data3[[#This Row],[Gender]]=1,"Female","Male")</f>
        <v>Female</v>
      </c>
      <c r="D222" s="5">
        <v>1</v>
      </c>
      <c r="E222" s="5" t="str">
        <f>_xlfn.SWITCH(recruitment_data3[[#This Row],[EducationLevel]], 1,"Bachelor Type 1", 2,"Bachelor Type 2", 3,"Masters", 4,"PhD")</f>
        <v>Masters</v>
      </c>
      <c r="F222" s="5">
        <v>3</v>
      </c>
      <c r="G222" s="5">
        <v>6</v>
      </c>
      <c r="H222" s="5">
        <v>3</v>
      </c>
      <c r="I222" s="5">
        <v>30.652809498367883</v>
      </c>
      <c r="J222" s="5">
        <v>11</v>
      </c>
      <c r="K222" s="5">
        <v>85</v>
      </c>
      <c r="L222" s="5">
        <v>28</v>
      </c>
      <c r="M222" s="5" t="str">
        <f>_xlfn.SWITCH(recruitment_data3[[#This Row],[RecruitmentStrategy]], 1,"Aggressive", 2,"Moderate", 3,"Conservative")</f>
        <v>Aggressive</v>
      </c>
      <c r="N222" s="5">
        <v>1</v>
      </c>
      <c r="O222" s="5" t="str">
        <f>IF(recruitment_data3[[#This Row],[HiringDecision]]=1,"Hired","Rejected")</f>
        <v>Hired</v>
      </c>
      <c r="P222" s="6">
        <v>1</v>
      </c>
    </row>
    <row r="223" spans="1:16" x14ac:dyDescent="0.25">
      <c r="A223" s="4" t="str">
        <f t="shared" si="3"/>
        <v>C0222</v>
      </c>
      <c r="B223" s="4">
        <v>49</v>
      </c>
      <c r="C223" s="5" t="str">
        <f>IF(recruitment_data3[[#This Row],[Gender]]=1,"Female","Male")</f>
        <v>Male</v>
      </c>
      <c r="D223" s="5">
        <v>0</v>
      </c>
      <c r="E223" s="5" t="str">
        <f>_xlfn.SWITCH(recruitment_data3[[#This Row],[EducationLevel]], 1,"Bachelor Type 1", 2,"Bachelor Type 2", 3,"Masters", 4,"PhD")</f>
        <v>Bachelor Type 2</v>
      </c>
      <c r="F223" s="5">
        <v>2</v>
      </c>
      <c r="G223" s="5">
        <v>7</v>
      </c>
      <c r="H223" s="5">
        <v>2</v>
      </c>
      <c r="I223" s="5">
        <v>25.461362737495961</v>
      </c>
      <c r="J223" s="5">
        <v>41</v>
      </c>
      <c r="K223" s="5">
        <v>89</v>
      </c>
      <c r="L223" s="5">
        <v>16</v>
      </c>
      <c r="M223" s="5" t="str">
        <f>_xlfn.SWITCH(recruitment_data3[[#This Row],[RecruitmentStrategy]], 1,"Aggressive", 2,"Moderate", 3,"Conservative")</f>
        <v>Aggressive</v>
      </c>
      <c r="N223" s="5">
        <v>1</v>
      </c>
      <c r="O223" s="5" t="str">
        <f>IF(recruitment_data3[[#This Row],[HiringDecision]]=1,"Hired","Rejected")</f>
        <v>Hired</v>
      </c>
      <c r="P223" s="6">
        <v>1</v>
      </c>
    </row>
    <row r="224" spans="1:16" x14ac:dyDescent="0.25">
      <c r="A224" s="4" t="str">
        <f t="shared" si="3"/>
        <v>C0223</v>
      </c>
      <c r="B224" s="4">
        <v>44</v>
      </c>
      <c r="C224" s="5" t="str">
        <f>IF(recruitment_data3[[#This Row],[Gender]]=1,"Female","Male")</f>
        <v>Female</v>
      </c>
      <c r="D224" s="5">
        <v>1</v>
      </c>
      <c r="E224" s="5" t="str">
        <f>_xlfn.SWITCH(recruitment_data3[[#This Row],[EducationLevel]], 1,"Bachelor Type 1", 2,"Bachelor Type 2", 3,"Masters", 4,"PhD")</f>
        <v>Bachelor Type 2</v>
      </c>
      <c r="F224" s="5">
        <v>2</v>
      </c>
      <c r="G224" s="5">
        <v>10</v>
      </c>
      <c r="H224" s="5">
        <v>1</v>
      </c>
      <c r="I224" s="5">
        <v>7.6672233658185203</v>
      </c>
      <c r="J224" s="5">
        <v>38</v>
      </c>
      <c r="K224" s="5">
        <v>95</v>
      </c>
      <c r="L224" s="5">
        <v>59</v>
      </c>
      <c r="M224" s="5" t="str">
        <f>_xlfn.SWITCH(recruitment_data3[[#This Row],[RecruitmentStrategy]], 1,"Aggressive", 2,"Moderate", 3,"Conservative")</f>
        <v>Aggressive</v>
      </c>
      <c r="N224" s="5">
        <v>1</v>
      </c>
      <c r="O224" s="5" t="str">
        <f>IF(recruitment_data3[[#This Row],[HiringDecision]]=1,"Hired","Rejected")</f>
        <v>Hired</v>
      </c>
      <c r="P224" s="6">
        <v>1</v>
      </c>
    </row>
    <row r="225" spans="1:16" x14ac:dyDescent="0.25">
      <c r="A225" s="4" t="str">
        <f t="shared" si="3"/>
        <v>C0224</v>
      </c>
      <c r="B225" s="4">
        <v>40</v>
      </c>
      <c r="C225" s="5" t="str">
        <f>IF(recruitment_data3[[#This Row],[Gender]]=1,"Female","Male")</f>
        <v>Female</v>
      </c>
      <c r="D225" s="5">
        <v>1</v>
      </c>
      <c r="E225" s="5" t="str">
        <f>_xlfn.SWITCH(recruitment_data3[[#This Row],[EducationLevel]], 1,"Bachelor Type 1", 2,"Bachelor Type 2", 3,"Masters", 4,"PhD")</f>
        <v>Bachelor Type 1</v>
      </c>
      <c r="F225" s="5">
        <v>1</v>
      </c>
      <c r="G225" s="5">
        <v>13</v>
      </c>
      <c r="H225" s="5">
        <v>4</v>
      </c>
      <c r="I225" s="5">
        <v>13.127213829148536</v>
      </c>
      <c r="J225" s="5">
        <v>70</v>
      </c>
      <c r="K225" s="5">
        <v>87</v>
      </c>
      <c r="L225" s="5">
        <v>21</v>
      </c>
      <c r="M225" s="5" t="str">
        <f>_xlfn.SWITCH(recruitment_data3[[#This Row],[RecruitmentStrategy]], 1,"Aggressive", 2,"Moderate", 3,"Conservative")</f>
        <v>Moderate</v>
      </c>
      <c r="N225" s="5">
        <v>2</v>
      </c>
      <c r="O225" s="5" t="str">
        <f>IF(recruitment_data3[[#This Row],[HiringDecision]]=1,"Hired","Rejected")</f>
        <v>Rejected</v>
      </c>
      <c r="P225" s="6">
        <v>0</v>
      </c>
    </row>
    <row r="226" spans="1:16" x14ac:dyDescent="0.25">
      <c r="A226" s="4" t="str">
        <f t="shared" si="3"/>
        <v>C0225</v>
      </c>
      <c r="B226" s="4">
        <v>25</v>
      </c>
      <c r="C226" s="5" t="str">
        <f>IF(recruitment_data3[[#This Row],[Gender]]=1,"Female","Male")</f>
        <v>Male</v>
      </c>
      <c r="D226" s="5">
        <v>0</v>
      </c>
      <c r="E226" s="5" t="str">
        <f>_xlfn.SWITCH(recruitment_data3[[#This Row],[EducationLevel]], 1,"Bachelor Type 1", 2,"Bachelor Type 2", 3,"Masters", 4,"PhD")</f>
        <v>Bachelor Type 2</v>
      </c>
      <c r="F226" s="5">
        <v>2</v>
      </c>
      <c r="G226" s="5">
        <v>7</v>
      </c>
      <c r="H226" s="5">
        <v>3</v>
      </c>
      <c r="I226" s="5">
        <v>15.584672536079301</v>
      </c>
      <c r="J226" s="5">
        <v>10</v>
      </c>
      <c r="K226" s="5">
        <v>98</v>
      </c>
      <c r="L226" s="5">
        <v>23</v>
      </c>
      <c r="M226" s="5" t="str">
        <f>_xlfn.SWITCH(recruitment_data3[[#This Row],[RecruitmentStrategy]], 1,"Aggressive", 2,"Moderate", 3,"Conservative")</f>
        <v>Aggressive</v>
      </c>
      <c r="N226" s="5">
        <v>1</v>
      </c>
      <c r="O226" s="5" t="str">
        <f>IF(recruitment_data3[[#This Row],[HiringDecision]]=1,"Hired","Rejected")</f>
        <v>Hired</v>
      </c>
      <c r="P226" s="6">
        <v>1</v>
      </c>
    </row>
    <row r="227" spans="1:16" x14ac:dyDescent="0.25">
      <c r="A227" s="4" t="str">
        <f t="shared" si="3"/>
        <v>C0226</v>
      </c>
      <c r="B227" s="4">
        <v>47</v>
      </c>
      <c r="C227" s="5" t="str">
        <f>IF(recruitment_data3[[#This Row],[Gender]]=1,"Female","Male")</f>
        <v>Female</v>
      </c>
      <c r="D227" s="5">
        <v>1</v>
      </c>
      <c r="E227" s="5" t="str">
        <f>_xlfn.SWITCH(recruitment_data3[[#This Row],[EducationLevel]], 1,"Bachelor Type 1", 2,"Bachelor Type 2", 3,"Masters", 4,"PhD")</f>
        <v>Bachelor Type 2</v>
      </c>
      <c r="F227" s="5">
        <v>2</v>
      </c>
      <c r="G227" s="5">
        <v>2</v>
      </c>
      <c r="H227" s="5">
        <v>2</v>
      </c>
      <c r="I227" s="5">
        <v>47.215478352627898</v>
      </c>
      <c r="J227" s="5">
        <v>35</v>
      </c>
      <c r="K227" s="5">
        <v>36</v>
      </c>
      <c r="L227" s="5">
        <v>80</v>
      </c>
      <c r="M227" s="5" t="str">
        <f>_xlfn.SWITCH(recruitment_data3[[#This Row],[RecruitmentStrategy]], 1,"Aggressive", 2,"Moderate", 3,"Conservative")</f>
        <v>Aggressive</v>
      </c>
      <c r="N227" s="5">
        <v>1</v>
      </c>
      <c r="O227" s="5" t="str">
        <f>IF(recruitment_data3[[#This Row],[HiringDecision]]=1,"Hired","Rejected")</f>
        <v>Rejected</v>
      </c>
      <c r="P227" s="6">
        <v>0</v>
      </c>
    </row>
    <row r="228" spans="1:16" x14ac:dyDescent="0.25">
      <c r="A228" s="4" t="str">
        <f t="shared" si="3"/>
        <v>C0227</v>
      </c>
      <c r="B228" s="4">
        <v>47</v>
      </c>
      <c r="C228" s="5" t="str">
        <f>IF(recruitment_data3[[#This Row],[Gender]]=1,"Female","Male")</f>
        <v>Female</v>
      </c>
      <c r="D228" s="5">
        <v>1</v>
      </c>
      <c r="E228" s="5" t="str">
        <f>_xlfn.SWITCH(recruitment_data3[[#This Row],[EducationLevel]], 1,"Bachelor Type 1", 2,"Bachelor Type 2", 3,"Masters", 4,"PhD")</f>
        <v>Masters</v>
      </c>
      <c r="F228" s="5">
        <v>3</v>
      </c>
      <c r="G228" s="5">
        <v>13</v>
      </c>
      <c r="H228" s="5">
        <v>4</v>
      </c>
      <c r="I228" s="5">
        <v>12.519331969294472</v>
      </c>
      <c r="J228" s="5">
        <v>51</v>
      </c>
      <c r="K228" s="5">
        <v>95</v>
      </c>
      <c r="L228" s="5">
        <v>84</v>
      </c>
      <c r="M228" s="5" t="str">
        <f>_xlfn.SWITCH(recruitment_data3[[#This Row],[RecruitmentStrategy]], 1,"Aggressive", 2,"Moderate", 3,"Conservative")</f>
        <v>Moderate</v>
      </c>
      <c r="N228" s="5">
        <v>2</v>
      </c>
      <c r="O228" s="5" t="str">
        <f>IF(recruitment_data3[[#This Row],[HiringDecision]]=1,"Hired","Rejected")</f>
        <v>Hired</v>
      </c>
      <c r="P228" s="6">
        <v>1</v>
      </c>
    </row>
    <row r="229" spans="1:16" x14ac:dyDescent="0.25">
      <c r="A229" s="4" t="str">
        <f t="shared" si="3"/>
        <v>C0228</v>
      </c>
      <c r="B229" s="4">
        <v>31</v>
      </c>
      <c r="C229" s="5" t="str">
        <f>IF(recruitment_data3[[#This Row],[Gender]]=1,"Female","Male")</f>
        <v>Female</v>
      </c>
      <c r="D229" s="5">
        <v>1</v>
      </c>
      <c r="E229" s="5" t="str">
        <f>_xlfn.SWITCH(recruitment_data3[[#This Row],[EducationLevel]], 1,"Bachelor Type 1", 2,"Bachelor Type 2", 3,"Masters", 4,"PhD")</f>
        <v>Bachelor Type 2</v>
      </c>
      <c r="F229" s="5">
        <v>2</v>
      </c>
      <c r="G229" s="5">
        <v>9</v>
      </c>
      <c r="H229" s="5">
        <v>4</v>
      </c>
      <c r="I229" s="5">
        <v>15.462195140983408</v>
      </c>
      <c r="J229" s="5">
        <v>30</v>
      </c>
      <c r="K229" s="5">
        <v>70</v>
      </c>
      <c r="L229" s="5">
        <v>50</v>
      </c>
      <c r="M229" s="5" t="str">
        <f>_xlfn.SWITCH(recruitment_data3[[#This Row],[RecruitmentStrategy]], 1,"Aggressive", 2,"Moderate", 3,"Conservative")</f>
        <v>Moderate</v>
      </c>
      <c r="N229" s="5">
        <v>2</v>
      </c>
      <c r="O229" s="5" t="str">
        <f>IF(recruitment_data3[[#This Row],[HiringDecision]]=1,"Hired","Rejected")</f>
        <v>Rejected</v>
      </c>
      <c r="P229" s="6">
        <v>0</v>
      </c>
    </row>
    <row r="230" spans="1:16" x14ac:dyDescent="0.25">
      <c r="A230" s="4" t="str">
        <f t="shared" si="3"/>
        <v>C0229</v>
      </c>
      <c r="B230" s="4">
        <v>31</v>
      </c>
      <c r="C230" s="5" t="str">
        <f>IF(recruitment_data3[[#This Row],[Gender]]=1,"Female","Male")</f>
        <v>Female</v>
      </c>
      <c r="D230" s="5">
        <v>1</v>
      </c>
      <c r="E230" s="5" t="str">
        <f>_xlfn.SWITCH(recruitment_data3[[#This Row],[EducationLevel]], 1,"Bachelor Type 1", 2,"Bachelor Type 2", 3,"Masters", 4,"PhD")</f>
        <v>Bachelor Type 1</v>
      </c>
      <c r="F230" s="5">
        <v>1</v>
      </c>
      <c r="G230" s="5">
        <v>0</v>
      </c>
      <c r="H230" s="5">
        <v>5</v>
      </c>
      <c r="I230" s="5">
        <v>19.467706504471614</v>
      </c>
      <c r="J230" s="5">
        <v>32</v>
      </c>
      <c r="K230" s="5">
        <v>32</v>
      </c>
      <c r="L230" s="5">
        <v>49</v>
      </c>
      <c r="M230" s="5" t="str">
        <f>_xlfn.SWITCH(recruitment_data3[[#This Row],[RecruitmentStrategy]], 1,"Aggressive", 2,"Moderate", 3,"Conservative")</f>
        <v>Moderate</v>
      </c>
      <c r="N230" s="5">
        <v>2</v>
      </c>
      <c r="O230" s="5" t="str">
        <f>IF(recruitment_data3[[#This Row],[HiringDecision]]=1,"Hired","Rejected")</f>
        <v>Rejected</v>
      </c>
      <c r="P230" s="6">
        <v>0</v>
      </c>
    </row>
    <row r="231" spans="1:16" x14ac:dyDescent="0.25">
      <c r="A231" s="4" t="str">
        <f t="shared" si="3"/>
        <v>C0230</v>
      </c>
      <c r="B231" s="4">
        <v>39</v>
      </c>
      <c r="C231" s="5" t="str">
        <f>IF(recruitment_data3[[#This Row],[Gender]]=1,"Female","Male")</f>
        <v>Female</v>
      </c>
      <c r="D231" s="5">
        <v>1</v>
      </c>
      <c r="E231" s="5" t="str">
        <f>_xlfn.SWITCH(recruitment_data3[[#This Row],[EducationLevel]], 1,"Bachelor Type 1", 2,"Bachelor Type 2", 3,"Masters", 4,"PhD")</f>
        <v>Bachelor Type 1</v>
      </c>
      <c r="F231" s="5">
        <v>1</v>
      </c>
      <c r="G231" s="5">
        <v>8</v>
      </c>
      <c r="H231" s="5">
        <v>4</v>
      </c>
      <c r="I231" s="5">
        <v>34.18713693126935</v>
      </c>
      <c r="J231" s="5">
        <v>12</v>
      </c>
      <c r="K231" s="5">
        <v>30</v>
      </c>
      <c r="L231" s="5">
        <v>10</v>
      </c>
      <c r="M231" s="5" t="str">
        <f>_xlfn.SWITCH(recruitment_data3[[#This Row],[RecruitmentStrategy]], 1,"Aggressive", 2,"Moderate", 3,"Conservative")</f>
        <v>Conservative</v>
      </c>
      <c r="N231" s="5">
        <v>3</v>
      </c>
      <c r="O231" s="5" t="str">
        <f>IF(recruitment_data3[[#This Row],[HiringDecision]]=1,"Hired","Rejected")</f>
        <v>Rejected</v>
      </c>
      <c r="P231" s="6">
        <v>0</v>
      </c>
    </row>
    <row r="232" spans="1:16" x14ac:dyDescent="0.25">
      <c r="A232" s="4" t="str">
        <f t="shared" si="3"/>
        <v>C0231</v>
      </c>
      <c r="B232" s="4">
        <v>49</v>
      </c>
      <c r="C232" s="5" t="str">
        <f>IF(recruitment_data3[[#This Row],[Gender]]=1,"Female","Male")</f>
        <v>Female</v>
      </c>
      <c r="D232" s="5">
        <v>1</v>
      </c>
      <c r="E232" s="5" t="str">
        <f>_xlfn.SWITCH(recruitment_data3[[#This Row],[EducationLevel]], 1,"Bachelor Type 1", 2,"Bachelor Type 2", 3,"Masters", 4,"PhD")</f>
        <v>Bachelor Type 1</v>
      </c>
      <c r="F232" s="5">
        <v>1</v>
      </c>
      <c r="G232" s="5">
        <v>12</v>
      </c>
      <c r="H232" s="5">
        <v>2</v>
      </c>
      <c r="I232" s="5">
        <v>6.9119196236070257</v>
      </c>
      <c r="J232" s="5">
        <v>17</v>
      </c>
      <c r="K232" s="5">
        <v>54</v>
      </c>
      <c r="L232" s="5">
        <v>55</v>
      </c>
      <c r="M232" s="5" t="str">
        <f>_xlfn.SWITCH(recruitment_data3[[#This Row],[RecruitmentStrategy]], 1,"Aggressive", 2,"Moderate", 3,"Conservative")</f>
        <v>Aggressive</v>
      </c>
      <c r="N232" s="5">
        <v>1</v>
      </c>
      <c r="O232" s="5" t="str">
        <f>IF(recruitment_data3[[#This Row],[HiringDecision]]=1,"Hired","Rejected")</f>
        <v>Hired</v>
      </c>
      <c r="P232" s="6">
        <v>1</v>
      </c>
    </row>
    <row r="233" spans="1:16" x14ac:dyDescent="0.25">
      <c r="A233" s="4" t="str">
        <f t="shared" si="3"/>
        <v>C0232</v>
      </c>
      <c r="B233" s="4">
        <v>49</v>
      </c>
      <c r="C233" s="5" t="str">
        <f>IF(recruitment_data3[[#This Row],[Gender]]=1,"Female","Male")</f>
        <v>Male</v>
      </c>
      <c r="D233" s="5">
        <v>0</v>
      </c>
      <c r="E233" s="5" t="str">
        <f>_xlfn.SWITCH(recruitment_data3[[#This Row],[EducationLevel]], 1,"Bachelor Type 1", 2,"Bachelor Type 2", 3,"Masters", 4,"PhD")</f>
        <v>Bachelor Type 2</v>
      </c>
      <c r="F233" s="5">
        <v>2</v>
      </c>
      <c r="G233" s="5">
        <v>5</v>
      </c>
      <c r="H233" s="5">
        <v>2</v>
      </c>
      <c r="I233" s="5">
        <v>48.697260624688802</v>
      </c>
      <c r="J233" s="5">
        <v>40</v>
      </c>
      <c r="K233" s="5">
        <v>11</v>
      </c>
      <c r="L233" s="5">
        <v>70</v>
      </c>
      <c r="M233" s="5" t="str">
        <f>_xlfn.SWITCH(recruitment_data3[[#This Row],[RecruitmentStrategy]], 1,"Aggressive", 2,"Moderate", 3,"Conservative")</f>
        <v>Moderate</v>
      </c>
      <c r="N233" s="5">
        <v>2</v>
      </c>
      <c r="O233" s="5" t="str">
        <f>IF(recruitment_data3[[#This Row],[HiringDecision]]=1,"Hired","Rejected")</f>
        <v>Rejected</v>
      </c>
      <c r="P233" s="6">
        <v>0</v>
      </c>
    </row>
    <row r="234" spans="1:16" x14ac:dyDescent="0.25">
      <c r="A234" s="4" t="str">
        <f t="shared" si="3"/>
        <v>C0233</v>
      </c>
      <c r="B234" s="4">
        <v>30</v>
      </c>
      <c r="C234" s="5" t="str">
        <f>IF(recruitment_data3[[#This Row],[Gender]]=1,"Female","Male")</f>
        <v>Female</v>
      </c>
      <c r="D234" s="5">
        <v>1</v>
      </c>
      <c r="E234" s="5" t="str">
        <f>_xlfn.SWITCH(recruitment_data3[[#This Row],[EducationLevel]], 1,"Bachelor Type 1", 2,"Bachelor Type 2", 3,"Masters", 4,"PhD")</f>
        <v>Bachelor Type 2</v>
      </c>
      <c r="F234" s="5">
        <v>2</v>
      </c>
      <c r="G234" s="5">
        <v>10</v>
      </c>
      <c r="H234" s="5">
        <v>3</v>
      </c>
      <c r="I234" s="5">
        <v>44.278561004738222</v>
      </c>
      <c r="J234" s="5">
        <v>57</v>
      </c>
      <c r="K234" s="5">
        <v>10</v>
      </c>
      <c r="L234" s="5">
        <v>41</v>
      </c>
      <c r="M234" s="5" t="str">
        <f>_xlfn.SWITCH(recruitment_data3[[#This Row],[RecruitmentStrategy]], 1,"Aggressive", 2,"Moderate", 3,"Conservative")</f>
        <v>Moderate</v>
      </c>
      <c r="N234" s="5">
        <v>2</v>
      </c>
      <c r="O234" s="5" t="str">
        <f>IF(recruitment_data3[[#This Row],[HiringDecision]]=1,"Hired","Rejected")</f>
        <v>Rejected</v>
      </c>
      <c r="P234" s="6">
        <v>0</v>
      </c>
    </row>
    <row r="235" spans="1:16" x14ac:dyDescent="0.25">
      <c r="A235" s="4" t="str">
        <f t="shared" si="3"/>
        <v>C0234</v>
      </c>
      <c r="B235" s="4">
        <v>45</v>
      </c>
      <c r="C235" s="5" t="str">
        <f>IF(recruitment_data3[[#This Row],[Gender]]=1,"Female","Male")</f>
        <v>Female</v>
      </c>
      <c r="D235" s="5">
        <v>1</v>
      </c>
      <c r="E235" s="5" t="str">
        <f>_xlfn.SWITCH(recruitment_data3[[#This Row],[EducationLevel]], 1,"Bachelor Type 1", 2,"Bachelor Type 2", 3,"Masters", 4,"PhD")</f>
        <v>Bachelor Type 2</v>
      </c>
      <c r="F235" s="5">
        <v>2</v>
      </c>
      <c r="G235" s="5">
        <v>8</v>
      </c>
      <c r="H235" s="5">
        <v>3</v>
      </c>
      <c r="I235" s="5">
        <v>29.860803650447508</v>
      </c>
      <c r="J235" s="5">
        <v>55</v>
      </c>
      <c r="K235" s="5">
        <v>87</v>
      </c>
      <c r="L235" s="5">
        <v>38</v>
      </c>
      <c r="M235" s="5" t="str">
        <f>_xlfn.SWITCH(recruitment_data3[[#This Row],[RecruitmentStrategy]], 1,"Aggressive", 2,"Moderate", 3,"Conservative")</f>
        <v>Moderate</v>
      </c>
      <c r="N235" s="5">
        <v>2</v>
      </c>
      <c r="O235" s="5" t="str">
        <f>IF(recruitment_data3[[#This Row],[HiringDecision]]=1,"Hired","Rejected")</f>
        <v>Rejected</v>
      </c>
      <c r="P235" s="6">
        <v>0</v>
      </c>
    </row>
    <row r="236" spans="1:16" x14ac:dyDescent="0.25">
      <c r="A236" s="4" t="str">
        <f t="shared" si="3"/>
        <v>C0235</v>
      </c>
      <c r="B236" s="4">
        <v>42</v>
      </c>
      <c r="C236" s="5" t="str">
        <f>IF(recruitment_data3[[#This Row],[Gender]]=1,"Female","Male")</f>
        <v>Female</v>
      </c>
      <c r="D236" s="5">
        <v>1</v>
      </c>
      <c r="E236" s="5" t="str">
        <f>_xlfn.SWITCH(recruitment_data3[[#This Row],[EducationLevel]], 1,"Bachelor Type 1", 2,"Bachelor Type 2", 3,"Masters", 4,"PhD")</f>
        <v>Bachelor Type 2</v>
      </c>
      <c r="F236" s="5">
        <v>2</v>
      </c>
      <c r="G236" s="5">
        <v>6</v>
      </c>
      <c r="H236" s="5">
        <v>3</v>
      </c>
      <c r="I236" s="5">
        <v>34.701893371247834</v>
      </c>
      <c r="J236" s="5">
        <v>23</v>
      </c>
      <c r="K236" s="5">
        <v>71</v>
      </c>
      <c r="L236" s="5">
        <v>68</v>
      </c>
      <c r="M236" s="5" t="str">
        <f>_xlfn.SWITCH(recruitment_data3[[#This Row],[RecruitmentStrategy]], 1,"Aggressive", 2,"Moderate", 3,"Conservative")</f>
        <v>Conservative</v>
      </c>
      <c r="N236" s="5">
        <v>3</v>
      </c>
      <c r="O236" s="5" t="str">
        <f>IF(recruitment_data3[[#This Row],[HiringDecision]]=1,"Hired","Rejected")</f>
        <v>Rejected</v>
      </c>
      <c r="P236" s="6">
        <v>0</v>
      </c>
    </row>
    <row r="237" spans="1:16" x14ac:dyDescent="0.25">
      <c r="A237" s="4" t="str">
        <f t="shared" si="3"/>
        <v>C0236</v>
      </c>
      <c r="B237" s="4">
        <v>47</v>
      </c>
      <c r="C237" s="5" t="str">
        <f>IF(recruitment_data3[[#This Row],[Gender]]=1,"Female","Male")</f>
        <v>Male</v>
      </c>
      <c r="D237" s="5">
        <v>0</v>
      </c>
      <c r="E237" s="5" t="str">
        <f>_xlfn.SWITCH(recruitment_data3[[#This Row],[EducationLevel]], 1,"Bachelor Type 1", 2,"Bachelor Type 2", 3,"Masters", 4,"PhD")</f>
        <v>Bachelor Type 2</v>
      </c>
      <c r="F237" s="5">
        <v>2</v>
      </c>
      <c r="G237" s="5">
        <v>0</v>
      </c>
      <c r="H237" s="5">
        <v>4</v>
      </c>
      <c r="I237" s="5">
        <v>1.8330235622107995</v>
      </c>
      <c r="J237" s="5">
        <v>72</v>
      </c>
      <c r="K237" s="5">
        <v>31</v>
      </c>
      <c r="L237" s="5">
        <v>47</v>
      </c>
      <c r="M237" s="5" t="str">
        <f>_xlfn.SWITCH(recruitment_data3[[#This Row],[RecruitmentStrategy]], 1,"Aggressive", 2,"Moderate", 3,"Conservative")</f>
        <v>Aggressive</v>
      </c>
      <c r="N237" s="5">
        <v>1</v>
      </c>
      <c r="O237" s="5" t="str">
        <f>IF(recruitment_data3[[#This Row],[HiringDecision]]=1,"Hired","Rejected")</f>
        <v>Rejected</v>
      </c>
      <c r="P237" s="6">
        <v>0</v>
      </c>
    </row>
    <row r="238" spans="1:16" x14ac:dyDescent="0.25">
      <c r="A238" s="4" t="str">
        <f t="shared" si="3"/>
        <v>C0237</v>
      </c>
      <c r="B238" s="4">
        <v>44</v>
      </c>
      <c r="C238" s="5" t="str">
        <f>IF(recruitment_data3[[#This Row],[Gender]]=1,"Female","Male")</f>
        <v>Female</v>
      </c>
      <c r="D238" s="5">
        <v>1</v>
      </c>
      <c r="E238" s="5" t="str">
        <f>_xlfn.SWITCH(recruitment_data3[[#This Row],[EducationLevel]], 1,"Bachelor Type 1", 2,"Bachelor Type 2", 3,"Masters", 4,"PhD")</f>
        <v>Bachelor Type 1</v>
      </c>
      <c r="F238" s="5">
        <v>1</v>
      </c>
      <c r="G238" s="5">
        <v>11</v>
      </c>
      <c r="H238" s="5">
        <v>4</v>
      </c>
      <c r="I238" s="5">
        <v>17.947238767422434</v>
      </c>
      <c r="J238" s="5">
        <v>30</v>
      </c>
      <c r="K238" s="5">
        <v>56</v>
      </c>
      <c r="L238" s="5">
        <v>56</v>
      </c>
      <c r="M238" s="5" t="str">
        <f>_xlfn.SWITCH(recruitment_data3[[#This Row],[RecruitmentStrategy]], 1,"Aggressive", 2,"Moderate", 3,"Conservative")</f>
        <v>Moderate</v>
      </c>
      <c r="N238" s="5">
        <v>2</v>
      </c>
      <c r="O238" s="5" t="str">
        <f>IF(recruitment_data3[[#This Row],[HiringDecision]]=1,"Hired","Rejected")</f>
        <v>Rejected</v>
      </c>
      <c r="P238" s="6">
        <v>0</v>
      </c>
    </row>
    <row r="239" spans="1:16" x14ac:dyDescent="0.25">
      <c r="A239" s="4" t="str">
        <f t="shared" si="3"/>
        <v>C0238</v>
      </c>
      <c r="B239" s="4">
        <v>26</v>
      </c>
      <c r="C239" s="5" t="str">
        <f>IF(recruitment_data3[[#This Row],[Gender]]=1,"Female","Male")</f>
        <v>Male</v>
      </c>
      <c r="D239" s="5">
        <v>0</v>
      </c>
      <c r="E239" s="5" t="str">
        <f>_xlfn.SWITCH(recruitment_data3[[#This Row],[EducationLevel]], 1,"Bachelor Type 1", 2,"Bachelor Type 2", 3,"Masters", 4,"PhD")</f>
        <v>Bachelor Type 1</v>
      </c>
      <c r="F239" s="5">
        <v>1</v>
      </c>
      <c r="G239" s="5">
        <v>11</v>
      </c>
      <c r="H239" s="5">
        <v>5</v>
      </c>
      <c r="I239" s="5">
        <v>40.783011533072099</v>
      </c>
      <c r="J239" s="5">
        <v>54</v>
      </c>
      <c r="K239" s="5">
        <v>37</v>
      </c>
      <c r="L239" s="5">
        <v>20</v>
      </c>
      <c r="M239" s="5" t="str">
        <f>_xlfn.SWITCH(recruitment_data3[[#This Row],[RecruitmentStrategy]], 1,"Aggressive", 2,"Moderate", 3,"Conservative")</f>
        <v>Aggressive</v>
      </c>
      <c r="N239" s="5">
        <v>1</v>
      </c>
      <c r="O239" s="5" t="str">
        <f>IF(recruitment_data3[[#This Row],[HiringDecision]]=1,"Hired","Rejected")</f>
        <v>Rejected</v>
      </c>
      <c r="P239" s="6">
        <v>0</v>
      </c>
    </row>
    <row r="240" spans="1:16" x14ac:dyDescent="0.25">
      <c r="A240" s="4" t="str">
        <f t="shared" si="3"/>
        <v>C0239</v>
      </c>
      <c r="B240" s="4">
        <v>49</v>
      </c>
      <c r="C240" s="5" t="str">
        <f>IF(recruitment_data3[[#This Row],[Gender]]=1,"Female","Male")</f>
        <v>Female</v>
      </c>
      <c r="D240" s="5">
        <v>1</v>
      </c>
      <c r="E240" s="5" t="str">
        <f>_xlfn.SWITCH(recruitment_data3[[#This Row],[EducationLevel]], 1,"Bachelor Type 1", 2,"Bachelor Type 2", 3,"Masters", 4,"PhD")</f>
        <v>Masters</v>
      </c>
      <c r="F240" s="5">
        <v>3</v>
      </c>
      <c r="G240" s="5">
        <v>0</v>
      </c>
      <c r="H240" s="5">
        <v>3</v>
      </c>
      <c r="I240" s="5">
        <v>4.8741486896192949</v>
      </c>
      <c r="J240" s="5">
        <v>9</v>
      </c>
      <c r="K240" s="5">
        <v>59</v>
      </c>
      <c r="L240" s="5">
        <v>81</v>
      </c>
      <c r="M240" s="5" t="str">
        <f>_xlfn.SWITCH(recruitment_data3[[#This Row],[RecruitmentStrategy]], 1,"Aggressive", 2,"Moderate", 3,"Conservative")</f>
        <v>Moderate</v>
      </c>
      <c r="N240" s="5">
        <v>2</v>
      </c>
      <c r="O240" s="5" t="str">
        <f>IF(recruitment_data3[[#This Row],[HiringDecision]]=1,"Hired","Rejected")</f>
        <v>Rejected</v>
      </c>
      <c r="P240" s="6">
        <v>0</v>
      </c>
    </row>
    <row r="241" spans="1:16" x14ac:dyDescent="0.25">
      <c r="A241" s="4" t="str">
        <f t="shared" si="3"/>
        <v>C0240</v>
      </c>
      <c r="B241" s="4">
        <v>20</v>
      </c>
      <c r="C241" s="5" t="str">
        <f>IF(recruitment_data3[[#This Row],[Gender]]=1,"Female","Male")</f>
        <v>Male</v>
      </c>
      <c r="D241" s="5">
        <v>0</v>
      </c>
      <c r="E241" s="5" t="str">
        <f>_xlfn.SWITCH(recruitment_data3[[#This Row],[EducationLevel]], 1,"Bachelor Type 1", 2,"Bachelor Type 2", 3,"Masters", 4,"PhD")</f>
        <v>Bachelor Type 2</v>
      </c>
      <c r="F241" s="5">
        <v>2</v>
      </c>
      <c r="G241" s="5">
        <v>5</v>
      </c>
      <c r="H241" s="5">
        <v>1</v>
      </c>
      <c r="I241" s="5">
        <v>15.11569171053601</v>
      </c>
      <c r="J241" s="5">
        <v>59</v>
      </c>
      <c r="K241" s="5">
        <v>85</v>
      </c>
      <c r="L241" s="5">
        <v>98</v>
      </c>
      <c r="M241" s="5" t="str">
        <f>_xlfn.SWITCH(recruitment_data3[[#This Row],[RecruitmentStrategy]], 1,"Aggressive", 2,"Moderate", 3,"Conservative")</f>
        <v>Moderate</v>
      </c>
      <c r="N241" s="5">
        <v>2</v>
      </c>
      <c r="O241" s="5" t="str">
        <f>IF(recruitment_data3[[#This Row],[HiringDecision]]=1,"Hired","Rejected")</f>
        <v>Rejected</v>
      </c>
      <c r="P241" s="6">
        <v>0</v>
      </c>
    </row>
    <row r="242" spans="1:16" x14ac:dyDescent="0.25">
      <c r="A242" s="4" t="str">
        <f t="shared" si="3"/>
        <v>C0241</v>
      </c>
      <c r="B242" s="4">
        <v>20</v>
      </c>
      <c r="C242" s="5" t="str">
        <f>IF(recruitment_data3[[#This Row],[Gender]]=1,"Female","Male")</f>
        <v>Male</v>
      </c>
      <c r="D242" s="5">
        <v>0</v>
      </c>
      <c r="E242" s="5" t="str">
        <f>_xlfn.SWITCH(recruitment_data3[[#This Row],[EducationLevel]], 1,"Bachelor Type 1", 2,"Bachelor Type 2", 3,"Masters", 4,"PhD")</f>
        <v>Bachelor Type 2</v>
      </c>
      <c r="F242" s="5">
        <v>2</v>
      </c>
      <c r="G242" s="5">
        <v>4</v>
      </c>
      <c r="H242" s="5">
        <v>5</v>
      </c>
      <c r="I242" s="5">
        <v>30.264841416715566</v>
      </c>
      <c r="J242" s="5">
        <v>1</v>
      </c>
      <c r="K242" s="5">
        <v>97</v>
      </c>
      <c r="L242" s="5">
        <v>19</v>
      </c>
      <c r="M242" s="5" t="str">
        <f>_xlfn.SWITCH(recruitment_data3[[#This Row],[RecruitmentStrategy]], 1,"Aggressive", 2,"Moderate", 3,"Conservative")</f>
        <v>Conservative</v>
      </c>
      <c r="N242" s="5">
        <v>3</v>
      </c>
      <c r="O242" s="5" t="str">
        <f>IF(recruitment_data3[[#This Row],[HiringDecision]]=1,"Hired","Rejected")</f>
        <v>Rejected</v>
      </c>
      <c r="P242" s="6">
        <v>0</v>
      </c>
    </row>
    <row r="243" spans="1:16" x14ac:dyDescent="0.25">
      <c r="A243" s="4" t="str">
        <f t="shared" si="3"/>
        <v>C0242</v>
      </c>
      <c r="B243" s="4">
        <v>44</v>
      </c>
      <c r="C243" s="5" t="str">
        <f>IF(recruitment_data3[[#This Row],[Gender]]=1,"Female","Male")</f>
        <v>Female</v>
      </c>
      <c r="D243" s="5">
        <v>1</v>
      </c>
      <c r="E243" s="5" t="str">
        <f>_xlfn.SWITCH(recruitment_data3[[#This Row],[EducationLevel]], 1,"Bachelor Type 1", 2,"Bachelor Type 2", 3,"Masters", 4,"PhD")</f>
        <v>Masters</v>
      </c>
      <c r="F243" s="5">
        <v>3</v>
      </c>
      <c r="G243" s="5">
        <v>8</v>
      </c>
      <c r="H243" s="5">
        <v>1</v>
      </c>
      <c r="I243" s="5">
        <v>13.820651384947091</v>
      </c>
      <c r="J243" s="5">
        <v>14</v>
      </c>
      <c r="K243" s="5">
        <v>18</v>
      </c>
      <c r="L243" s="5">
        <v>14</v>
      </c>
      <c r="M243" s="5" t="str">
        <f>_xlfn.SWITCH(recruitment_data3[[#This Row],[RecruitmentStrategy]], 1,"Aggressive", 2,"Moderate", 3,"Conservative")</f>
        <v>Conservative</v>
      </c>
      <c r="N243" s="5">
        <v>3</v>
      </c>
      <c r="O243" s="5" t="str">
        <f>IF(recruitment_data3[[#This Row],[HiringDecision]]=1,"Hired","Rejected")</f>
        <v>Rejected</v>
      </c>
      <c r="P243" s="6">
        <v>0</v>
      </c>
    </row>
    <row r="244" spans="1:16" x14ac:dyDescent="0.25">
      <c r="A244" s="4" t="str">
        <f t="shared" si="3"/>
        <v>C0243</v>
      </c>
      <c r="B244" s="4">
        <v>46</v>
      </c>
      <c r="C244" s="5" t="str">
        <f>IF(recruitment_data3[[#This Row],[Gender]]=1,"Female","Male")</f>
        <v>Female</v>
      </c>
      <c r="D244" s="5">
        <v>1</v>
      </c>
      <c r="E244" s="5" t="str">
        <f>_xlfn.SWITCH(recruitment_data3[[#This Row],[EducationLevel]], 1,"Bachelor Type 1", 2,"Bachelor Type 2", 3,"Masters", 4,"PhD")</f>
        <v>Bachelor Type 2</v>
      </c>
      <c r="F244" s="5">
        <v>2</v>
      </c>
      <c r="G244" s="5">
        <v>1</v>
      </c>
      <c r="H244" s="5">
        <v>4</v>
      </c>
      <c r="I244" s="5">
        <v>47.698898707225958</v>
      </c>
      <c r="J244" s="5">
        <v>2</v>
      </c>
      <c r="K244" s="5">
        <v>83</v>
      </c>
      <c r="L244" s="5">
        <v>68</v>
      </c>
      <c r="M244" s="5" t="str">
        <f>_xlfn.SWITCH(recruitment_data3[[#This Row],[RecruitmentStrategy]], 1,"Aggressive", 2,"Moderate", 3,"Conservative")</f>
        <v>Moderate</v>
      </c>
      <c r="N244" s="5">
        <v>2</v>
      </c>
      <c r="O244" s="5" t="str">
        <f>IF(recruitment_data3[[#This Row],[HiringDecision]]=1,"Hired","Rejected")</f>
        <v>Rejected</v>
      </c>
      <c r="P244" s="6">
        <v>0</v>
      </c>
    </row>
    <row r="245" spans="1:16" x14ac:dyDescent="0.25">
      <c r="A245" s="4" t="str">
        <f t="shared" si="3"/>
        <v>C0244</v>
      </c>
      <c r="B245" s="4">
        <v>49</v>
      </c>
      <c r="C245" s="5" t="str">
        <f>IF(recruitment_data3[[#This Row],[Gender]]=1,"Female","Male")</f>
        <v>Male</v>
      </c>
      <c r="D245" s="5">
        <v>0</v>
      </c>
      <c r="E245" s="5" t="str">
        <f>_xlfn.SWITCH(recruitment_data3[[#This Row],[EducationLevel]], 1,"Bachelor Type 1", 2,"Bachelor Type 2", 3,"Masters", 4,"PhD")</f>
        <v>Masters</v>
      </c>
      <c r="F245" s="5">
        <v>3</v>
      </c>
      <c r="G245" s="5">
        <v>7</v>
      </c>
      <c r="H245" s="5">
        <v>5</v>
      </c>
      <c r="I245" s="5">
        <v>7.5529315402145185</v>
      </c>
      <c r="J245" s="5">
        <v>42</v>
      </c>
      <c r="K245" s="5">
        <v>55</v>
      </c>
      <c r="L245" s="5">
        <v>76</v>
      </c>
      <c r="M245" s="5" t="str">
        <f>_xlfn.SWITCH(recruitment_data3[[#This Row],[RecruitmentStrategy]], 1,"Aggressive", 2,"Moderate", 3,"Conservative")</f>
        <v>Aggressive</v>
      </c>
      <c r="N245" s="5">
        <v>1</v>
      </c>
      <c r="O245" s="5" t="str">
        <f>IF(recruitment_data3[[#This Row],[HiringDecision]]=1,"Hired","Rejected")</f>
        <v>Hired</v>
      </c>
      <c r="P245" s="6">
        <v>1</v>
      </c>
    </row>
    <row r="246" spans="1:16" x14ac:dyDescent="0.25">
      <c r="A246" s="4" t="str">
        <f t="shared" si="3"/>
        <v>C0245</v>
      </c>
      <c r="B246" s="4">
        <v>44</v>
      </c>
      <c r="C246" s="5" t="str">
        <f>IF(recruitment_data3[[#This Row],[Gender]]=1,"Female","Male")</f>
        <v>Female</v>
      </c>
      <c r="D246" s="5">
        <v>1</v>
      </c>
      <c r="E246" s="5" t="str">
        <f>_xlfn.SWITCH(recruitment_data3[[#This Row],[EducationLevel]], 1,"Bachelor Type 1", 2,"Bachelor Type 2", 3,"Masters", 4,"PhD")</f>
        <v>Bachelor Type 2</v>
      </c>
      <c r="F246" s="5">
        <v>2</v>
      </c>
      <c r="G246" s="5">
        <v>10</v>
      </c>
      <c r="H246" s="5">
        <v>5</v>
      </c>
      <c r="I246" s="5">
        <v>40.869717895388931</v>
      </c>
      <c r="J246" s="5">
        <v>30</v>
      </c>
      <c r="K246" s="5">
        <v>13</v>
      </c>
      <c r="L246" s="5">
        <v>50</v>
      </c>
      <c r="M246" s="5" t="str">
        <f>_xlfn.SWITCH(recruitment_data3[[#This Row],[RecruitmentStrategy]], 1,"Aggressive", 2,"Moderate", 3,"Conservative")</f>
        <v>Moderate</v>
      </c>
      <c r="N246" s="5">
        <v>2</v>
      </c>
      <c r="O246" s="5" t="str">
        <f>IF(recruitment_data3[[#This Row],[HiringDecision]]=1,"Hired","Rejected")</f>
        <v>Rejected</v>
      </c>
      <c r="P246" s="6">
        <v>0</v>
      </c>
    </row>
    <row r="247" spans="1:16" x14ac:dyDescent="0.25">
      <c r="A247" s="4" t="str">
        <f t="shared" si="3"/>
        <v>C0246</v>
      </c>
      <c r="B247" s="4">
        <v>39</v>
      </c>
      <c r="C247" s="5" t="str">
        <f>IF(recruitment_data3[[#This Row],[Gender]]=1,"Female","Male")</f>
        <v>Male</v>
      </c>
      <c r="D247" s="5">
        <v>0</v>
      </c>
      <c r="E247" s="5" t="str">
        <f>_xlfn.SWITCH(recruitment_data3[[#This Row],[EducationLevel]], 1,"Bachelor Type 1", 2,"Bachelor Type 2", 3,"Masters", 4,"PhD")</f>
        <v>PhD</v>
      </c>
      <c r="F247" s="5">
        <v>4</v>
      </c>
      <c r="G247" s="5">
        <v>4</v>
      </c>
      <c r="H247" s="5">
        <v>2</v>
      </c>
      <c r="I247" s="5">
        <v>26.397434595320412</v>
      </c>
      <c r="J247" s="5">
        <v>69</v>
      </c>
      <c r="K247" s="5">
        <v>32</v>
      </c>
      <c r="L247" s="5">
        <v>75</v>
      </c>
      <c r="M247" s="5" t="str">
        <f>_xlfn.SWITCH(recruitment_data3[[#This Row],[RecruitmentStrategy]], 1,"Aggressive", 2,"Moderate", 3,"Conservative")</f>
        <v>Moderate</v>
      </c>
      <c r="N247" s="5">
        <v>2</v>
      </c>
      <c r="O247" s="5" t="str">
        <f>IF(recruitment_data3[[#This Row],[HiringDecision]]=1,"Hired","Rejected")</f>
        <v>Rejected</v>
      </c>
      <c r="P247" s="6">
        <v>0</v>
      </c>
    </row>
    <row r="248" spans="1:16" x14ac:dyDescent="0.25">
      <c r="A248" s="4" t="str">
        <f t="shared" si="3"/>
        <v>C0247</v>
      </c>
      <c r="B248" s="4">
        <v>32</v>
      </c>
      <c r="C248" s="5" t="str">
        <f>IF(recruitment_data3[[#This Row],[Gender]]=1,"Female","Male")</f>
        <v>Male</v>
      </c>
      <c r="D248" s="5">
        <v>0</v>
      </c>
      <c r="E248" s="5" t="str">
        <f>_xlfn.SWITCH(recruitment_data3[[#This Row],[EducationLevel]], 1,"Bachelor Type 1", 2,"Bachelor Type 2", 3,"Masters", 4,"PhD")</f>
        <v>Bachelor Type 1</v>
      </c>
      <c r="F248" s="5">
        <v>1</v>
      </c>
      <c r="G248" s="5">
        <v>1</v>
      </c>
      <c r="H248" s="5">
        <v>4</v>
      </c>
      <c r="I248" s="5">
        <v>38.516538790997799</v>
      </c>
      <c r="J248" s="5">
        <v>66</v>
      </c>
      <c r="K248" s="5">
        <v>9</v>
      </c>
      <c r="L248" s="5">
        <v>61</v>
      </c>
      <c r="M248" s="5" t="str">
        <f>_xlfn.SWITCH(recruitment_data3[[#This Row],[RecruitmentStrategy]], 1,"Aggressive", 2,"Moderate", 3,"Conservative")</f>
        <v>Aggressive</v>
      </c>
      <c r="N248" s="5">
        <v>1</v>
      </c>
      <c r="O248" s="5" t="str">
        <f>IF(recruitment_data3[[#This Row],[HiringDecision]]=1,"Hired","Rejected")</f>
        <v>Rejected</v>
      </c>
      <c r="P248" s="6">
        <v>0</v>
      </c>
    </row>
    <row r="249" spans="1:16" x14ac:dyDescent="0.25">
      <c r="A249" s="4" t="str">
        <f t="shared" si="3"/>
        <v>C0248</v>
      </c>
      <c r="B249" s="4">
        <v>28</v>
      </c>
      <c r="C249" s="5" t="str">
        <f>IF(recruitment_data3[[#This Row],[Gender]]=1,"Female","Male")</f>
        <v>Male</v>
      </c>
      <c r="D249" s="5">
        <v>0</v>
      </c>
      <c r="E249" s="5" t="str">
        <f>_xlfn.SWITCH(recruitment_data3[[#This Row],[EducationLevel]], 1,"Bachelor Type 1", 2,"Bachelor Type 2", 3,"Masters", 4,"PhD")</f>
        <v>Bachelor Type 1</v>
      </c>
      <c r="F249" s="5">
        <v>1</v>
      </c>
      <c r="G249" s="5">
        <v>12</v>
      </c>
      <c r="H249" s="5">
        <v>4</v>
      </c>
      <c r="I249" s="5">
        <v>16.535766415572372</v>
      </c>
      <c r="J249" s="5">
        <v>55</v>
      </c>
      <c r="K249" s="5">
        <v>79</v>
      </c>
      <c r="L249" s="5">
        <v>84</v>
      </c>
      <c r="M249" s="5" t="str">
        <f>_xlfn.SWITCH(recruitment_data3[[#This Row],[RecruitmentStrategy]], 1,"Aggressive", 2,"Moderate", 3,"Conservative")</f>
        <v>Moderate</v>
      </c>
      <c r="N249" s="5">
        <v>2</v>
      </c>
      <c r="O249" s="5" t="str">
        <f>IF(recruitment_data3[[#This Row],[HiringDecision]]=1,"Hired","Rejected")</f>
        <v>Rejected</v>
      </c>
      <c r="P249" s="6">
        <v>0</v>
      </c>
    </row>
    <row r="250" spans="1:16" x14ac:dyDescent="0.25">
      <c r="A250" s="4" t="str">
        <f t="shared" si="3"/>
        <v>C0249</v>
      </c>
      <c r="B250" s="4">
        <v>22</v>
      </c>
      <c r="C250" s="5" t="str">
        <f>IF(recruitment_data3[[#This Row],[Gender]]=1,"Female","Male")</f>
        <v>Male</v>
      </c>
      <c r="D250" s="5">
        <v>0</v>
      </c>
      <c r="E250" s="5" t="str">
        <f>_xlfn.SWITCH(recruitment_data3[[#This Row],[EducationLevel]], 1,"Bachelor Type 1", 2,"Bachelor Type 2", 3,"Masters", 4,"PhD")</f>
        <v>Bachelor Type 2</v>
      </c>
      <c r="F250" s="5">
        <v>2</v>
      </c>
      <c r="G250" s="5">
        <v>9</v>
      </c>
      <c r="H250" s="5">
        <v>5</v>
      </c>
      <c r="I250" s="5">
        <v>26.724480115601938</v>
      </c>
      <c r="J250" s="5">
        <v>62</v>
      </c>
      <c r="K250" s="5">
        <v>63</v>
      </c>
      <c r="L250" s="5">
        <v>36</v>
      </c>
      <c r="M250" s="5" t="str">
        <f>_xlfn.SWITCH(recruitment_data3[[#This Row],[RecruitmentStrategy]], 1,"Aggressive", 2,"Moderate", 3,"Conservative")</f>
        <v>Conservative</v>
      </c>
      <c r="N250" s="5">
        <v>3</v>
      </c>
      <c r="O250" s="5" t="str">
        <f>IF(recruitment_data3[[#This Row],[HiringDecision]]=1,"Hired","Rejected")</f>
        <v>Rejected</v>
      </c>
      <c r="P250" s="6">
        <v>0</v>
      </c>
    </row>
    <row r="251" spans="1:16" x14ac:dyDescent="0.25">
      <c r="A251" s="4" t="str">
        <f t="shared" si="3"/>
        <v>C0250</v>
      </c>
      <c r="B251" s="4">
        <v>26</v>
      </c>
      <c r="C251" s="5" t="str">
        <f>IF(recruitment_data3[[#This Row],[Gender]]=1,"Female","Male")</f>
        <v>Male</v>
      </c>
      <c r="D251" s="5">
        <v>0</v>
      </c>
      <c r="E251" s="5" t="str">
        <f>_xlfn.SWITCH(recruitment_data3[[#This Row],[EducationLevel]], 1,"Bachelor Type 1", 2,"Bachelor Type 2", 3,"Masters", 4,"PhD")</f>
        <v>PhD</v>
      </c>
      <c r="F251" s="5">
        <v>4</v>
      </c>
      <c r="G251" s="5">
        <v>10</v>
      </c>
      <c r="H251" s="5">
        <v>4</v>
      </c>
      <c r="I251" s="5">
        <v>43.841767486158815</v>
      </c>
      <c r="J251" s="5">
        <v>74</v>
      </c>
      <c r="K251" s="5">
        <v>63</v>
      </c>
      <c r="L251" s="5">
        <v>5</v>
      </c>
      <c r="M251" s="5" t="str">
        <f>_xlfn.SWITCH(recruitment_data3[[#This Row],[RecruitmentStrategy]], 1,"Aggressive", 2,"Moderate", 3,"Conservative")</f>
        <v>Moderate</v>
      </c>
      <c r="N251" s="5">
        <v>2</v>
      </c>
      <c r="O251" s="5" t="str">
        <f>IF(recruitment_data3[[#This Row],[HiringDecision]]=1,"Hired","Rejected")</f>
        <v>Hired</v>
      </c>
      <c r="P251" s="6">
        <v>1</v>
      </c>
    </row>
    <row r="252" spans="1:16" x14ac:dyDescent="0.25">
      <c r="A252" s="4" t="str">
        <f t="shared" si="3"/>
        <v>C0251</v>
      </c>
      <c r="B252" s="4">
        <v>25</v>
      </c>
      <c r="C252" s="5" t="str">
        <f>IF(recruitment_data3[[#This Row],[Gender]]=1,"Female","Male")</f>
        <v>Female</v>
      </c>
      <c r="D252" s="5">
        <v>1</v>
      </c>
      <c r="E252" s="5" t="str">
        <f>_xlfn.SWITCH(recruitment_data3[[#This Row],[EducationLevel]], 1,"Bachelor Type 1", 2,"Bachelor Type 2", 3,"Masters", 4,"PhD")</f>
        <v>Masters</v>
      </c>
      <c r="F252" s="5">
        <v>3</v>
      </c>
      <c r="G252" s="5">
        <v>10</v>
      </c>
      <c r="H252" s="5">
        <v>5</v>
      </c>
      <c r="I252" s="5">
        <v>24.343904956155221</v>
      </c>
      <c r="J252" s="5">
        <v>14</v>
      </c>
      <c r="K252" s="5">
        <v>61</v>
      </c>
      <c r="L252" s="5">
        <v>70</v>
      </c>
      <c r="M252" s="5" t="str">
        <f>_xlfn.SWITCH(recruitment_data3[[#This Row],[RecruitmentStrategy]], 1,"Aggressive", 2,"Moderate", 3,"Conservative")</f>
        <v>Moderate</v>
      </c>
      <c r="N252" s="5">
        <v>2</v>
      </c>
      <c r="O252" s="5" t="str">
        <f>IF(recruitment_data3[[#This Row],[HiringDecision]]=1,"Hired","Rejected")</f>
        <v>Hired</v>
      </c>
      <c r="P252" s="6">
        <v>1</v>
      </c>
    </row>
    <row r="253" spans="1:16" x14ac:dyDescent="0.25">
      <c r="A253" s="4" t="str">
        <f t="shared" si="3"/>
        <v>C0252</v>
      </c>
      <c r="B253" s="4">
        <v>27</v>
      </c>
      <c r="C253" s="5" t="str">
        <f>IF(recruitment_data3[[#This Row],[Gender]]=1,"Female","Male")</f>
        <v>Male</v>
      </c>
      <c r="D253" s="5">
        <v>0</v>
      </c>
      <c r="E253" s="5" t="str">
        <f>_xlfn.SWITCH(recruitment_data3[[#This Row],[EducationLevel]], 1,"Bachelor Type 1", 2,"Bachelor Type 2", 3,"Masters", 4,"PhD")</f>
        <v>Bachelor Type 1</v>
      </c>
      <c r="F253" s="5">
        <v>1</v>
      </c>
      <c r="G253" s="5">
        <v>11</v>
      </c>
      <c r="H253" s="5">
        <v>2</v>
      </c>
      <c r="I253" s="5">
        <v>18.985993095513482</v>
      </c>
      <c r="J253" s="5">
        <v>91</v>
      </c>
      <c r="K253" s="5">
        <v>67</v>
      </c>
      <c r="L253" s="5">
        <v>25</v>
      </c>
      <c r="M253" s="5" t="str">
        <f>_xlfn.SWITCH(recruitment_data3[[#This Row],[RecruitmentStrategy]], 1,"Aggressive", 2,"Moderate", 3,"Conservative")</f>
        <v>Conservative</v>
      </c>
      <c r="N253" s="5">
        <v>3</v>
      </c>
      <c r="O253" s="5" t="str">
        <f>IF(recruitment_data3[[#This Row],[HiringDecision]]=1,"Hired","Rejected")</f>
        <v>Rejected</v>
      </c>
      <c r="P253" s="6">
        <v>0</v>
      </c>
    </row>
    <row r="254" spans="1:16" x14ac:dyDescent="0.25">
      <c r="A254" s="4" t="str">
        <f t="shared" si="3"/>
        <v>C0253</v>
      </c>
      <c r="B254" s="4">
        <v>46</v>
      </c>
      <c r="C254" s="5" t="str">
        <f>IF(recruitment_data3[[#This Row],[Gender]]=1,"Female","Male")</f>
        <v>Male</v>
      </c>
      <c r="D254" s="5">
        <v>0</v>
      </c>
      <c r="E254" s="5" t="str">
        <f>_xlfn.SWITCH(recruitment_data3[[#This Row],[EducationLevel]], 1,"Bachelor Type 1", 2,"Bachelor Type 2", 3,"Masters", 4,"PhD")</f>
        <v>Bachelor Type 2</v>
      </c>
      <c r="F254" s="5">
        <v>2</v>
      </c>
      <c r="G254" s="5">
        <v>5</v>
      </c>
      <c r="H254" s="5">
        <v>5</v>
      </c>
      <c r="I254" s="5">
        <v>27.807769312636804</v>
      </c>
      <c r="J254" s="5">
        <v>9</v>
      </c>
      <c r="K254" s="5">
        <v>90</v>
      </c>
      <c r="L254" s="5">
        <v>7</v>
      </c>
      <c r="M254" s="5" t="str">
        <f>_xlfn.SWITCH(recruitment_data3[[#This Row],[RecruitmentStrategy]], 1,"Aggressive", 2,"Moderate", 3,"Conservative")</f>
        <v>Aggressive</v>
      </c>
      <c r="N254" s="5">
        <v>1</v>
      </c>
      <c r="O254" s="5" t="str">
        <f>IF(recruitment_data3[[#This Row],[HiringDecision]]=1,"Hired","Rejected")</f>
        <v>Rejected</v>
      </c>
      <c r="P254" s="6">
        <v>0</v>
      </c>
    </row>
    <row r="255" spans="1:16" x14ac:dyDescent="0.25">
      <c r="A255" s="4" t="str">
        <f t="shared" si="3"/>
        <v>C0254</v>
      </c>
      <c r="B255" s="4">
        <v>28</v>
      </c>
      <c r="C255" s="5" t="str">
        <f>IF(recruitment_data3[[#This Row],[Gender]]=1,"Female","Male")</f>
        <v>Female</v>
      </c>
      <c r="D255" s="5">
        <v>1</v>
      </c>
      <c r="E255" s="5" t="str">
        <f>_xlfn.SWITCH(recruitment_data3[[#This Row],[EducationLevel]], 1,"Bachelor Type 1", 2,"Bachelor Type 2", 3,"Masters", 4,"PhD")</f>
        <v>PhD</v>
      </c>
      <c r="F255" s="5">
        <v>4</v>
      </c>
      <c r="G255" s="5">
        <v>9</v>
      </c>
      <c r="H255" s="5">
        <v>4</v>
      </c>
      <c r="I255" s="5">
        <v>36.868137651818344</v>
      </c>
      <c r="J255" s="5">
        <v>37</v>
      </c>
      <c r="K255" s="5">
        <v>91</v>
      </c>
      <c r="L255" s="5">
        <v>72</v>
      </c>
      <c r="M255" s="5" t="str">
        <f>_xlfn.SWITCH(recruitment_data3[[#This Row],[RecruitmentStrategy]], 1,"Aggressive", 2,"Moderate", 3,"Conservative")</f>
        <v>Aggressive</v>
      </c>
      <c r="N255" s="5">
        <v>1</v>
      </c>
      <c r="O255" s="5" t="str">
        <f>IF(recruitment_data3[[#This Row],[HiringDecision]]=1,"Hired","Rejected")</f>
        <v>Hired</v>
      </c>
      <c r="P255" s="6">
        <v>1</v>
      </c>
    </row>
    <row r="256" spans="1:16" x14ac:dyDescent="0.25">
      <c r="A256" s="4" t="str">
        <f t="shared" si="3"/>
        <v>C0255</v>
      </c>
      <c r="B256" s="4">
        <v>49</v>
      </c>
      <c r="C256" s="5" t="str">
        <f>IF(recruitment_data3[[#This Row],[Gender]]=1,"Female","Male")</f>
        <v>Male</v>
      </c>
      <c r="D256" s="5">
        <v>0</v>
      </c>
      <c r="E256" s="5" t="str">
        <f>_xlfn.SWITCH(recruitment_data3[[#This Row],[EducationLevel]], 1,"Bachelor Type 1", 2,"Bachelor Type 2", 3,"Masters", 4,"PhD")</f>
        <v>Bachelor Type 2</v>
      </c>
      <c r="F256" s="5">
        <v>2</v>
      </c>
      <c r="G256" s="5">
        <v>7</v>
      </c>
      <c r="H256" s="5">
        <v>4</v>
      </c>
      <c r="I256" s="5">
        <v>23.178167274925137</v>
      </c>
      <c r="J256" s="5">
        <v>46</v>
      </c>
      <c r="K256" s="5">
        <v>42</v>
      </c>
      <c r="L256" s="5">
        <v>90</v>
      </c>
      <c r="M256" s="5" t="str">
        <f>_xlfn.SWITCH(recruitment_data3[[#This Row],[RecruitmentStrategy]], 1,"Aggressive", 2,"Moderate", 3,"Conservative")</f>
        <v>Moderate</v>
      </c>
      <c r="N256" s="5">
        <v>2</v>
      </c>
      <c r="O256" s="5" t="str">
        <f>IF(recruitment_data3[[#This Row],[HiringDecision]]=1,"Hired","Rejected")</f>
        <v>Rejected</v>
      </c>
      <c r="P256" s="6">
        <v>0</v>
      </c>
    </row>
    <row r="257" spans="1:16" x14ac:dyDescent="0.25">
      <c r="A257" s="4" t="str">
        <f t="shared" si="3"/>
        <v>C0256</v>
      </c>
      <c r="B257" s="4">
        <v>24</v>
      </c>
      <c r="C257" s="5" t="str">
        <f>IF(recruitment_data3[[#This Row],[Gender]]=1,"Female","Male")</f>
        <v>Female</v>
      </c>
      <c r="D257" s="5">
        <v>1</v>
      </c>
      <c r="E257" s="5" t="str">
        <f>_xlfn.SWITCH(recruitment_data3[[#This Row],[EducationLevel]], 1,"Bachelor Type 1", 2,"Bachelor Type 2", 3,"Masters", 4,"PhD")</f>
        <v>Masters</v>
      </c>
      <c r="F257" s="5">
        <v>3</v>
      </c>
      <c r="G257" s="5">
        <v>3</v>
      </c>
      <c r="H257" s="5">
        <v>5</v>
      </c>
      <c r="I257" s="5">
        <v>47.943848757113649</v>
      </c>
      <c r="J257" s="5">
        <v>56</v>
      </c>
      <c r="K257" s="5">
        <v>79</v>
      </c>
      <c r="L257" s="5">
        <v>3</v>
      </c>
      <c r="M257" s="5" t="str">
        <f>_xlfn.SWITCH(recruitment_data3[[#This Row],[RecruitmentStrategy]], 1,"Aggressive", 2,"Moderate", 3,"Conservative")</f>
        <v>Moderate</v>
      </c>
      <c r="N257" s="5">
        <v>2</v>
      </c>
      <c r="O257" s="5" t="str">
        <f>IF(recruitment_data3[[#This Row],[HiringDecision]]=1,"Hired","Rejected")</f>
        <v>Rejected</v>
      </c>
      <c r="P257" s="6">
        <v>0</v>
      </c>
    </row>
    <row r="258" spans="1:16" x14ac:dyDescent="0.25">
      <c r="A258" s="4" t="str">
        <f t="shared" ref="A258:A321" si="4">"C"&amp;TEXT(ROW()-1,"0000")</f>
        <v>C0257</v>
      </c>
      <c r="B258" s="4">
        <v>20</v>
      </c>
      <c r="C258" s="5" t="str">
        <f>IF(recruitment_data3[[#This Row],[Gender]]=1,"Female","Male")</f>
        <v>Female</v>
      </c>
      <c r="D258" s="5">
        <v>1</v>
      </c>
      <c r="E258" s="5" t="str">
        <f>_xlfn.SWITCH(recruitment_data3[[#This Row],[EducationLevel]], 1,"Bachelor Type 1", 2,"Bachelor Type 2", 3,"Masters", 4,"PhD")</f>
        <v>Masters</v>
      </c>
      <c r="F258" s="5">
        <v>3</v>
      </c>
      <c r="G258" s="5">
        <v>1</v>
      </c>
      <c r="H258" s="5">
        <v>5</v>
      </c>
      <c r="I258" s="5">
        <v>15.747291202117102</v>
      </c>
      <c r="J258" s="5">
        <v>49</v>
      </c>
      <c r="K258" s="5">
        <v>58</v>
      </c>
      <c r="L258" s="5">
        <v>20</v>
      </c>
      <c r="M258" s="5" t="str">
        <f>_xlfn.SWITCH(recruitment_data3[[#This Row],[RecruitmentStrategy]], 1,"Aggressive", 2,"Moderate", 3,"Conservative")</f>
        <v>Moderate</v>
      </c>
      <c r="N258" s="5">
        <v>2</v>
      </c>
      <c r="O258" s="5" t="str">
        <f>IF(recruitment_data3[[#This Row],[HiringDecision]]=1,"Hired","Rejected")</f>
        <v>Rejected</v>
      </c>
      <c r="P258" s="6">
        <v>0</v>
      </c>
    </row>
    <row r="259" spans="1:16" x14ac:dyDescent="0.25">
      <c r="A259" s="4" t="str">
        <f t="shared" si="4"/>
        <v>C0258</v>
      </c>
      <c r="B259" s="4">
        <v>38</v>
      </c>
      <c r="C259" s="5" t="str">
        <f>IF(recruitment_data3[[#This Row],[Gender]]=1,"Female","Male")</f>
        <v>Female</v>
      </c>
      <c r="D259" s="5">
        <v>1</v>
      </c>
      <c r="E259" s="5" t="str">
        <f>_xlfn.SWITCH(recruitment_data3[[#This Row],[EducationLevel]], 1,"Bachelor Type 1", 2,"Bachelor Type 2", 3,"Masters", 4,"PhD")</f>
        <v>Bachelor Type 2</v>
      </c>
      <c r="F259" s="5">
        <v>2</v>
      </c>
      <c r="G259" s="5">
        <v>11</v>
      </c>
      <c r="H259" s="5">
        <v>5</v>
      </c>
      <c r="I259" s="5">
        <v>24.77318030845602</v>
      </c>
      <c r="J259" s="5">
        <v>70</v>
      </c>
      <c r="K259" s="5">
        <v>51</v>
      </c>
      <c r="L259" s="5">
        <v>30</v>
      </c>
      <c r="M259" s="5" t="str">
        <f>_xlfn.SWITCH(recruitment_data3[[#This Row],[RecruitmentStrategy]], 1,"Aggressive", 2,"Moderate", 3,"Conservative")</f>
        <v>Aggressive</v>
      </c>
      <c r="N259" s="5">
        <v>1</v>
      </c>
      <c r="O259" s="5" t="str">
        <f>IF(recruitment_data3[[#This Row],[HiringDecision]]=1,"Hired","Rejected")</f>
        <v>Hired</v>
      </c>
      <c r="P259" s="6">
        <v>1</v>
      </c>
    </row>
    <row r="260" spans="1:16" x14ac:dyDescent="0.25">
      <c r="A260" s="4" t="str">
        <f t="shared" si="4"/>
        <v>C0259</v>
      </c>
      <c r="B260" s="4">
        <v>29</v>
      </c>
      <c r="C260" s="5" t="str">
        <f>IF(recruitment_data3[[#This Row],[Gender]]=1,"Female","Male")</f>
        <v>Male</v>
      </c>
      <c r="D260" s="5">
        <v>0</v>
      </c>
      <c r="E260" s="5" t="str">
        <f>_xlfn.SWITCH(recruitment_data3[[#This Row],[EducationLevel]], 1,"Bachelor Type 1", 2,"Bachelor Type 2", 3,"Masters", 4,"PhD")</f>
        <v>Bachelor Type 2</v>
      </c>
      <c r="F260" s="5">
        <v>2</v>
      </c>
      <c r="G260" s="5">
        <v>10</v>
      </c>
      <c r="H260" s="5">
        <v>3</v>
      </c>
      <c r="I260" s="5">
        <v>38.846382967072074</v>
      </c>
      <c r="J260" s="5">
        <v>14</v>
      </c>
      <c r="K260" s="5">
        <v>96</v>
      </c>
      <c r="L260" s="5">
        <v>20</v>
      </c>
      <c r="M260" s="5" t="str">
        <f>_xlfn.SWITCH(recruitment_data3[[#This Row],[RecruitmentStrategy]], 1,"Aggressive", 2,"Moderate", 3,"Conservative")</f>
        <v>Aggressive</v>
      </c>
      <c r="N260" s="5">
        <v>1</v>
      </c>
      <c r="O260" s="5" t="str">
        <f>IF(recruitment_data3[[#This Row],[HiringDecision]]=1,"Hired","Rejected")</f>
        <v>Hired</v>
      </c>
      <c r="P260" s="6">
        <v>1</v>
      </c>
    </row>
    <row r="261" spans="1:16" x14ac:dyDescent="0.25">
      <c r="A261" s="4" t="str">
        <f t="shared" si="4"/>
        <v>C0260</v>
      </c>
      <c r="B261" s="4">
        <v>31</v>
      </c>
      <c r="C261" s="5" t="str">
        <f>IF(recruitment_data3[[#This Row],[Gender]]=1,"Female","Male")</f>
        <v>Male</v>
      </c>
      <c r="D261" s="5">
        <v>0</v>
      </c>
      <c r="E261" s="5" t="str">
        <f>_xlfn.SWITCH(recruitment_data3[[#This Row],[EducationLevel]], 1,"Bachelor Type 1", 2,"Bachelor Type 2", 3,"Masters", 4,"PhD")</f>
        <v>Bachelor Type 2</v>
      </c>
      <c r="F261" s="5">
        <v>2</v>
      </c>
      <c r="G261" s="5">
        <v>4</v>
      </c>
      <c r="H261" s="5">
        <v>4</v>
      </c>
      <c r="I261" s="5">
        <v>35.456054524787909</v>
      </c>
      <c r="J261" s="5">
        <v>17</v>
      </c>
      <c r="K261" s="5">
        <v>18</v>
      </c>
      <c r="L261" s="5">
        <v>24</v>
      </c>
      <c r="M261" s="5" t="str">
        <f>_xlfn.SWITCH(recruitment_data3[[#This Row],[RecruitmentStrategy]], 1,"Aggressive", 2,"Moderate", 3,"Conservative")</f>
        <v>Aggressive</v>
      </c>
      <c r="N261" s="5">
        <v>1</v>
      </c>
      <c r="O261" s="5" t="str">
        <f>IF(recruitment_data3[[#This Row],[HiringDecision]]=1,"Hired","Rejected")</f>
        <v>Rejected</v>
      </c>
      <c r="P261" s="6">
        <v>0</v>
      </c>
    </row>
    <row r="262" spans="1:16" x14ac:dyDescent="0.25">
      <c r="A262" s="4" t="str">
        <f t="shared" si="4"/>
        <v>C0261</v>
      </c>
      <c r="B262" s="4">
        <v>43</v>
      </c>
      <c r="C262" s="5" t="str">
        <f>IF(recruitment_data3[[#This Row],[Gender]]=1,"Female","Male")</f>
        <v>Male</v>
      </c>
      <c r="D262" s="5">
        <v>0</v>
      </c>
      <c r="E262" s="5" t="str">
        <f>_xlfn.SWITCH(recruitment_data3[[#This Row],[EducationLevel]], 1,"Bachelor Type 1", 2,"Bachelor Type 2", 3,"Masters", 4,"PhD")</f>
        <v>Bachelor Type 2</v>
      </c>
      <c r="F262" s="5">
        <v>2</v>
      </c>
      <c r="G262" s="5">
        <v>14</v>
      </c>
      <c r="H262" s="5">
        <v>4</v>
      </c>
      <c r="I262" s="5">
        <v>44.18205262085781</v>
      </c>
      <c r="J262" s="5">
        <v>81</v>
      </c>
      <c r="K262" s="5">
        <v>20</v>
      </c>
      <c r="L262" s="5">
        <v>14</v>
      </c>
      <c r="M262" s="5" t="str">
        <f>_xlfn.SWITCH(recruitment_data3[[#This Row],[RecruitmentStrategy]], 1,"Aggressive", 2,"Moderate", 3,"Conservative")</f>
        <v>Conservative</v>
      </c>
      <c r="N262" s="5">
        <v>3</v>
      </c>
      <c r="O262" s="5" t="str">
        <f>IF(recruitment_data3[[#This Row],[HiringDecision]]=1,"Hired","Rejected")</f>
        <v>Rejected</v>
      </c>
      <c r="P262" s="6">
        <v>0</v>
      </c>
    </row>
    <row r="263" spans="1:16" x14ac:dyDescent="0.25">
      <c r="A263" s="4" t="str">
        <f t="shared" si="4"/>
        <v>C0262</v>
      </c>
      <c r="B263" s="4">
        <v>34</v>
      </c>
      <c r="C263" s="5" t="str">
        <f>IF(recruitment_data3[[#This Row],[Gender]]=1,"Female","Male")</f>
        <v>Female</v>
      </c>
      <c r="D263" s="5">
        <v>1</v>
      </c>
      <c r="E263" s="5" t="str">
        <f>_xlfn.SWITCH(recruitment_data3[[#This Row],[EducationLevel]], 1,"Bachelor Type 1", 2,"Bachelor Type 2", 3,"Masters", 4,"PhD")</f>
        <v>Masters</v>
      </c>
      <c r="F263" s="5">
        <v>3</v>
      </c>
      <c r="G263" s="5">
        <v>11</v>
      </c>
      <c r="H263" s="5">
        <v>3</v>
      </c>
      <c r="I263" s="5">
        <v>50.840459034055442</v>
      </c>
      <c r="J263" s="5">
        <v>87</v>
      </c>
      <c r="K263" s="5">
        <v>21</v>
      </c>
      <c r="L263" s="5">
        <v>34</v>
      </c>
      <c r="M263" s="5" t="str">
        <f>_xlfn.SWITCH(recruitment_data3[[#This Row],[RecruitmentStrategy]], 1,"Aggressive", 2,"Moderate", 3,"Conservative")</f>
        <v>Moderate</v>
      </c>
      <c r="N263" s="5">
        <v>2</v>
      </c>
      <c r="O263" s="5" t="str">
        <f>IF(recruitment_data3[[#This Row],[HiringDecision]]=1,"Hired","Rejected")</f>
        <v>Rejected</v>
      </c>
      <c r="P263" s="6">
        <v>0</v>
      </c>
    </row>
    <row r="264" spans="1:16" x14ac:dyDescent="0.25">
      <c r="A264" s="4" t="str">
        <f t="shared" si="4"/>
        <v>C0263</v>
      </c>
      <c r="B264" s="4">
        <v>46</v>
      </c>
      <c r="C264" s="5" t="str">
        <f>IF(recruitment_data3[[#This Row],[Gender]]=1,"Female","Male")</f>
        <v>Male</v>
      </c>
      <c r="D264" s="5">
        <v>0</v>
      </c>
      <c r="E264" s="5" t="str">
        <f>_xlfn.SWITCH(recruitment_data3[[#This Row],[EducationLevel]], 1,"Bachelor Type 1", 2,"Bachelor Type 2", 3,"Masters", 4,"PhD")</f>
        <v>Bachelor Type 2</v>
      </c>
      <c r="F264" s="5">
        <v>2</v>
      </c>
      <c r="G264" s="5">
        <v>1</v>
      </c>
      <c r="H264" s="5">
        <v>5</v>
      </c>
      <c r="I264" s="5">
        <v>22.342916439754479</v>
      </c>
      <c r="J264" s="5">
        <v>1</v>
      </c>
      <c r="K264" s="5">
        <v>8</v>
      </c>
      <c r="L264" s="5">
        <v>48</v>
      </c>
      <c r="M264" s="5" t="str">
        <f>_xlfn.SWITCH(recruitment_data3[[#This Row],[RecruitmentStrategy]], 1,"Aggressive", 2,"Moderate", 3,"Conservative")</f>
        <v>Moderate</v>
      </c>
      <c r="N264" s="5">
        <v>2</v>
      </c>
      <c r="O264" s="5" t="str">
        <f>IF(recruitment_data3[[#This Row],[HiringDecision]]=1,"Hired","Rejected")</f>
        <v>Rejected</v>
      </c>
      <c r="P264" s="6">
        <v>0</v>
      </c>
    </row>
    <row r="265" spans="1:16" x14ac:dyDescent="0.25">
      <c r="A265" s="4" t="str">
        <f t="shared" si="4"/>
        <v>C0264</v>
      </c>
      <c r="B265" s="4">
        <v>41</v>
      </c>
      <c r="C265" s="5" t="str">
        <f>IF(recruitment_data3[[#This Row],[Gender]]=1,"Female","Male")</f>
        <v>Female</v>
      </c>
      <c r="D265" s="5">
        <v>1</v>
      </c>
      <c r="E265" s="5" t="str">
        <f>_xlfn.SWITCH(recruitment_data3[[#This Row],[EducationLevel]], 1,"Bachelor Type 1", 2,"Bachelor Type 2", 3,"Masters", 4,"PhD")</f>
        <v>Masters</v>
      </c>
      <c r="F265" s="5">
        <v>3</v>
      </c>
      <c r="G265" s="5">
        <v>1</v>
      </c>
      <c r="H265" s="5">
        <v>2</v>
      </c>
      <c r="I265" s="5">
        <v>6.557543989165592</v>
      </c>
      <c r="J265" s="5">
        <v>83</v>
      </c>
      <c r="K265" s="5">
        <v>8</v>
      </c>
      <c r="L265" s="5">
        <v>42</v>
      </c>
      <c r="M265" s="5" t="str">
        <f>_xlfn.SWITCH(recruitment_data3[[#This Row],[RecruitmentStrategy]], 1,"Aggressive", 2,"Moderate", 3,"Conservative")</f>
        <v>Aggressive</v>
      </c>
      <c r="N265" s="5">
        <v>1</v>
      </c>
      <c r="O265" s="5" t="str">
        <f>IF(recruitment_data3[[#This Row],[HiringDecision]]=1,"Hired","Rejected")</f>
        <v>Hired</v>
      </c>
      <c r="P265" s="6">
        <v>1</v>
      </c>
    </row>
    <row r="266" spans="1:16" x14ac:dyDescent="0.25">
      <c r="A266" s="4" t="str">
        <f t="shared" si="4"/>
        <v>C0265</v>
      </c>
      <c r="B266" s="4">
        <v>43</v>
      </c>
      <c r="C266" s="5" t="str">
        <f>IF(recruitment_data3[[#This Row],[Gender]]=1,"Female","Male")</f>
        <v>Male</v>
      </c>
      <c r="D266" s="5">
        <v>0</v>
      </c>
      <c r="E266" s="5" t="str">
        <f>_xlfn.SWITCH(recruitment_data3[[#This Row],[EducationLevel]], 1,"Bachelor Type 1", 2,"Bachelor Type 2", 3,"Masters", 4,"PhD")</f>
        <v>Bachelor Type 1</v>
      </c>
      <c r="F266" s="5">
        <v>1</v>
      </c>
      <c r="G266" s="5">
        <v>14</v>
      </c>
      <c r="H266" s="5">
        <v>5</v>
      </c>
      <c r="I266" s="5">
        <v>2.5207940403983988</v>
      </c>
      <c r="J266" s="5">
        <v>97</v>
      </c>
      <c r="K266" s="5">
        <v>72</v>
      </c>
      <c r="L266" s="5">
        <v>40</v>
      </c>
      <c r="M266" s="5" t="str">
        <f>_xlfn.SWITCH(recruitment_data3[[#This Row],[RecruitmentStrategy]], 1,"Aggressive", 2,"Moderate", 3,"Conservative")</f>
        <v>Aggressive</v>
      </c>
      <c r="N266" s="5">
        <v>1</v>
      </c>
      <c r="O266" s="5" t="str">
        <f>IF(recruitment_data3[[#This Row],[HiringDecision]]=1,"Hired","Rejected")</f>
        <v>Hired</v>
      </c>
      <c r="P266" s="6">
        <v>1</v>
      </c>
    </row>
    <row r="267" spans="1:16" x14ac:dyDescent="0.25">
      <c r="A267" s="4" t="str">
        <f t="shared" si="4"/>
        <v>C0266</v>
      </c>
      <c r="B267" s="4">
        <v>28</v>
      </c>
      <c r="C267" s="5" t="str">
        <f>IF(recruitment_data3[[#This Row],[Gender]]=1,"Female","Male")</f>
        <v>Female</v>
      </c>
      <c r="D267" s="5">
        <v>1</v>
      </c>
      <c r="E267" s="5" t="str">
        <f>_xlfn.SWITCH(recruitment_data3[[#This Row],[EducationLevel]], 1,"Bachelor Type 1", 2,"Bachelor Type 2", 3,"Masters", 4,"PhD")</f>
        <v>PhD</v>
      </c>
      <c r="F267" s="5">
        <v>4</v>
      </c>
      <c r="G267" s="5">
        <v>5</v>
      </c>
      <c r="H267" s="5">
        <v>5</v>
      </c>
      <c r="I267" s="5">
        <v>37.343845306988584</v>
      </c>
      <c r="J267" s="5">
        <v>42</v>
      </c>
      <c r="K267" s="5">
        <v>26</v>
      </c>
      <c r="L267" s="5">
        <v>36</v>
      </c>
      <c r="M267" s="5" t="str">
        <f>_xlfn.SWITCH(recruitment_data3[[#This Row],[RecruitmentStrategy]], 1,"Aggressive", 2,"Moderate", 3,"Conservative")</f>
        <v>Moderate</v>
      </c>
      <c r="N267" s="5">
        <v>2</v>
      </c>
      <c r="O267" s="5" t="str">
        <f>IF(recruitment_data3[[#This Row],[HiringDecision]]=1,"Hired","Rejected")</f>
        <v>Rejected</v>
      </c>
      <c r="P267" s="6">
        <v>0</v>
      </c>
    </row>
    <row r="268" spans="1:16" x14ac:dyDescent="0.25">
      <c r="A268" s="4" t="str">
        <f t="shared" si="4"/>
        <v>C0267</v>
      </c>
      <c r="B268" s="4">
        <v>39</v>
      </c>
      <c r="C268" s="5" t="str">
        <f>IF(recruitment_data3[[#This Row],[Gender]]=1,"Female","Male")</f>
        <v>Male</v>
      </c>
      <c r="D268" s="5">
        <v>0</v>
      </c>
      <c r="E268" s="5" t="str">
        <f>_xlfn.SWITCH(recruitment_data3[[#This Row],[EducationLevel]], 1,"Bachelor Type 1", 2,"Bachelor Type 2", 3,"Masters", 4,"PhD")</f>
        <v>Bachelor Type 2</v>
      </c>
      <c r="F268" s="5">
        <v>2</v>
      </c>
      <c r="G268" s="5">
        <v>15</v>
      </c>
      <c r="H268" s="5">
        <v>3</v>
      </c>
      <c r="I268" s="5">
        <v>44.700683565435781</v>
      </c>
      <c r="J268" s="5">
        <v>25</v>
      </c>
      <c r="K268" s="5">
        <v>16</v>
      </c>
      <c r="L268" s="5">
        <v>56</v>
      </c>
      <c r="M268" s="5" t="str">
        <f>_xlfn.SWITCH(recruitment_data3[[#This Row],[RecruitmentStrategy]], 1,"Aggressive", 2,"Moderate", 3,"Conservative")</f>
        <v>Aggressive</v>
      </c>
      <c r="N268" s="5">
        <v>1</v>
      </c>
      <c r="O268" s="5" t="str">
        <f>IF(recruitment_data3[[#This Row],[HiringDecision]]=1,"Hired","Rejected")</f>
        <v>Rejected</v>
      </c>
      <c r="P268" s="6">
        <v>0</v>
      </c>
    </row>
    <row r="269" spans="1:16" x14ac:dyDescent="0.25">
      <c r="A269" s="4" t="str">
        <f t="shared" si="4"/>
        <v>C0268</v>
      </c>
      <c r="B269" s="4">
        <v>36</v>
      </c>
      <c r="C269" s="5" t="str">
        <f>IF(recruitment_data3[[#This Row],[Gender]]=1,"Female","Male")</f>
        <v>Male</v>
      </c>
      <c r="D269" s="5">
        <v>0</v>
      </c>
      <c r="E269" s="5" t="str">
        <f>_xlfn.SWITCH(recruitment_data3[[#This Row],[EducationLevel]], 1,"Bachelor Type 1", 2,"Bachelor Type 2", 3,"Masters", 4,"PhD")</f>
        <v>Bachelor Type 1</v>
      </c>
      <c r="F269" s="5">
        <v>1</v>
      </c>
      <c r="G269" s="5">
        <v>10</v>
      </c>
      <c r="H269" s="5">
        <v>4</v>
      </c>
      <c r="I269" s="5">
        <v>12.035629297220934</v>
      </c>
      <c r="J269" s="5">
        <v>70</v>
      </c>
      <c r="K269" s="5">
        <v>43</v>
      </c>
      <c r="L269" s="5">
        <v>41</v>
      </c>
      <c r="M269" s="5" t="str">
        <f>_xlfn.SWITCH(recruitment_data3[[#This Row],[RecruitmentStrategy]], 1,"Aggressive", 2,"Moderate", 3,"Conservative")</f>
        <v>Moderate</v>
      </c>
      <c r="N269" s="5">
        <v>2</v>
      </c>
      <c r="O269" s="5" t="str">
        <f>IF(recruitment_data3[[#This Row],[HiringDecision]]=1,"Hired","Rejected")</f>
        <v>Rejected</v>
      </c>
      <c r="P269" s="6">
        <v>0</v>
      </c>
    </row>
    <row r="270" spans="1:16" x14ac:dyDescent="0.25">
      <c r="A270" s="4" t="str">
        <f t="shared" si="4"/>
        <v>C0269</v>
      </c>
      <c r="B270" s="4">
        <v>49</v>
      </c>
      <c r="C270" s="5" t="str">
        <f>IF(recruitment_data3[[#This Row],[Gender]]=1,"Female","Male")</f>
        <v>Male</v>
      </c>
      <c r="D270" s="5">
        <v>0</v>
      </c>
      <c r="E270" s="5" t="str">
        <f>_xlfn.SWITCH(recruitment_data3[[#This Row],[EducationLevel]], 1,"Bachelor Type 1", 2,"Bachelor Type 2", 3,"Masters", 4,"PhD")</f>
        <v>Bachelor Type 1</v>
      </c>
      <c r="F270" s="5">
        <v>1</v>
      </c>
      <c r="G270" s="5">
        <v>9</v>
      </c>
      <c r="H270" s="5">
        <v>5</v>
      </c>
      <c r="I270" s="5">
        <v>8.9224018594952987</v>
      </c>
      <c r="J270" s="5">
        <v>37</v>
      </c>
      <c r="K270" s="5">
        <v>44</v>
      </c>
      <c r="L270" s="5">
        <v>46</v>
      </c>
      <c r="M270" s="5" t="str">
        <f>_xlfn.SWITCH(recruitment_data3[[#This Row],[RecruitmentStrategy]], 1,"Aggressive", 2,"Moderate", 3,"Conservative")</f>
        <v>Moderate</v>
      </c>
      <c r="N270" s="5">
        <v>2</v>
      </c>
      <c r="O270" s="5" t="str">
        <f>IF(recruitment_data3[[#This Row],[HiringDecision]]=1,"Hired","Rejected")</f>
        <v>Rejected</v>
      </c>
      <c r="P270" s="6">
        <v>0</v>
      </c>
    </row>
    <row r="271" spans="1:16" x14ac:dyDescent="0.25">
      <c r="A271" s="4" t="str">
        <f t="shared" si="4"/>
        <v>C0270</v>
      </c>
      <c r="B271" s="4">
        <v>36</v>
      </c>
      <c r="C271" s="5" t="str">
        <f>IF(recruitment_data3[[#This Row],[Gender]]=1,"Female","Male")</f>
        <v>Female</v>
      </c>
      <c r="D271" s="5">
        <v>1</v>
      </c>
      <c r="E271" s="5" t="str">
        <f>_xlfn.SWITCH(recruitment_data3[[#This Row],[EducationLevel]], 1,"Bachelor Type 1", 2,"Bachelor Type 2", 3,"Masters", 4,"PhD")</f>
        <v>Masters</v>
      </c>
      <c r="F271" s="5">
        <v>3</v>
      </c>
      <c r="G271" s="5">
        <v>8</v>
      </c>
      <c r="H271" s="5">
        <v>4</v>
      </c>
      <c r="I271" s="5">
        <v>4.1102545762845493</v>
      </c>
      <c r="J271" s="5">
        <v>93</v>
      </c>
      <c r="K271" s="5">
        <v>7</v>
      </c>
      <c r="L271" s="5">
        <v>91</v>
      </c>
      <c r="M271" s="5" t="str">
        <f>_xlfn.SWITCH(recruitment_data3[[#This Row],[RecruitmentStrategy]], 1,"Aggressive", 2,"Moderate", 3,"Conservative")</f>
        <v>Moderate</v>
      </c>
      <c r="N271" s="5">
        <v>2</v>
      </c>
      <c r="O271" s="5" t="str">
        <f>IF(recruitment_data3[[#This Row],[HiringDecision]]=1,"Hired","Rejected")</f>
        <v>Hired</v>
      </c>
      <c r="P271" s="6">
        <v>1</v>
      </c>
    </row>
    <row r="272" spans="1:16" x14ac:dyDescent="0.25">
      <c r="A272" s="4" t="str">
        <f t="shared" si="4"/>
        <v>C0271</v>
      </c>
      <c r="B272" s="4">
        <v>45</v>
      </c>
      <c r="C272" s="5" t="str">
        <f>IF(recruitment_data3[[#This Row],[Gender]]=1,"Female","Male")</f>
        <v>Female</v>
      </c>
      <c r="D272" s="5">
        <v>1</v>
      </c>
      <c r="E272" s="5" t="str">
        <f>_xlfn.SWITCH(recruitment_data3[[#This Row],[EducationLevel]], 1,"Bachelor Type 1", 2,"Bachelor Type 2", 3,"Masters", 4,"PhD")</f>
        <v>Bachelor Type 2</v>
      </c>
      <c r="F272" s="5">
        <v>2</v>
      </c>
      <c r="G272" s="5">
        <v>12</v>
      </c>
      <c r="H272" s="5">
        <v>1</v>
      </c>
      <c r="I272" s="5">
        <v>42.13514608586032</v>
      </c>
      <c r="J272" s="5">
        <v>41</v>
      </c>
      <c r="K272" s="5">
        <v>79</v>
      </c>
      <c r="L272" s="5">
        <v>60</v>
      </c>
      <c r="M272" s="5" t="str">
        <f>_xlfn.SWITCH(recruitment_data3[[#This Row],[RecruitmentStrategy]], 1,"Aggressive", 2,"Moderate", 3,"Conservative")</f>
        <v>Moderate</v>
      </c>
      <c r="N272" s="5">
        <v>2</v>
      </c>
      <c r="O272" s="5" t="str">
        <f>IF(recruitment_data3[[#This Row],[HiringDecision]]=1,"Hired","Rejected")</f>
        <v>Rejected</v>
      </c>
      <c r="P272" s="6">
        <v>0</v>
      </c>
    </row>
    <row r="273" spans="1:16" x14ac:dyDescent="0.25">
      <c r="A273" s="4" t="str">
        <f t="shared" si="4"/>
        <v>C0272</v>
      </c>
      <c r="B273" s="4">
        <v>39</v>
      </c>
      <c r="C273" s="5" t="str">
        <f>IF(recruitment_data3[[#This Row],[Gender]]=1,"Female","Male")</f>
        <v>Male</v>
      </c>
      <c r="D273" s="5">
        <v>0</v>
      </c>
      <c r="E273" s="5" t="str">
        <f>_xlfn.SWITCH(recruitment_data3[[#This Row],[EducationLevel]], 1,"Bachelor Type 1", 2,"Bachelor Type 2", 3,"Masters", 4,"PhD")</f>
        <v>Masters</v>
      </c>
      <c r="F273" s="5">
        <v>3</v>
      </c>
      <c r="G273" s="5">
        <v>3</v>
      </c>
      <c r="H273" s="5">
        <v>4</v>
      </c>
      <c r="I273" s="5">
        <v>16.569096994629216</v>
      </c>
      <c r="J273" s="5">
        <v>4</v>
      </c>
      <c r="K273" s="5">
        <v>17</v>
      </c>
      <c r="L273" s="5">
        <v>13</v>
      </c>
      <c r="M273" s="5" t="str">
        <f>_xlfn.SWITCH(recruitment_data3[[#This Row],[RecruitmentStrategy]], 1,"Aggressive", 2,"Moderate", 3,"Conservative")</f>
        <v>Moderate</v>
      </c>
      <c r="N273" s="5">
        <v>2</v>
      </c>
      <c r="O273" s="5" t="str">
        <f>IF(recruitment_data3[[#This Row],[HiringDecision]]=1,"Hired","Rejected")</f>
        <v>Rejected</v>
      </c>
      <c r="P273" s="6">
        <v>0</v>
      </c>
    </row>
    <row r="274" spans="1:16" x14ac:dyDescent="0.25">
      <c r="A274" s="4" t="str">
        <f t="shared" si="4"/>
        <v>C0273</v>
      </c>
      <c r="B274" s="4">
        <v>31</v>
      </c>
      <c r="C274" s="5" t="str">
        <f>IF(recruitment_data3[[#This Row],[Gender]]=1,"Female","Male")</f>
        <v>Male</v>
      </c>
      <c r="D274" s="5">
        <v>0</v>
      </c>
      <c r="E274" s="5" t="str">
        <f>_xlfn.SWITCH(recruitment_data3[[#This Row],[EducationLevel]], 1,"Bachelor Type 1", 2,"Bachelor Type 2", 3,"Masters", 4,"PhD")</f>
        <v>Bachelor Type 1</v>
      </c>
      <c r="F274" s="5">
        <v>1</v>
      </c>
      <c r="G274" s="5">
        <v>5</v>
      </c>
      <c r="H274" s="5">
        <v>2</v>
      </c>
      <c r="I274" s="5">
        <v>21.084844637988823</v>
      </c>
      <c r="J274" s="5">
        <v>10</v>
      </c>
      <c r="K274" s="5">
        <v>32</v>
      </c>
      <c r="L274" s="5">
        <v>67</v>
      </c>
      <c r="M274" s="5" t="str">
        <f>_xlfn.SWITCH(recruitment_data3[[#This Row],[RecruitmentStrategy]], 1,"Aggressive", 2,"Moderate", 3,"Conservative")</f>
        <v>Aggressive</v>
      </c>
      <c r="N274" s="5">
        <v>1</v>
      </c>
      <c r="O274" s="5" t="str">
        <f>IF(recruitment_data3[[#This Row],[HiringDecision]]=1,"Hired","Rejected")</f>
        <v>Rejected</v>
      </c>
      <c r="P274" s="6">
        <v>0</v>
      </c>
    </row>
    <row r="275" spans="1:16" x14ac:dyDescent="0.25">
      <c r="A275" s="4" t="str">
        <f t="shared" si="4"/>
        <v>C0274</v>
      </c>
      <c r="B275" s="4">
        <v>49</v>
      </c>
      <c r="C275" s="5" t="str">
        <f>IF(recruitment_data3[[#This Row],[Gender]]=1,"Female","Male")</f>
        <v>Female</v>
      </c>
      <c r="D275" s="5">
        <v>1</v>
      </c>
      <c r="E275" s="5" t="str">
        <f>_xlfn.SWITCH(recruitment_data3[[#This Row],[EducationLevel]], 1,"Bachelor Type 1", 2,"Bachelor Type 2", 3,"Masters", 4,"PhD")</f>
        <v>Bachelor Type 1</v>
      </c>
      <c r="F275" s="5">
        <v>1</v>
      </c>
      <c r="G275" s="5">
        <v>15</v>
      </c>
      <c r="H275" s="5">
        <v>2</v>
      </c>
      <c r="I275" s="5">
        <v>26.137509580480614</v>
      </c>
      <c r="J275" s="5">
        <v>64</v>
      </c>
      <c r="K275" s="5">
        <v>0</v>
      </c>
      <c r="L275" s="5">
        <v>52</v>
      </c>
      <c r="M275" s="5" t="str">
        <f>_xlfn.SWITCH(recruitment_data3[[#This Row],[RecruitmentStrategy]], 1,"Aggressive", 2,"Moderate", 3,"Conservative")</f>
        <v>Moderate</v>
      </c>
      <c r="N275" s="5">
        <v>2</v>
      </c>
      <c r="O275" s="5" t="str">
        <f>IF(recruitment_data3[[#This Row],[HiringDecision]]=1,"Hired","Rejected")</f>
        <v>Rejected</v>
      </c>
      <c r="P275" s="6">
        <v>0</v>
      </c>
    </row>
    <row r="276" spans="1:16" x14ac:dyDescent="0.25">
      <c r="A276" s="4" t="str">
        <f t="shared" si="4"/>
        <v>C0275</v>
      </c>
      <c r="B276" s="4">
        <v>26</v>
      </c>
      <c r="C276" s="5" t="str">
        <f>IF(recruitment_data3[[#This Row],[Gender]]=1,"Female","Male")</f>
        <v>Female</v>
      </c>
      <c r="D276" s="5">
        <v>1</v>
      </c>
      <c r="E276" s="5" t="str">
        <f>_xlfn.SWITCH(recruitment_data3[[#This Row],[EducationLevel]], 1,"Bachelor Type 1", 2,"Bachelor Type 2", 3,"Masters", 4,"PhD")</f>
        <v>Bachelor Type 2</v>
      </c>
      <c r="F276" s="5">
        <v>2</v>
      </c>
      <c r="G276" s="5">
        <v>6</v>
      </c>
      <c r="H276" s="5">
        <v>5</v>
      </c>
      <c r="I276" s="5">
        <v>42.972661710477539</v>
      </c>
      <c r="J276" s="5">
        <v>33</v>
      </c>
      <c r="K276" s="5">
        <v>75</v>
      </c>
      <c r="L276" s="5">
        <v>83</v>
      </c>
      <c r="M276" s="5" t="str">
        <f>_xlfn.SWITCH(recruitment_data3[[#This Row],[RecruitmentStrategy]], 1,"Aggressive", 2,"Moderate", 3,"Conservative")</f>
        <v>Moderate</v>
      </c>
      <c r="N276" s="5">
        <v>2</v>
      </c>
      <c r="O276" s="5" t="str">
        <f>IF(recruitment_data3[[#This Row],[HiringDecision]]=1,"Hired","Rejected")</f>
        <v>Rejected</v>
      </c>
      <c r="P276" s="6">
        <v>0</v>
      </c>
    </row>
    <row r="277" spans="1:16" x14ac:dyDescent="0.25">
      <c r="A277" s="4" t="str">
        <f t="shared" si="4"/>
        <v>C0276</v>
      </c>
      <c r="B277" s="4">
        <v>21</v>
      </c>
      <c r="C277" s="5" t="str">
        <f>IF(recruitment_data3[[#This Row],[Gender]]=1,"Female","Male")</f>
        <v>Female</v>
      </c>
      <c r="D277" s="5">
        <v>1</v>
      </c>
      <c r="E277" s="5" t="str">
        <f>_xlfn.SWITCH(recruitment_data3[[#This Row],[EducationLevel]], 1,"Bachelor Type 1", 2,"Bachelor Type 2", 3,"Masters", 4,"PhD")</f>
        <v>Bachelor Type 2</v>
      </c>
      <c r="F277" s="5">
        <v>2</v>
      </c>
      <c r="G277" s="5">
        <v>12</v>
      </c>
      <c r="H277" s="5">
        <v>4</v>
      </c>
      <c r="I277" s="5">
        <v>33.541661078074249</v>
      </c>
      <c r="J277" s="5">
        <v>0</v>
      </c>
      <c r="K277" s="5">
        <v>5</v>
      </c>
      <c r="L277" s="5">
        <v>33</v>
      </c>
      <c r="M277" s="5" t="str">
        <f>_xlfn.SWITCH(recruitment_data3[[#This Row],[RecruitmentStrategy]], 1,"Aggressive", 2,"Moderate", 3,"Conservative")</f>
        <v>Aggressive</v>
      </c>
      <c r="N277" s="5">
        <v>1</v>
      </c>
      <c r="O277" s="5" t="str">
        <f>IF(recruitment_data3[[#This Row],[HiringDecision]]=1,"Hired","Rejected")</f>
        <v>Rejected</v>
      </c>
      <c r="P277" s="6">
        <v>0</v>
      </c>
    </row>
    <row r="278" spans="1:16" x14ac:dyDescent="0.25">
      <c r="A278" s="4" t="str">
        <f t="shared" si="4"/>
        <v>C0277</v>
      </c>
      <c r="B278" s="4">
        <v>22</v>
      </c>
      <c r="C278" s="5" t="str">
        <f>IF(recruitment_data3[[#This Row],[Gender]]=1,"Female","Male")</f>
        <v>Male</v>
      </c>
      <c r="D278" s="5">
        <v>0</v>
      </c>
      <c r="E278" s="5" t="str">
        <f>_xlfn.SWITCH(recruitment_data3[[#This Row],[EducationLevel]], 1,"Bachelor Type 1", 2,"Bachelor Type 2", 3,"Masters", 4,"PhD")</f>
        <v>Bachelor Type 2</v>
      </c>
      <c r="F278" s="5">
        <v>2</v>
      </c>
      <c r="G278" s="5">
        <v>10</v>
      </c>
      <c r="H278" s="5">
        <v>5</v>
      </c>
      <c r="I278" s="5">
        <v>31.753231492890563</v>
      </c>
      <c r="J278" s="5">
        <v>82</v>
      </c>
      <c r="K278" s="5">
        <v>40</v>
      </c>
      <c r="L278" s="5">
        <v>75</v>
      </c>
      <c r="M278" s="5" t="str">
        <f>_xlfn.SWITCH(recruitment_data3[[#This Row],[RecruitmentStrategy]], 1,"Aggressive", 2,"Moderate", 3,"Conservative")</f>
        <v>Conservative</v>
      </c>
      <c r="N278" s="5">
        <v>3</v>
      </c>
      <c r="O278" s="5" t="str">
        <f>IF(recruitment_data3[[#This Row],[HiringDecision]]=1,"Hired","Rejected")</f>
        <v>Rejected</v>
      </c>
      <c r="P278" s="6">
        <v>0</v>
      </c>
    </row>
    <row r="279" spans="1:16" x14ac:dyDescent="0.25">
      <c r="A279" s="4" t="str">
        <f t="shared" si="4"/>
        <v>C0278</v>
      </c>
      <c r="B279" s="4">
        <v>36</v>
      </c>
      <c r="C279" s="5" t="str">
        <f>IF(recruitment_data3[[#This Row],[Gender]]=1,"Female","Male")</f>
        <v>Female</v>
      </c>
      <c r="D279" s="5">
        <v>1</v>
      </c>
      <c r="E279" s="5" t="str">
        <f>_xlfn.SWITCH(recruitment_data3[[#This Row],[EducationLevel]], 1,"Bachelor Type 1", 2,"Bachelor Type 2", 3,"Masters", 4,"PhD")</f>
        <v>PhD</v>
      </c>
      <c r="F279" s="5">
        <v>4</v>
      </c>
      <c r="G279" s="5">
        <v>5</v>
      </c>
      <c r="H279" s="5">
        <v>3</v>
      </c>
      <c r="I279" s="5">
        <v>9.7836049977955355</v>
      </c>
      <c r="J279" s="5">
        <v>1</v>
      </c>
      <c r="K279" s="5">
        <v>54</v>
      </c>
      <c r="L279" s="5">
        <v>96</v>
      </c>
      <c r="M279" s="5" t="str">
        <f>_xlfn.SWITCH(recruitment_data3[[#This Row],[RecruitmentStrategy]], 1,"Aggressive", 2,"Moderate", 3,"Conservative")</f>
        <v>Aggressive</v>
      </c>
      <c r="N279" s="5">
        <v>1</v>
      </c>
      <c r="O279" s="5" t="str">
        <f>IF(recruitment_data3[[#This Row],[HiringDecision]]=1,"Hired","Rejected")</f>
        <v>Hired</v>
      </c>
      <c r="P279" s="6">
        <v>1</v>
      </c>
    </row>
    <row r="280" spans="1:16" x14ac:dyDescent="0.25">
      <c r="A280" s="4" t="str">
        <f t="shared" si="4"/>
        <v>C0279</v>
      </c>
      <c r="B280" s="4">
        <v>24</v>
      </c>
      <c r="C280" s="5" t="str">
        <f>IF(recruitment_data3[[#This Row],[Gender]]=1,"Female","Male")</f>
        <v>Male</v>
      </c>
      <c r="D280" s="5">
        <v>0</v>
      </c>
      <c r="E280" s="5" t="str">
        <f>_xlfn.SWITCH(recruitment_data3[[#This Row],[EducationLevel]], 1,"Bachelor Type 1", 2,"Bachelor Type 2", 3,"Masters", 4,"PhD")</f>
        <v>PhD</v>
      </c>
      <c r="F280" s="5">
        <v>4</v>
      </c>
      <c r="G280" s="5">
        <v>7</v>
      </c>
      <c r="H280" s="5">
        <v>2</v>
      </c>
      <c r="I280" s="5">
        <v>26.659494585491487</v>
      </c>
      <c r="J280" s="5">
        <v>84</v>
      </c>
      <c r="K280" s="5">
        <v>4</v>
      </c>
      <c r="L280" s="5">
        <v>23</v>
      </c>
      <c r="M280" s="5" t="str">
        <f>_xlfn.SWITCH(recruitment_data3[[#This Row],[RecruitmentStrategy]], 1,"Aggressive", 2,"Moderate", 3,"Conservative")</f>
        <v>Aggressive</v>
      </c>
      <c r="N280" s="5">
        <v>1</v>
      </c>
      <c r="O280" s="5" t="str">
        <f>IF(recruitment_data3[[#This Row],[HiringDecision]]=1,"Hired","Rejected")</f>
        <v>Hired</v>
      </c>
      <c r="P280" s="6">
        <v>1</v>
      </c>
    </row>
    <row r="281" spans="1:16" x14ac:dyDescent="0.25">
      <c r="A281" s="4" t="str">
        <f t="shared" si="4"/>
        <v>C0280</v>
      </c>
      <c r="B281" s="4">
        <v>36</v>
      </c>
      <c r="C281" s="5" t="str">
        <f>IF(recruitment_data3[[#This Row],[Gender]]=1,"Female","Male")</f>
        <v>Female</v>
      </c>
      <c r="D281" s="5">
        <v>1</v>
      </c>
      <c r="E281" s="5" t="str">
        <f>_xlfn.SWITCH(recruitment_data3[[#This Row],[EducationLevel]], 1,"Bachelor Type 1", 2,"Bachelor Type 2", 3,"Masters", 4,"PhD")</f>
        <v>PhD</v>
      </c>
      <c r="F281" s="5">
        <v>4</v>
      </c>
      <c r="G281" s="5">
        <v>3</v>
      </c>
      <c r="H281" s="5">
        <v>5</v>
      </c>
      <c r="I281" s="5">
        <v>36.769050858932758</v>
      </c>
      <c r="J281" s="5">
        <v>19</v>
      </c>
      <c r="K281" s="5">
        <v>58</v>
      </c>
      <c r="L281" s="5">
        <v>19</v>
      </c>
      <c r="M281" s="5" t="str">
        <f>_xlfn.SWITCH(recruitment_data3[[#This Row],[RecruitmentStrategy]], 1,"Aggressive", 2,"Moderate", 3,"Conservative")</f>
        <v>Aggressive</v>
      </c>
      <c r="N281" s="5">
        <v>1</v>
      </c>
      <c r="O281" s="5" t="str">
        <f>IF(recruitment_data3[[#This Row],[HiringDecision]]=1,"Hired","Rejected")</f>
        <v>Hired</v>
      </c>
      <c r="P281" s="6">
        <v>1</v>
      </c>
    </row>
    <row r="282" spans="1:16" x14ac:dyDescent="0.25">
      <c r="A282" s="4" t="str">
        <f t="shared" si="4"/>
        <v>C0281</v>
      </c>
      <c r="B282" s="4">
        <v>43</v>
      </c>
      <c r="C282" s="5" t="str">
        <f>IF(recruitment_data3[[#This Row],[Gender]]=1,"Female","Male")</f>
        <v>Male</v>
      </c>
      <c r="D282" s="5">
        <v>0</v>
      </c>
      <c r="E282" s="5" t="str">
        <f>_xlfn.SWITCH(recruitment_data3[[#This Row],[EducationLevel]], 1,"Bachelor Type 1", 2,"Bachelor Type 2", 3,"Masters", 4,"PhD")</f>
        <v>Masters</v>
      </c>
      <c r="F282" s="5">
        <v>3</v>
      </c>
      <c r="G282" s="5">
        <v>11</v>
      </c>
      <c r="H282" s="5">
        <v>3</v>
      </c>
      <c r="I282" s="5">
        <v>49.663044151524588</v>
      </c>
      <c r="J282" s="5">
        <v>60</v>
      </c>
      <c r="K282" s="5">
        <v>79</v>
      </c>
      <c r="L282" s="5">
        <v>68</v>
      </c>
      <c r="M282" s="5" t="str">
        <f>_xlfn.SWITCH(recruitment_data3[[#This Row],[RecruitmentStrategy]], 1,"Aggressive", 2,"Moderate", 3,"Conservative")</f>
        <v>Conservative</v>
      </c>
      <c r="N282" s="5">
        <v>3</v>
      </c>
      <c r="O282" s="5" t="str">
        <f>IF(recruitment_data3[[#This Row],[HiringDecision]]=1,"Hired","Rejected")</f>
        <v>Hired</v>
      </c>
      <c r="P282" s="6">
        <v>1</v>
      </c>
    </row>
    <row r="283" spans="1:16" x14ac:dyDescent="0.25">
      <c r="A283" s="4" t="str">
        <f t="shared" si="4"/>
        <v>C0282</v>
      </c>
      <c r="B283" s="4">
        <v>36</v>
      </c>
      <c r="C283" s="5" t="str">
        <f>IF(recruitment_data3[[#This Row],[Gender]]=1,"Female","Male")</f>
        <v>Female</v>
      </c>
      <c r="D283" s="5">
        <v>1</v>
      </c>
      <c r="E283" s="5" t="str">
        <f>_xlfn.SWITCH(recruitment_data3[[#This Row],[EducationLevel]], 1,"Bachelor Type 1", 2,"Bachelor Type 2", 3,"Masters", 4,"PhD")</f>
        <v>Bachelor Type 2</v>
      </c>
      <c r="F283" s="5">
        <v>2</v>
      </c>
      <c r="G283" s="5">
        <v>14</v>
      </c>
      <c r="H283" s="5">
        <v>5</v>
      </c>
      <c r="I283" s="5">
        <v>11.070315460667612</v>
      </c>
      <c r="J283" s="5">
        <v>86</v>
      </c>
      <c r="K283" s="5">
        <v>17</v>
      </c>
      <c r="L283" s="5">
        <v>29</v>
      </c>
      <c r="M283" s="5" t="str">
        <f>_xlfn.SWITCH(recruitment_data3[[#This Row],[RecruitmentStrategy]], 1,"Aggressive", 2,"Moderate", 3,"Conservative")</f>
        <v>Moderate</v>
      </c>
      <c r="N283" s="5">
        <v>2</v>
      </c>
      <c r="O283" s="5" t="str">
        <f>IF(recruitment_data3[[#This Row],[HiringDecision]]=1,"Hired","Rejected")</f>
        <v>Rejected</v>
      </c>
      <c r="P283" s="6">
        <v>0</v>
      </c>
    </row>
    <row r="284" spans="1:16" x14ac:dyDescent="0.25">
      <c r="A284" s="4" t="str">
        <f t="shared" si="4"/>
        <v>C0283</v>
      </c>
      <c r="B284" s="4">
        <v>46</v>
      </c>
      <c r="C284" s="5" t="str">
        <f>IF(recruitment_data3[[#This Row],[Gender]]=1,"Female","Male")</f>
        <v>Female</v>
      </c>
      <c r="D284" s="5">
        <v>1</v>
      </c>
      <c r="E284" s="5" t="str">
        <f>_xlfn.SWITCH(recruitment_data3[[#This Row],[EducationLevel]], 1,"Bachelor Type 1", 2,"Bachelor Type 2", 3,"Masters", 4,"PhD")</f>
        <v>Bachelor Type 2</v>
      </c>
      <c r="F284" s="5">
        <v>2</v>
      </c>
      <c r="G284" s="5">
        <v>0</v>
      </c>
      <c r="H284" s="5">
        <v>4</v>
      </c>
      <c r="I284" s="5">
        <v>1.4771676533613323</v>
      </c>
      <c r="J284" s="5">
        <v>20</v>
      </c>
      <c r="K284" s="5">
        <v>48</v>
      </c>
      <c r="L284" s="5">
        <v>87</v>
      </c>
      <c r="M284" s="5" t="str">
        <f>_xlfn.SWITCH(recruitment_data3[[#This Row],[RecruitmentStrategy]], 1,"Aggressive", 2,"Moderate", 3,"Conservative")</f>
        <v>Moderate</v>
      </c>
      <c r="N284" s="5">
        <v>2</v>
      </c>
      <c r="O284" s="5" t="str">
        <f>IF(recruitment_data3[[#This Row],[HiringDecision]]=1,"Hired","Rejected")</f>
        <v>Rejected</v>
      </c>
      <c r="P284" s="6">
        <v>0</v>
      </c>
    </row>
    <row r="285" spans="1:16" x14ac:dyDescent="0.25">
      <c r="A285" s="4" t="str">
        <f t="shared" si="4"/>
        <v>C0284</v>
      </c>
      <c r="B285" s="4">
        <v>36</v>
      </c>
      <c r="C285" s="5" t="str">
        <f>IF(recruitment_data3[[#This Row],[Gender]]=1,"Female","Male")</f>
        <v>Female</v>
      </c>
      <c r="D285" s="5">
        <v>1</v>
      </c>
      <c r="E285" s="5" t="str">
        <f>_xlfn.SWITCH(recruitment_data3[[#This Row],[EducationLevel]], 1,"Bachelor Type 1", 2,"Bachelor Type 2", 3,"Masters", 4,"PhD")</f>
        <v>Bachelor Type 2</v>
      </c>
      <c r="F285" s="5">
        <v>2</v>
      </c>
      <c r="G285" s="5">
        <v>6</v>
      </c>
      <c r="H285" s="5">
        <v>4</v>
      </c>
      <c r="I285" s="5">
        <v>4.7650716799234871</v>
      </c>
      <c r="J285" s="5">
        <v>87</v>
      </c>
      <c r="K285" s="5">
        <v>81</v>
      </c>
      <c r="L285" s="5">
        <v>6</v>
      </c>
      <c r="M285" s="5" t="str">
        <f>_xlfn.SWITCH(recruitment_data3[[#This Row],[RecruitmentStrategy]], 1,"Aggressive", 2,"Moderate", 3,"Conservative")</f>
        <v>Aggressive</v>
      </c>
      <c r="N285" s="5">
        <v>1</v>
      </c>
      <c r="O285" s="5" t="str">
        <f>IF(recruitment_data3[[#This Row],[HiringDecision]]=1,"Hired","Rejected")</f>
        <v>Hired</v>
      </c>
      <c r="P285" s="6">
        <v>1</v>
      </c>
    </row>
    <row r="286" spans="1:16" x14ac:dyDescent="0.25">
      <c r="A286" s="4" t="str">
        <f t="shared" si="4"/>
        <v>C0285</v>
      </c>
      <c r="B286" s="4">
        <v>21</v>
      </c>
      <c r="C286" s="5" t="str">
        <f>IF(recruitment_data3[[#This Row],[Gender]]=1,"Female","Male")</f>
        <v>Female</v>
      </c>
      <c r="D286" s="5">
        <v>1</v>
      </c>
      <c r="E286" s="5" t="str">
        <f>_xlfn.SWITCH(recruitment_data3[[#This Row],[EducationLevel]], 1,"Bachelor Type 1", 2,"Bachelor Type 2", 3,"Masters", 4,"PhD")</f>
        <v>Masters</v>
      </c>
      <c r="F286" s="5">
        <v>3</v>
      </c>
      <c r="G286" s="5">
        <v>2</v>
      </c>
      <c r="H286" s="5">
        <v>4</v>
      </c>
      <c r="I286" s="5">
        <v>19.79262325909896</v>
      </c>
      <c r="J286" s="5">
        <v>67</v>
      </c>
      <c r="K286" s="5">
        <v>64</v>
      </c>
      <c r="L286" s="5">
        <v>35</v>
      </c>
      <c r="M286" s="5" t="str">
        <f>_xlfn.SWITCH(recruitment_data3[[#This Row],[RecruitmentStrategy]], 1,"Aggressive", 2,"Moderate", 3,"Conservative")</f>
        <v>Moderate</v>
      </c>
      <c r="N286" s="5">
        <v>2</v>
      </c>
      <c r="O286" s="5" t="str">
        <f>IF(recruitment_data3[[#This Row],[HiringDecision]]=1,"Hired","Rejected")</f>
        <v>Rejected</v>
      </c>
      <c r="P286" s="6">
        <v>0</v>
      </c>
    </row>
    <row r="287" spans="1:16" x14ac:dyDescent="0.25">
      <c r="A287" s="4" t="str">
        <f t="shared" si="4"/>
        <v>C0286</v>
      </c>
      <c r="B287" s="4">
        <v>21</v>
      </c>
      <c r="C287" s="5" t="str">
        <f>IF(recruitment_data3[[#This Row],[Gender]]=1,"Female","Male")</f>
        <v>Female</v>
      </c>
      <c r="D287" s="5">
        <v>1</v>
      </c>
      <c r="E287" s="5" t="str">
        <f>_xlfn.SWITCH(recruitment_data3[[#This Row],[EducationLevel]], 1,"Bachelor Type 1", 2,"Bachelor Type 2", 3,"Masters", 4,"PhD")</f>
        <v>Bachelor Type 1</v>
      </c>
      <c r="F287" s="5">
        <v>1</v>
      </c>
      <c r="G287" s="5">
        <v>13</v>
      </c>
      <c r="H287" s="5">
        <v>4</v>
      </c>
      <c r="I287" s="5">
        <v>42.027232387299357</v>
      </c>
      <c r="J287" s="5">
        <v>11</v>
      </c>
      <c r="K287" s="5">
        <v>82</v>
      </c>
      <c r="L287" s="5">
        <v>37</v>
      </c>
      <c r="M287" s="5" t="str">
        <f>_xlfn.SWITCH(recruitment_data3[[#This Row],[RecruitmentStrategy]], 1,"Aggressive", 2,"Moderate", 3,"Conservative")</f>
        <v>Moderate</v>
      </c>
      <c r="N287" s="5">
        <v>2</v>
      </c>
      <c r="O287" s="5" t="str">
        <f>IF(recruitment_data3[[#This Row],[HiringDecision]]=1,"Hired","Rejected")</f>
        <v>Rejected</v>
      </c>
      <c r="P287" s="6">
        <v>0</v>
      </c>
    </row>
    <row r="288" spans="1:16" x14ac:dyDescent="0.25">
      <c r="A288" s="4" t="str">
        <f t="shared" si="4"/>
        <v>C0287</v>
      </c>
      <c r="B288" s="4">
        <v>47</v>
      </c>
      <c r="C288" s="5" t="str">
        <f>IF(recruitment_data3[[#This Row],[Gender]]=1,"Female","Male")</f>
        <v>Male</v>
      </c>
      <c r="D288" s="5">
        <v>0</v>
      </c>
      <c r="E288" s="5" t="str">
        <f>_xlfn.SWITCH(recruitment_data3[[#This Row],[EducationLevel]], 1,"Bachelor Type 1", 2,"Bachelor Type 2", 3,"Masters", 4,"PhD")</f>
        <v>Bachelor Type 2</v>
      </c>
      <c r="F288" s="5">
        <v>2</v>
      </c>
      <c r="G288" s="5">
        <v>5</v>
      </c>
      <c r="H288" s="5">
        <v>1</v>
      </c>
      <c r="I288" s="5">
        <v>1.3571040884122523</v>
      </c>
      <c r="J288" s="5">
        <v>21</v>
      </c>
      <c r="K288" s="5">
        <v>53</v>
      </c>
      <c r="L288" s="5">
        <v>79</v>
      </c>
      <c r="M288" s="5" t="str">
        <f>_xlfn.SWITCH(recruitment_data3[[#This Row],[RecruitmentStrategy]], 1,"Aggressive", 2,"Moderate", 3,"Conservative")</f>
        <v>Conservative</v>
      </c>
      <c r="N288" s="5">
        <v>3</v>
      </c>
      <c r="O288" s="5" t="str">
        <f>IF(recruitment_data3[[#This Row],[HiringDecision]]=1,"Hired","Rejected")</f>
        <v>Rejected</v>
      </c>
      <c r="P288" s="6">
        <v>0</v>
      </c>
    </row>
    <row r="289" spans="1:16" x14ac:dyDescent="0.25">
      <c r="A289" s="4" t="str">
        <f t="shared" si="4"/>
        <v>C0288</v>
      </c>
      <c r="B289" s="4">
        <v>41</v>
      </c>
      <c r="C289" s="5" t="str">
        <f>IF(recruitment_data3[[#This Row],[Gender]]=1,"Female","Male")</f>
        <v>Female</v>
      </c>
      <c r="D289" s="5">
        <v>1</v>
      </c>
      <c r="E289" s="5" t="str">
        <f>_xlfn.SWITCH(recruitment_data3[[#This Row],[EducationLevel]], 1,"Bachelor Type 1", 2,"Bachelor Type 2", 3,"Masters", 4,"PhD")</f>
        <v>Bachelor Type 1</v>
      </c>
      <c r="F289" s="5">
        <v>1</v>
      </c>
      <c r="G289" s="5">
        <v>1</v>
      </c>
      <c r="H289" s="5">
        <v>3</v>
      </c>
      <c r="I289" s="5">
        <v>23.836529644292014</v>
      </c>
      <c r="J289" s="5">
        <v>19</v>
      </c>
      <c r="K289" s="5">
        <v>60</v>
      </c>
      <c r="L289" s="5">
        <v>51</v>
      </c>
      <c r="M289" s="5" t="str">
        <f>_xlfn.SWITCH(recruitment_data3[[#This Row],[RecruitmentStrategy]], 1,"Aggressive", 2,"Moderate", 3,"Conservative")</f>
        <v>Aggressive</v>
      </c>
      <c r="N289" s="5">
        <v>1</v>
      </c>
      <c r="O289" s="5" t="str">
        <f>IF(recruitment_data3[[#This Row],[HiringDecision]]=1,"Hired","Rejected")</f>
        <v>Rejected</v>
      </c>
      <c r="P289" s="6">
        <v>0</v>
      </c>
    </row>
    <row r="290" spans="1:16" x14ac:dyDescent="0.25">
      <c r="A290" s="4" t="str">
        <f t="shared" si="4"/>
        <v>C0289</v>
      </c>
      <c r="B290" s="4">
        <v>42</v>
      </c>
      <c r="C290" s="5" t="str">
        <f>IF(recruitment_data3[[#This Row],[Gender]]=1,"Female","Male")</f>
        <v>Female</v>
      </c>
      <c r="D290" s="5">
        <v>1</v>
      </c>
      <c r="E290" s="5" t="str">
        <f>_xlfn.SWITCH(recruitment_data3[[#This Row],[EducationLevel]], 1,"Bachelor Type 1", 2,"Bachelor Type 2", 3,"Masters", 4,"PhD")</f>
        <v>Bachelor Type 2</v>
      </c>
      <c r="F290" s="5">
        <v>2</v>
      </c>
      <c r="G290" s="5">
        <v>8</v>
      </c>
      <c r="H290" s="5">
        <v>3</v>
      </c>
      <c r="I290" s="5">
        <v>17.461530767069725</v>
      </c>
      <c r="J290" s="5">
        <v>81</v>
      </c>
      <c r="K290" s="5">
        <v>7</v>
      </c>
      <c r="L290" s="5">
        <v>14</v>
      </c>
      <c r="M290" s="5" t="str">
        <f>_xlfn.SWITCH(recruitment_data3[[#This Row],[RecruitmentStrategy]], 1,"Aggressive", 2,"Moderate", 3,"Conservative")</f>
        <v>Aggressive</v>
      </c>
      <c r="N290" s="5">
        <v>1</v>
      </c>
      <c r="O290" s="5" t="str">
        <f>IF(recruitment_data3[[#This Row],[HiringDecision]]=1,"Hired","Rejected")</f>
        <v>Hired</v>
      </c>
      <c r="P290" s="6">
        <v>1</v>
      </c>
    </row>
    <row r="291" spans="1:16" x14ac:dyDescent="0.25">
      <c r="A291" s="4" t="str">
        <f t="shared" si="4"/>
        <v>C0290</v>
      </c>
      <c r="B291" s="4">
        <v>24</v>
      </c>
      <c r="C291" s="5" t="str">
        <f>IF(recruitment_data3[[#This Row],[Gender]]=1,"Female","Male")</f>
        <v>Female</v>
      </c>
      <c r="D291" s="5">
        <v>1</v>
      </c>
      <c r="E291" s="5" t="str">
        <f>_xlfn.SWITCH(recruitment_data3[[#This Row],[EducationLevel]], 1,"Bachelor Type 1", 2,"Bachelor Type 2", 3,"Masters", 4,"PhD")</f>
        <v>Masters</v>
      </c>
      <c r="F291" s="5">
        <v>3</v>
      </c>
      <c r="G291" s="5">
        <v>0</v>
      </c>
      <c r="H291" s="5">
        <v>4</v>
      </c>
      <c r="I291" s="5">
        <v>3.6240855049863789</v>
      </c>
      <c r="J291" s="5">
        <v>0</v>
      </c>
      <c r="K291" s="5">
        <v>2</v>
      </c>
      <c r="L291" s="5">
        <v>45</v>
      </c>
      <c r="M291" s="5" t="str">
        <f>_xlfn.SWITCH(recruitment_data3[[#This Row],[RecruitmentStrategy]], 1,"Aggressive", 2,"Moderate", 3,"Conservative")</f>
        <v>Aggressive</v>
      </c>
      <c r="N291" s="5">
        <v>1</v>
      </c>
      <c r="O291" s="5" t="str">
        <f>IF(recruitment_data3[[#This Row],[HiringDecision]]=1,"Hired","Rejected")</f>
        <v>Rejected</v>
      </c>
      <c r="P291" s="6">
        <v>0</v>
      </c>
    </row>
    <row r="292" spans="1:16" x14ac:dyDescent="0.25">
      <c r="A292" s="4" t="str">
        <f t="shared" si="4"/>
        <v>C0291</v>
      </c>
      <c r="B292" s="4">
        <v>20</v>
      </c>
      <c r="C292" s="5" t="str">
        <f>IF(recruitment_data3[[#This Row],[Gender]]=1,"Female","Male")</f>
        <v>Male</v>
      </c>
      <c r="D292" s="5">
        <v>0</v>
      </c>
      <c r="E292" s="5" t="str">
        <f>_xlfn.SWITCH(recruitment_data3[[#This Row],[EducationLevel]], 1,"Bachelor Type 1", 2,"Bachelor Type 2", 3,"Masters", 4,"PhD")</f>
        <v>Masters</v>
      </c>
      <c r="F292" s="5">
        <v>3</v>
      </c>
      <c r="G292" s="5">
        <v>5</v>
      </c>
      <c r="H292" s="5">
        <v>1</v>
      </c>
      <c r="I292" s="5">
        <v>23.511814333630863</v>
      </c>
      <c r="J292" s="5">
        <v>29</v>
      </c>
      <c r="K292" s="5">
        <v>24</v>
      </c>
      <c r="L292" s="5">
        <v>22</v>
      </c>
      <c r="M292" s="5" t="str">
        <f>_xlfn.SWITCH(recruitment_data3[[#This Row],[RecruitmentStrategy]], 1,"Aggressive", 2,"Moderate", 3,"Conservative")</f>
        <v>Conservative</v>
      </c>
      <c r="N292" s="5">
        <v>3</v>
      </c>
      <c r="O292" s="5" t="str">
        <f>IF(recruitment_data3[[#This Row],[HiringDecision]]=1,"Hired","Rejected")</f>
        <v>Rejected</v>
      </c>
      <c r="P292" s="6">
        <v>0</v>
      </c>
    </row>
    <row r="293" spans="1:16" x14ac:dyDescent="0.25">
      <c r="A293" s="4" t="str">
        <f t="shared" si="4"/>
        <v>C0292</v>
      </c>
      <c r="B293" s="4">
        <v>20</v>
      </c>
      <c r="C293" s="5" t="str">
        <f>IF(recruitment_data3[[#This Row],[Gender]]=1,"Female","Male")</f>
        <v>Female</v>
      </c>
      <c r="D293" s="5">
        <v>1</v>
      </c>
      <c r="E293" s="5" t="str">
        <f>_xlfn.SWITCH(recruitment_data3[[#This Row],[EducationLevel]], 1,"Bachelor Type 1", 2,"Bachelor Type 2", 3,"Masters", 4,"PhD")</f>
        <v>Bachelor Type 2</v>
      </c>
      <c r="F293" s="5">
        <v>2</v>
      </c>
      <c r="G293" s="5">
        <v>5</v>
      </c>
      <c r="H293" s="5">
        <v>4</v>
      </c>
      <c r="I293" s="5">
        <v>13.737435366835943</v>
      </c>
      <c r="J293" s="5">
        <v>96</v>
      </c>
      <c r="K293" s="5">
        <v>68</v>
      </c>
      <c r="L293" s="5">
        <v>11</v>
      </c>
      <c r="M293" s="5" t="str">
        <f>_xlfn.SWITCH(recruitment_data3[[#This Row],[RecruitmentStrategy]], 1,"Aggressive", 2,"Moderate", 3,"Conservative")</f>
        <v>Moderate</v>
      </c>
      <c r="N293" s="5">
        <v>2</v>
      </c>
      <c r="O293" s="5" t="str">
        <f>IF(recruitment_data3[[#This Row],[HiringDecision]]=1,"Hired","Rejected")</f>
        <v>Rejected</v>
      </c>
      <c r="P293" s="6">
        <v>0</v>
      </c>
    </row>
    <row r="294" spans="1:16" x14ac:dyDescent="0.25">
      <c r="A294" s="4" t="str">
        <f t="shared" si="4"/>
        <v>C0293</v>
      </c>
      <c r="B294" s="4">
        <v>38</v>
      </c>
      <c r="C294" s="5" t="str">
        <f>IF(recruitment_data3[[#This Row],[Gender]]=1,"Female","Male")</f>
        <v>Male</v>
      </c>
      <c r="D294" s="5">
        <v>0</v>
      </c>
      <c r="E294" s="5" t="str">
        <f>_xlfn.SWITCH(recruitment_data3[[#This Row],[EducationLevel]], 1,"Bachelor Type 1", 2,"Bachelor Type 2", 3,"Masters", 4,"PhD")</f>
        <v>PhD</v>
      </c>
      <c r="F294" s="5">
        <v>4</v>
      </c>
      <c r="G294" s="5">
        <v>4</v>
      </c>
      <c r="H294" s="5">
        <v>1</v>
      </c>
      <c r="I294" s="5">
        <v>18.594241717350322</v>
      </c>
      <c r="J294" s="5">
        <v>23</v>
      </c>
      <c r="K294" s="5">
        <v>54</v>
      </c>
      <c r="L294" s="5">
        <v>92</v>
      </c>
      <c r="M294" s="5" t="str">
        <f>_xlfn.SWITCH(recruitment_data3[[#This Row],[RecruitmentStrategy]], 1,"Aggressive", 2,"Moderate", 3,"Conservative")</f>
        <v>Moderate</v>
      </c>
      <c r="N294" s="5">
        <v>2</v>
      </c>
      <c r="O294" s="5" t="str">
        <f>IF(recruitment_data3[[#This Row],[HiringDecision]]=1,"Hired","Rejected")</f>
        <v>Rejected</v>
      </c>
      <c r="P294" s="6">
        <v>0</v>
      </c>
    </row>
    <row r="295" spans="1:16" x14ac:dyDescent="0.25">
      <c r="A295" s="4" t="str">
        <f t="shared" si="4"/>
        <v>C0294</v>
      </c>
      <c r="B295" s="4">
        <v>49</v>
      </c>
      <c r="C295" s="5" t="str">
        <f>IF(recruitment_data3[[#This Row],[Gender]]=1,"Female","Male")</f>
        <v>Female</v>
      </c>
      <c r="D295" s="5">
        <v>1</v>
      </c>
      <c r="E295" s="5" t="str">
        <f>_xlfn.SWITCH(recruitment_data3[[#This Row],[EducationLevel]], 1,"Bachelor Type 1", 2,"Bachelor Type 2", 3,"Masters", 4,"PhD")</f>
        <v>Bachelor Type 2</v>
      </c>
      <c r="F295" s="5">
        <v>2</v>
      </c>
      <c r="G295" s="5">
        <v>15</v>
      </c>
      <c r="H295" s="5">
        <v>4</v>
      </c>
      <c r="I295" s="5">
        <v>36.280765239214652</v>
      </c>
      <c r="J295" s="5">
        <v>13</v>
      </c>
      <c r="K295" s="5">
        <v>39</v>
      </c>
      <c r="L295" s="5">
        <v>43</v>
      </c>
      <c r="M295" s="5" t="str">
        <f>_xlfn.SWITCH(recruitment_data3[[#This Row],[RecruitmentStrategy]], 1,"Aggressive", 2,"Moderate", 3,"Conservative")</f>
        <v>Moderate</v>
      </c>
      <c r="N295" s="5">
        <v>2</v>
      </c>
      <c r="O295" s="5" t="str">
        <f>IF(recruitment_data3[[#This Row],[HiringDecision]]=1,"Hired","Rejected")</f>
        <v>Rejected</v>
      </c>
      <c r="P295" s="6">
        <v>0</v>
      </c>
    </row>
    <row r="296" spans="1:16" x14ac:dyDescent="0.25">
      <c r="A296" s="4" t="str">
        <f t="shared" si="4"/>
        <v>C0295</v>
      </c>
      <c r="B296" s="4">
        <v>21</v>
      </c>
      <c r="C296" s="5" t="str">
        <f>IF(recruitment_data3[[#This Row],[Gender]]=1,"Female","Male")</f>
        <v>Female</v>
      </c>
      <c r="D296" s="5">
        <v>1</v>
      </c>
      <c r="E296" s="5" t="str">
        <f>_xlfn.SWITCH(recruitment_data3[[#This Row],[EducationLevel]], 1,"Bachelor Type 1", 2,"Bachelor Type 2", 3,"Masters", 4,"PhD")</f>
        <v>Bachelor Type 1</v>
      </c>
      <c r="F296" s="5">
        <v>1</v>
      </c>
      <c r="G296" s="5">
        <v>12</v>
      </c>
      <c r="H296" s="5">
        <v>2</v>
      </c>
      <c r="I296" s="5">
        <v>27.077549195548354</v>
      </c>
      <c r="J296" s="5">
        <v>35</v>
      </c>
      <c r="K296" s="5">
        <v>82</v>
      </c>
      <c r="L296" s="5">
        <v>14</v>
      </c>
      <c r="M296" s="5" t="str">
        <f>_xlfn.SWITCH(recruitment_data3[[#This Row],[RecruitmentStrategy]], 1,"Aggressive", 2,"Moderate", 3,"Conservative")</f>
        <v>Conservative</v>
      </c>
      <c r="N296" s="5">
        <v>3</v>
      </c>
      <c r="O296" s="5" t="str">
        <f>IF(recruitment_data3[[#This Row],[HiringDecision]]=1,"Hired","Rejected")</f>
        <v>Rejected</v>
      </c>
      <c r="P296" s="6">
        <v>0</v>
      </c>
    </row>
    <row r="297" spans="1:16" x14ac:dyDescent="0.25">
      <c r="A297" s="4" t="str">
        <f t="shared" si="4"/>
        <v>C0296</v>
      </c>
      <c r="B297" s="4">
        <v>40</v>
      </c>
      <c r="C297" s="5" t="str">
        <f>IF(recruitment_data3[[#This Row],[Gender]]=1,"Female","Male")</f>
        <v>Male</v>
      </c>
      <c r="D297" s="5">
        <v>0</v>
      </c>
      <c r="E297" s="5" t="str">
        <f>_xlfn.SWITCH(recruitment_data3[[#This Row],[EducationLevel]], 1,"Bachelor Type 1", 2,"Bachelor Type 2", 3,"Masters", 4,"PhD")</f>
        <v>Bachelor Type 2</v>
      </c>
      <c r="F297" s="5">
        <v>2</v>
      </c>
      <c r="G297" s="5">
        <v>4</v>
      </c>
      <c r="H297" s="5">
        <v>2</v>
      </c>
      <c r="I297" s="5">
        <v>7.2323714496406666</v>
      </c>
      <c r="J297" s="5">
        <v>68</v>
      </c>
      <c r="K297" s="5">
        <v>81</v>
      </c>
      <c r="L297" s="5">
        <v>92</v>
      </c>
      <c r="M297" s="5" t="str">
        <f>_xlfn.SWITCH(recruitment_data3[[#This Row],[RecruitmentStrategy]], 1,"Aggressive", 2,"Moderate", 3,"Conservative")</f>
        <v>Conservative</v>
      </c>
      <c r="N297" s="5">
        <v>3</v>
      </c>
      <c r="O297" s="5" t="str">
        <f>IF(recruitment_data3[[#This Row],[HiringDecision]]=1,"Hired","Rejected")</f>
        <v>Rejected</v>
      </c>
      <c r="P297" s="6">
        <v>0</v>
      </c>
    </row>
    <row r="298" spans="1:16" x14ac:dyDescent="0.25">
      <c r="A298" s="4" t="str">
        <f t="shared" si="4"/>
        <v>C0297</v>
      </c>
      <c r="B298" s="4">
        <v>31</v>
      </c>
      <c r="C298" s="5" t="str">
        <f>IF(recruitment_data3[[#This Row],[Gender]]=1,"Female","Male")</f>
        <v>Female</v>
      </c>
      <c r="D298" s="5">
        <v>1</v>
      </c>
      <c r="E298" s="5" t="str">
        <f>_xlfn.SWITCH(recruitment_data3[[#This Row],[EducationLevel]], 1,"Bachelor Type 1", 2,"Bachelor Type 2", 3,"Masters", 4,"PhD")</f>
        <v>Bachelor Type 2</v>
      </c>
      <c r="F298" s="5">
        <v>2</v>
      </c>
      <c r="G298" s="5">
        <v>0</v>
      </c>
      <c r="H298" s="5">
        <v>5</v>
      </c>
      <c r="I298" s="5">
        <v>49.070727021181952</v>
      </c>
      <c r="J298" s="5">
        <v>74</v>
      </c>
      <c r="K298" s="5">
        <v>49</v>
      </c>
      <c r="L298" s="5">
        <v>48</v>
      </c>
      <c r="M298" s="5" t="str">
        <f>_xlfn.SWITCH(recruitment_data3[[#This Row],[RecruitmentStrategy]], 1,"Aggressive", 2,"Moderate", 3,"Conservative")</f>
        <v>Moderate</v>
      </c>
      <c r="N298" s="5">
        <v>2</v>
      </c>
      <c r="O298" s="5" t="str">
        <f>IF(recruitment_data3[[#This Row],[HiringDecision]]=1,"Hired","Rejected")</f>
        <v>Rejected</v>
      </c>
      <c r="P298" s="6">
        <v>0</v>
      </c>
    </row>
    <row r="299" spans="1:16" x14ac:dyDescent="0.25">
      <c r="A299" s="4" t="str">
        <f t="shared" si="4"/>
        <v>C0298</v>
      </c>
      <c r="B299" s="4">
        <v>45</v>
      </c>
      <c r="C299" s="5" t="str">
        <f>IF(recruitment_data3[[#This Row],[Gender]]=1,"Female","Male")</f>
        <v>Male</v>
      </c>
      <c r="D299" s="5">
        <v>0</v>
      </c>
      <c r="E299" s="5" t="str">
        <f>_xlfn.SWITCH(recruitment_data3[[#This Row],[EducationLevel]], 1,"Bachelor Type 1", 2,"Bachelor Type 2", 3,"Masters", 4,"PhD")</f>
        <v>Bachelor Type 1</v>
      </c>
      <c r="F299" s="5">
        <v>1</v>
      </c>
      <c r="G299" s="5">
        <v>9</v>
      </c>
      <c r="H299" s="5">
        <v>4</v>
      </c>
      <c r="I299" s="5">
        <v>32.79553828548692</v>
      </c>
      <c r="J299" s="5">
        <v>23</v>
      </c>
      <c r="K299" s="5">
        <v>94</v>
      </c>
      <c r="L299" s="5">
        <v>20</v>
      </c>
      <c r="M299" s="5" t="str">
        <f>_xlfn.SWITCH(recruitment_data3[[#This Row],[RecruitmentStrategy]], 1,"Aggressive", 2,"Moderate", 3,"Conservative")</f>
        <v>Aggressive</v>
      </c>
      <c r="N299" s="5">
        <v>1</v>
      </c>
      <c r="O299" s="5" t="str">
        <f>IF(recruitment_data3[[#This Row],[HiringDecision]]=1,"Hired","Rejected")</f>
        <v>Hired</v>
      </c>
      <c r="P299" s="6">
        <v>1</v>
      </c>
    </row>
    <row r="300" spans="1:16" x14ac:dyDescent="0.25">
      <c r="A300" s="4" t="str">
        <f t="shared" si="4"/>
        <v>C0299</v>
      </c>
      <c r="B300" s="4">
        <v>25</v>
      </c>
      <c r="C300" s="5" t="str">
        <f>IF(recruitment_data3[[#This Row],[Gender]]=1,"Female","Male")</f>
        <v>Male</v>
      </c>
      <c r="D300" s="5">
        <v>0</v>
      </c>
      <c r="E300" s="5" t="str">
        <f>_xlfn.SWITCH(recruitment_data3[[#This Row],[EducationLevel]], 1,"Bachelor Type 1", 2,"Bachelor Type 2", 3,"Masters", 4,"PhD")</f>
        <v>PhD</v>
      </c>
      <c r="F300" s="5">
        <v>4</v>
      </c>
      <c r="G300" s="5">
        <v>11</v>
      </c>
      <c r="H300" s="5">
        <v>3</v>
      </c>
      <c r="I300" s="5">
        <v>39.293421283126577</v>
      </c>
      <c r="J300" s="5">
        <v>59</v>
      </c>
      <c r="K300" s="5">
        <v>32</v>
      </c>
      <c r="L300" s="5">
        <v>14</v>
      </c>
      <c r="M300" s="5" t="str">
        <f>_xlfn.SWITCH(recruitment_data3[[#This Row],[RecruitmentStrategy]], 1,"Aggressive", 2,"Moderate", 3,"Conservative")</f>
        <v>Aggressive</v>
      </c>
      <c r="N300" s="5">
        <v>1</v>
      </c>
      <c r="O300" s="5" t="str">
        <f>IF(recruitment_data3[[#This Row],[HiringDecision]]=1,"Hired","Rejected")</f>
        <v>Hired</v>
      </c>
      <c r="P300" s="6">
        <v>1</v>
      </c>
    </row>
    <row r="301" spans="1:16" x14ac:dyDescent="0.25">
      <c r="A301" s="4" t="str">
        <f t="shared" si="4"/>
        <v>C0300</v>
      </c>
      <c r="B301" s="4">
        <v>42</v>
      </c>
      <c r="C301" s="5" t="str">
        <f>IF(recruitment_data3[[#This Row],[Gender]]=1,"Female","Male")</f>
        <v>Female</v>
      </c>
      <c r="D301" s="5">
        <v>1</v>
      </c>
      <c r="E301" s="5" t="str">
        <f>_xlfn.SWITCH(recruitment_data3[[#This Row],[EducationLevel]], 1,"Bachelor Type 1", 2,"Bachelor Type 2", 3,"Masters", 4,"PhD")</f>
        <v>Bachelor Type 2</v>
      </c>
      <c r="F301" s="5">
        <v>2</v>
      </c>
      <c r="G301" s="5">
        <v>4</v>
      </c>
      <c r="H301" s="5">
        <v>5</v>
      </c>
      <c r="I301" s="5">
        <v>4.9606575004185407</v>
      </c>
      <c r="J301" s="5">
        <v>94</v>
      </c>
      <c r="K301" s="5">
        <v>17</v>
      </c>
      <c r="L301" s="5">
        <v>13</v>
      </c>
      <c r="M301" s="5" t="str">
        <f>_xlfn.SWITCH(recruitment_data3[[#This Row],[RecruitmentStrategy]], 1,"Aggressive", 2,"Moderate", 3,"Conservative")</f>
        <v>Conservative</v>
      </c>
      <c r="N301" s="5">
        <v>3</v>
      </c>
      <c r="O301" s="5" t="str">
        <f>IF(recruitment_data3[[#This Row],[HiringDecision]]=1,"Hired","Rejected")</f>
        <v>Rejected</v>
      </c>
      <c r="P301" s="6">
        <v>0</v>
      </c>
    </row>
    <row r="302" spans="1:16" x14ac:dyDescent="0.25">
      <c r="A302" s="4" t="str">
        <f t="shared" si="4"/>
        <v>C0301</v>
      </c>
      <c r="B302" s="4">
        <v>23</v>
      </c>
      <c r="C302" s="5" t="str">
        <f>IF(recruitment_data3[[#This Row],[Gender]]=1,"Female","Male")</f>
        <v>Male</v>
      </c>
      <c r="D302" s="5">
        <v>0</v>
      </c>
      <c r="E302" s="5" t="str">
        <f>_xlfn.SWITCH(recruitment_data3[[#This Row],[EducationLevel]], 1,"Bachelor Type 1", 2,"Bachelor Type 2", 3,"Masters", 4,"PhD")</f>
        <v>Masters</v>
      </c>
      <c r="F302" s="5">
        <v>3</v>
      </c>
      <c r="G302" s="5">
        <v>1</v>
      </c>
      <c r="H302" s="5">
        <v>2</v>
      </c>
      <c r="I302" s="5">
        <v>3.3529189730009445</v>
      </c>
      <c r="J302" s="5">
        <v>54</v>
      </c>
      <c r="K302" s="5">
        <v>56</v>
      </c>
      <c r="L302" s="5">
        <v>41</v>
      </c>
      <c r="M302" s="5" t="str">
        <f>_xlfn.SWITCH(recruitment_data3[[#This Row],[RecruitmentStrategy]], 1,"Aggressive", 2,"Moderate", 3,"Conservative")</f>
        <v>Moderate</v>
      </c>
      <c r="N302" s="5">
        <v>2</v>
      </c>
      <c r="O302" s="5" t="str">
        <f>IF(recruitment_data3[[#This Row],[HiringDecision]]=1,"Hired","Rejected")</f>
        <v>Rejected</v>
      </c>
      <c r="P302" s="6">
        <v>0</v>
      </c>
    </row>
    <row r="303" spans="1:16" x14ac:dyDescent="0.25">
      <c r="A303" s="4" t="str">
        <f t="shared" si="4"/>
        <v>C0302</v>
      </c>
      <c r="B303" s="4">
        <v>42</v>
      </c>
      <c r="C303" s="5" t="str">
        <f>IF(recruitment_data3[[#This Row],[Gender]]=1,"Female","Male")</f>
        <v>Female</v>
      </c>
      <c r="D303" s="5">
        <v>1</v>
      </c>
      <c r="E303" s="5" t="str">
        <f>_xlfn.SWITCH(recruitment_data3[[#This Row],[EducationLevel]], 1,"Bachelor Type 1", 2,"Bachelor Type 2", 3,"Masters", 4,"PhD")</f>
        <v>Bachelor Type 2</v>
      </c>
      <c r="F303" s="5">
        <v>2</v>
      </c>
      <c r="G303" s="5">
        <v>6</v>
      </c>
      <c r="H303" s="5">
        <v>4</v>
      </c>
      <c r="I303" s="5">
        <v>1.9724025184040586</v>
      </c>
      <c r="J303" s="5">
        <v>76</v>
      </c>
      <c r="K303" s="5">
        <v>15</v>
      </c>
      <c r="L303" s="5">
        <v>79</v>
      </c>
      <c r="M303" s="5" t="str">
        <f>_xlfn.SWITCH(recruitment_data3[[#This Row],[RecruitmentStrategy]], 1,"Aggressive", 2,"Moderate", 3,"Conservative")</f>
        <v>Aggressive</v>
      </c>
      <c r="N303" s="5">
        <v>1</v>
      </c>
      <c r="O303" s="5" t="str">
        <f>IF(recruitment_data3[[#This Row],[HiringDecision]]=1,"Hired","Rejected")</f>
        <v>Hired</v>
      </c>
      <c r="P303" s="6">
        <v>1</v>
      </c>
    </row>
    <row r="304" spans="1:16" x14ac:dyDescent="0.25">
      <c r="A304" s="4" t="str">
        <f t="shared" si="4"/>
        <v>C0303</v>
      </c>
      <c r="B304" s="4">
        <v>30</v>
      </c>
      <c r="C304" s="5" t="str">
        <f>IF(recruitment_data3[[#This Row],[Gender]]=1,"Female","Male")</f>
        <v>Female</v>
      </c>
      <c r="D304" s="5">
        <v>1</v>
      </c>
      <c r="E304" s="5" t="str">
        <f>_xlfn.SWITCH(recruitment_data3[[#This Row],[EducationLevel]], 1,"Bachelor Type 1", 2,"Bachelor Type 2", 3,"Masters", 4,"PhD")</f>
        <v>Bachelor Type 1</v>
      </c>
      <c r="F304" s="5">
        <v>1</v>
      </c>
      <c r="G304" s="5">
        <v>2</v>
      </c>
      <c r="H304" s="5">
        <v>5</v>
      </c>
      <c r="I304" s="5">
        <v>10.439701388672223</v>
      </c>
      <c r="J304" s="5">
        <v>79</v>
      </c>
      <c r="K304" s="5">
        <v>79</v>
      </c>
      <c r="L304" s="5">
        <v>14</v>
      </c>
      <c r="M304" s="5" t="str">
        <f>_xlfn.SWITCH(recruitment_data3[[#This Row],[RecruitmentStrategy]], 1,"Aggressive", 2,"Moderate", 3,"Conservative")</f>
        <v>Moderate</v>
      </c>
      <c r="N304" s="5">
        <v>2</v>
      </c>
      <c r="O304" s="5" t="str">
        <f>IF(recruitment_data3[[#This Row],[HiringDecision]]=1,"Hired","Rejected")</f>
        <v>Rejected</v>
      </c>
      <c r="P304" s="6">
        <v>0</v>
      </c>
    </row>
    <row r="305" spans="1:16" x14ac:dyDescent="0.25">
      <c r="A305" s="4" t="str">
        <f t="shared" si="4"/>
        <v>C0304</v>
      </c>
      <c r="B305" s="4">
        <v>43</v>
      </c>
      <c r="C305" s="5" t="str">
        <f>IF(recruitment_data3[[#This Row],[Gender]]=1,"Female","Male")</f>
        <v>Male</v>
      </c>
      <c r="D305" s="5">
        <v>0</v>
      </c>
      <c r="E305" s="5" t="str">
        <f>_xlfn.SWITCH(recruitment_data3[[#This Row],[EducationLevel]], 1,"Bachelor Type 1", 2,"Bachelor Type 2", 3,"Masters", 4,"PhD")</f>
        <v>Bachelor Type 2</v>
      </c>
      <c r="F305" s="5">
        <v>2</v>
      </c>
      <c r="G305" s="5">
        <v>12</v>
      </c>
      <c r="H305" s="5">
        <v>4</v>
      </c>
      <c r="I305" s="5">
        <v>21.720419885924755</v>
      </c>
      <c r="J305" s="5">
        <v>23</v>
      </c>
      <c r="K305" s="5">
        <v>37</v>
      </c>
      <c r="L305" s="5">
        <v>62</v>
      </c>
      <c r="M305" s="5" t="str">
        <f>_xlfn.SWITCH(recruitment_data3[[#This Row],[RecruitmentStrategy]], 1,"Aggressive", 2,"Moderate", 3,"Conservative")</f>
        <v>Conservative</v>
      </c>
      <c r="N305" s="5">
        <v>3</v>
      </c>
      <c r="O305" s="5" t="str">
        <f>IF(recruitment_data3[[#This Row],[HiringDecision]]=1,"Hired","Rejected")</f>
        <v>Rejected</v>
      </c>
      <c r="P305" s="6">
        <v>0</v>
      </c>
    </row>
    <row r="306" spans="1:16" x14ac:dyDescent="0.25">
      <c r="A306" s="4" t="str">
        <f t="shared" si="4"/>
        <v>C0305</v>
      </c>
      <c r="B306" s="4">
        <v>46</v>
      </c>
      <c r="C306" s="5" t="str">
        <f>IF(recruitment_data3[[#This Row],[Gender]]=1,"Female","Male")</f>
        <v>Male</v>
      </c>
      <c r="D306" s="5">
        <v>0</v>
      </c>
      <c r="E306" s="5" t="str">
        <f>_xlfn.SWITCH(recruitment_data3[[#This Row],[EducationLevel]], 1,"Bachelor Type 1", 2,"Bachelor Type 2", 3,"Masters", 4,"PhD")</f>
        <v>Bachelor Type 1</v>
      </c>
      <c r="F306" s="5">
        <v>1</v>
      </c>
      <c r="G306" s="5">
        <v>14</v>
      </c>
      <c r="H306" s="5">
        <v>2</v>
      </c>
      <c r="I306" s="5">
        <v>47.79130667014114</v>
      </c>
      <c r="J306" s="5">
        <v>76</v>
      </c>
      <c r="K306" s="5">
        <v>40</v>
      </c>
      <c r="L306" s="5">
        <v>67</v>
      </c>
      <c r="M306" s="5" t="str">
        <f>_xlfn.SWITCH(recruitment_data3[[#This Row],[RecruitmentStrategy]], 1,"Aggressive", 2,"Moderate", 3,"Conservative")</f>
        <v>Moderate</v>
      </c>
      <c r="N306" s="5">
        <v>2</v>
      </c>
      <c r="O306" s="5" t="str">
        <f>IF(recruitment_data3[[#This Row],[HiringDecision]]=1,"Hired","Rejected")</f>
        <v>Rejected</v>
      </c>
      <c r="P306" s="6">
        <v>0</v>
      </c>
    </row>
    <row r="307" spans="1:16" x14ac:dyDescent="0.25">
      <c r="A307" s="4" t="str">
        <f t="shared" si="4"/>
        <v>C0306</v>
      </c>
      <c r="B307" s="4">
        <v>36</v>
      </c>
      <c r="C307" s="5" t="str">
        <f>IF(recruitment_data3[[#This Row],[Gender]]=1,"Female","Male")</f>
        <v>Male</v>
      </c>
      <c r="D307" s="5">
        <v>0</v>
      </c>
      <c r="E307" s="5" t="str">
        <f>_xlfn.SWITCH(recruitment_data3[[#This Row],[EducationLevel]], 1,"Bachelor Type 1", 2,"Bachelor Type 2", 3,"Masters", 4,"PhD")</f>
        <v>Bachelor Type 2</v>
      </c>
      <c r="F307" s="5">
        <v>2</v>
      </c>
      <c r="G307" s="5">
        <v>3</v>
      </c>
      <c r="H307" s="5">
        <v>5</v>
      </c>
      <c r="I307" s="5">
        <v>23.852982963288817</v>
      </c>
      <c r="J307" s="5">
        <v>23</v>
      </c>
      <c r="K307" s="5">
        <v>6</v>
      </c>
      <c r="L307" s="5">
        <v>26</v>
      </c>
      <c r="M307" s="5" t="str">
        <f>_xlfn.SWITCH(recruitment_data3[[#This Row],[RecruitmentStrategy]], 1,"Aggressive", 2,"Moderate", 3,"Conservative")</f>
        <v>Moderate</v>
      </c>
      <c r="N307" s="5">
        <v>2</v>
      </c>
      <c r="O307" s="5" t="str">
        <f>IF(recruitment_data3[[#This Row],[HiringDecision]]=1,"Hired","Rejected")</f>
        <v>Rejected</v>
      </c>
      <c r="P307" s="6">
        <v>0</v>
      </c>
    </row>
    <row r="308" spans="1:16" x14ac:dyDescent="0.25">
      <c r="A308" s="4" t="str">
        <f t="shared" si="4"/>
        <v>C0307</v>
      </c>
      <c r="B308" s="4">
        <v>50</v>
      </c>
      <c r="C308" s="5" t="str">
        <f>IF(recruitment_data3[[#This Row],[Gender]]=1,"Female","Male")</f>
        <v>Male</v>
      </c>
      <c r="D308" s="5">
        <v>0</v>
      </c>
      <c r="E308" s="5" t="str">
        <f>_xlfn.SWITCH(recruitment_data3[[#This Row],[EducationLevel]], 1,"Bachelor Type 1", 2,"Bachelor Type 2", 3,"Masters", 4,"PhD")</f>
        <v>PhD</v>
      </c>
      <c r="F308" s="5">
        <v>4</v>
      </c>
      <c r="G308" s="5">
        <v>2</v>
      </c>
      <c r="H308" s="5">
        <v>2</v>
      </c>
      <c r="I308" s="5">
        <v>15.512755268626471</v>
      </c>
      <c r="J308" s="5">
        <v>53</v>
      </c>
      <c r="K308" s="5">
        <v>77</v>
      </c>
      <c r="L308" s="5">
        <v>86</v>
      </c>
      <c r="M308" s="5" t="str">
        <f>_xlfn.SWITCH(recruitment_data3[[#This Row],[RecruitmentStrategy]], 1,"Aggressive", 2,"Moderate", 3,"Conservative")</f>
        <v>Conservative</v>
      </c>
      <c r="N308" s="5">
        <v>3</v>
      </c>
      <c r="O308" s="5" t="str">
        <f>IF(recruitment_data3[[#This Row],[HiringDecision]]=1,"Hired","Rejected")</f>
        <v>Rejected</v>
      </c>
      <c r="P308" s="6">
        <v>0</v>
      </c>
    </row>
    <row r="309" spans="1:16" x14ac:dyDescent="0.25">
      <c r="A309" s="4" t="str">
        <f t="shared" si="4"/>
        <v>C0308</v>
      </c>
      <c r="B309" s="4">
        <v>25</v>
      </c>
      <c r="C309" s="5" t="str">
        <f>IF(recruitment_data3[[#This Row],[Gender]]=1,"Female","Male")</f>
        <v>Female</v>
      </c>
      <c r="D309" s="5">
        <v>1</v>
      </c>
      <c r="E309" s="5" t="str">
        <f>_xlfn.SWITCH(recruitment_data3[[#This Row],[EducationLevel]], 1,"Bachelor Type 1", 2,"Bachelor Type 2", 3,"Masters", 4,"PhD")</f>
        <v>Bachelor Type 2</v>
      </c>
      <c r="F309" s="5">
        <v>2</v>
      </c>
      <c r="G309" s="5">
        <v>2</v>
      </c>
      <c r="H309" s="5">
        <v>1</v>
      </c>
      <c r="I309" s="5">
        <v>29.096762675983168</v>
      </c>
      <c r="J309" s="5">
        <v>25</v>
      </c>
      <c r="K309" s="5">
        <v>52</v>
      </c>
      <c r="L309" s="5">
        <v>92</v>
      </c>
      <c r="M309" s="5" t="str">
        <f>_xlfn.SWITCH(recruitment_data3[[#This Row],[RecruitmentStrategy]], 1,"Aggressive", 2,"Moderate", 3,"Conservative")</f>
        <v>Moderate</v>
      </c>
      <c r="N309" s="5">
        <v>2</v>
      </c>
      <c r="O309" s="5" t="str">
        <f>IF(recruitment_data3[[#This Row],[HiringDecision]]=1,"Hired","Rejected")</f>
        <v>Rejected</v>
      </c>
      <c r="P309" s="6">
        <v>0</v>
      </c>
    </row>
    <row r="310" spans="1:16" x14ac:dyDescent="0.25">
      <c r="A310" s="4" t="str">
        <f t="shared" si="4"/>
        <v>C0309</v>
      </c>
      <c r="B310" s="4">
        <v>43</v>
      </c>
      <c r="C310" s="5" t="str">
        <f>IF(recruitment_data3[[#This Row],[Gender]]=1,"Female","Male")</f>
        <v>Female</v>
      </c>
      <c r="D310" s="5">
        <v>1</v>
      </c>
      <c r="E310" s="5" t="str">
        <f>_xlfn.SWITCH(recruitment_data3[[#This Row],[EducationLevel]], 1,"Bachelor Type 1", 2,"Bachelor Type 2", 3,"Masters", 4,"PhD")</f>
        <v>Bachelor Type 2</v>
      </c>
      <c r="F310" s="5">
        <v>2</v>
      </c>
      <c r="G310" s="5">
        <v>3</v>
      </c>
      <c r="H310" s="5">
        <v>2</v>
      </c>
      <c r="I310" s="5">
        <v>6.5967289067394619</v>
      </c>
      <c r="J310" s="5">
        <v>65</v>
      </c>
      <c r="K310" s="5">
        <v>62</v>
      </c>
      <c r="L310" s="5">
        <v>52</v>
      </c>
      <c r="M310" s="5" t="str">
        <f>_xlfn.SWITCH(recruitment_data3[[#This Row],[RecruitmentStrategy]], 1,"Aggressive", 2,"Moderate", 3,"Conservative")</f>
        <v>Aggressive</v>
      </c>
      <c r="N310" s="5">
        <v>1</v>
      </c>
      <c r="O310" s="5" t="str">
        <f>IF(recruitment_data3[[#This Row],[HiringDecision]]=1,"Hired","Rejected")</f>
        <v>Rejected</v>
      </c>
      <c r="P310" s="6">
        <v>0</v>
      </c>
    </row>
    <row r="311" spans="1:16" x14ac:dyDescent="0.25">
      <c r="A311" s="4" t="str">
        <f t="shared" si="4"/>
        <v>C0310</v>
      </c>
      <c r="B311" s="4">
        <v>24</v>
      </c>
      <c r="C311" s="5" t="str">
        <f>IF(recruitment_data3[[#This Row],[Gender]]=1,"Female","Male")</f>
        <v>Male</v>
      </c>
      <c r="D311" s="5">
        <v>0</v>
      </c>
      <c r="E311" s="5" t="str">
        <f>_xlfn.SWITCH(recruitment_data3[[#This Row],[EducationLevel]], 1,"Bachelor Type 1", 2,"Bachelor Type 2", 3,"Masters", 4,"PhD")</f>
        <v>Bachelor Type 1</v>
      </c>
      <c r="F311" s="5">
        <v>1</v>
      </c>
      <c r="G311" s="5">
        <v>4</v>
      </c>
      <c r="H311" s="5">
        <v>4</v>
      </c>
      <c r="I311" s="5">
        <v>31.47529455024916</v>
      </c>
      <c r="J311" s="5">
        <v>79</v>
      </c>
      <c r="K311" s="5">
        <v>88</v>
      </c>
      <c r="L311" s="5">
        <v>51</v>
      </c>
      <c r="M311" s="5" t="str">
        <f>_xlfn.SWITCH(recruitment_data3[[#This Row],[RecruitmentStrategy]], 1,"Aggressive", 2,"Moderate", 3,"Conservative")</f>
        <v>Conservative</v>
      </c>
      <c r="N311" s="5">
        <v>3</v>
      </c>
      <c r="O311" s="5" t="str">
        <f>IF(recruitment_data3[[#This Row],[HiringDecision]]=1,"Hired","Rejected")</f>
        <v>Rejected</v>
      </c>
      <c r="P311" s="6">
        <v>0</v>
      </c>
    </row>
    <row r="312" spans="1:16" x14ac:dyDescent="0.25">
      <c r="A312" s="4" t="str">
        <f t="shared" si="4"/>
        <v>C0311</v>
      </c>
      <c r="B312" s="4">
        <v>39</v>
      </c>
      <c r="C312" s="5" t="str">
        <f>IF(recruitment_data3[[#This Row],[Gender]]=1,"Female","Male")</f>
        <v>Female</v>
      </c>
      <c r="D312" s="5">
        <v>1</v>
      </c>
      <c r="E312" s="5" t="str">
        <f>_xlfn.SWITCH(recruitment_data3[[#This Row],[EducationLevel]], 1,"Bachelor Type 1", 2,"Bachelor Type 2", 3,"Masters", 4,"PhD")</f>
        <v>Bachelor Type 1</v>
      </c>
      <c r="F312" s="5">
        <v>1</v>
      </c>
      <c r="G312" s="5">
        <v>0</v>
      </c>
      <c r="H312" s="5">
        <v>3</v>
      </c>
      <c r="I312" s="5">
        <v>29.421597716525167</v>
      </c>
      <c r="J312" s="5">
        <v>37</v>
      </c>
      <c r="K312" s="5">
        <v>31</v>
      </c>
      <c r="L312" s="5">
        <v>62</v>
      </c>
      <c r="M312" s="5" t="str">
        <f>_xlfn.SWITCH(recruitment_data3[[#This Row],[RecruitmentStrategy]], 1,"Aggressive", 2,"Moderate", 3,"Conservative")</f>
        <v>Conservative</v>
      </c>
      <c r="N312" s="5">
        <v>3</v>
      </c>
      <c r="O312" s="5" t="str">
        <f>IF(recruitment_data3[[#This Row],[HiringDecision]]=1,"Hired","Rejected")</f>
        <v>Rejected</v>
      </c>
      <c r="P312" s="6">
        <v>0</v>
      </c>
    </row>
    <row r="313" spans="1:16" x14ac:dyDescent="0.25">
      <c r="A313" s="4" t="str">
        <f t="shared" si="4"/>
        <v>C0312</v>
      </c>
      <c r="B313" s="4">
        <v>21</v>
      </c>
      <c r="C313" s="5" t="str">
        <f>IF(recruitment_data3[[#This Row],[Gender]]=1,"Female","Male")</f>
        <v>Female</v>
      </c>
      <c r="D313" s="5">
        <v>1</v>
      </c>
      <c r="E313" s="5" t="str">
        <f>_xlfn.SWITCH(recruitment_data3[[#This Row],[EducationLevel]], 1,"Bachelor Type 1", 2,"Bachelor Type 2", 3,"Masters", 4,"PhD")</f>
        <v>Bachelor Type 1</v>
      </c>
      <c r="F313" s="5">
        <v>1</v>
      </c>
      <c r="G313" s="5">
        <v>3</v>
      </c>
      <c r="H313" s="5">
        <v>2</v>
      </c>
      <c r="I313" s="5">
        <v>40.599651670285482</v>
      </c>
      <c r="J313" s="5">
        <v>64</v>
      </c>
      <c r="K313" s="5">
        <v>37</v>
      </c>
      <c r="L313" s="5">
        <v>72</v>
      </c>
      <c r="M313" s="5" t="str">
        <f>_xlfn.SWITCH(recruitment_data3[[#This Row],[RecruitmentStrategy]], 1,"Aggressive", 2,"Moderate", 3,"Conservative")</f>
        <v>Conservative</v>
      </c>
      <c r="N313" s="5">
        <v>3</v>
      </c>
      <c r="O313" s="5" t="str">
        <f>IF(recruitment_data3[[#This Row],[HiringDecision]]=1,"Hired","Rejected")</f>
        <v>Rejected</v>
      </c>
      <c r="P313" s="6">
        <v>0</v>
      </c>
    </row>
    <row r="314" spans="1:16" x14ac:dyDescent="0.25">
      <c r="A314" s="4" t="str">
        <f t="shared" si="4"/>
        <v>C0313</v>
      </c>
      <c r="B314" s="4">
        <v>25</v>
      </c>
      <c r="C314" s="5" t="str">
        <f>IF(recruitment_data3[[#This Row],[Gender]]=1,"Female","Male")</f>
        <v>Female</v>
      </c>
      <c r="D314" s="5">
        <v>1</v>
      </c>
      <c r="E314" s="5" t="str">
        <f>_xlfn.SWITCH(recruitment_data3[[#This Row],[EducationLevel]], 1,"Bachelor Type 1", 2,"Bachelor Type 2", 3,"Masters", 4,"PhD")</f>
        <v>Bachelor Type 2</v>
      </c>
      <c r="F314" s="5">
        <v>2</v>
      </c>
      <c r="G314" s="5">
        <v>11</v>
      </c>
      <c r="H314" s="5">
        <v>3</v>
      </c>
      <c r="I314" s="5">
        <v>50.334380580851203</v>
      </c>
      <c r="J314" s="5">
        <v>74</v>
      </c>
      <c r="K314" s="5">
        <v>21</v>
      </c>
      <c r="L314" s="5">
        <v>52</v>
      </c>
      <c r="M314" s="5" t="str">
        <f>_xlfn.SWITCH(recruitment_data3[[#This Row],[RecruitmentStrategy]], 1,"Aggressive", 2,"Moderate", 3,"Conservative")</f>
        <v>Moderate</v>
      </c>
      <c r="N314" s="5">
        <v>2</v>
      </c>
      <c r="O314" s="5" t="str">
        <f>IF(recruitment_data3[[#This Row],[HiringDecision]]=1,"Hired","Rejected")</f>
        <v>Rejected</v>
      </c>
      <c r="P314" s="6">
        <v>0</v>
      </c>
    </row>
    <row r="315" spans="1:16" x14ac:dyDescent="0.25">
      <c r="A315" s="4" t="str">
        <f t="shared" si="4"/>
        <v>C0314</v>
      </c>
      <c r="B315" s="4">
        <v>41</v>
      </c>
      <c r="C315" s="5" t="str">
        <f>IF(recruitment_data3[[#This Row],[Gender]]=1,"Female","Male")</f>
        <v>Female</v>
      </c>
      <c r="D315" s="5">
        <v>1</v>
      </c>
      <c r="E315" s="5" t="str">
        <f>_xlfn.SWITCH(recruitment_data3[[#This Row],[EducationLevel]], 1,"Bachelor Type 1", 2,"Bachelor Type 2", 3,"Masters", 4,"PhD")</f>
        <v>Bachelor Type 1</v>
      </c>
      <c r="F315" s="5">
        <v>1</v>
      </c>
      <c r="G315" s="5">
        <v>11</v>
      </c>
      <c r="H315" s="5">
        <v>1</v>
      </c>
      <c r="I315" s="5">
        <v>13.543673585805525</v>
      </c>
      <c r="J315" s="5">
        <v>50</v>
      </c>
      <c r="K315" s="5">
        <v>15</v>
      </c>
      <c r="L315" s="5">
        <v>56</v>
      </c>
      <c r="M315" s="5" t="str">
        <f>_xlfn.SWITCH(recruitment_data3[[#This Row],[RecruitmentStrategy]], 1,"Aggressive", 2,"Moderate", 3,"Conservative")</f>
        <v>Aggressive</v>
      </c>
      <c r="N315" s="5">
        <v>1</v>
      </c>
      <c r="O315" s="5" t="str">
        <f>IF(recruitment_data3[[#This Row],[HiringDecision]]=1,"Hired","Rejected")</f>
        <v>Rejected</v>
      </c>
      <c r="P315" s="6">
        <v>0</v>
      </c>
    </row>
    <row r="316" spans="1:16" x14ac:dyDescent="0.25">
      <c r="A316" s="4" t="str">
        <f t="shared" si="4"/>
        <v>C0315</v>
      </c>
      <c r="B316" s="4">
        <v>30</v>
      </c>
      <c r="C316" s="5" t="str">
        <f>IF(recruitment_data3[[#This Row],[Gender]]=1,"Female","Male")</f>
        <v>Male</v>
      </c>
      <c r="D316" s="5">
        <v>0</v>
      </c>
      <c r="E316" s="5" t="str">
        <f>_xlfn.SWITCH(recruitment_data3[[#This Row],[EducationLevel]], 1,"Bachelor Type 1", 2,"Bachelor Type 2", 3,"Masters", 4,"PhD")</f>
        <v>Bachelor Type 2</v>
      </c>
      <c r="F316" s="5">
        <v>2</v>
      </c>
      <c r="G316" s="5">
        <v>10</v>
      </c>
      <c r="H316" s="5">
        <v>5</v>
      </c>
      <c r="I316" s="5">
        <v>26.482822540188032</v>
      </c>
      <c r="J316" s="5">
        <v>34</v>
      </c>
      <c r="K316" s="5">
        <v>51</v>
      </c>
      <c r="L316" s="5">
        <v>51</v>
      </c>
      <c r="M316" s="5" t="str">
        <f>_xlfn.SWITCH(recruitment_data3[[#This Row],[RecruitmentStrategy]], 1,"Aggressive", 2,"Moderate", 3,"Conservative")</f>
        <v>Conservative</v>
      </c>
      <c r="N316" s="5">
        <v>3</v>
      </c>
      <c r="O316" s="5" t="str">
        <f>IF(recruitment_data3[[#This Row],[HiringDecision]]=1,"Hired","Rejected")</f>
        <v>Rejected</v>
      </c>
      <c r="P316" s="6">
        <v>0</v>
      </c>
    </row>
    <row r="317" spans="1:16" x14ac:dyDescent="0.25">
      <c r="A317" s="4" t="str">
        <f t="shared" si="4"/>
        <v>C0316</v>
      </c>
      <c r="B317" s="4">
        <v>50</v>
      </c>
      <c r="C317" s="5" t="str">
        <f>IF(recruitment_data3[[#This Row],[Gender]]=1,"Female","Male")</f>
        <v>Male</v>
      </c>
      <c r="D317" s="5">
        <v>0</v>
      </c>
      <c r="E317" s="5" t="str">
        <f>_xlfn.SWITCH(recruitment_data3[[#This Row],[EducationLevel]], 1,"Bachelor Type 1", 2,"Bachelor Type 2", 3,"Masters", 4,"PhD")</f>
        <v>Bachelor Type 2</v>
      </c>
      <c r="F317" s="5">
        <v>2</v>
      </c>
      <c r="G317" s="5">
        <v>7</v>
      </c>
      <c r="H317" s="5">
        <v>5</v>
      </c>
      <c r="I317" s="5">
        <v>46.44327031595018</v>
      </c>
      <c r="J317" s="5">
        <v>42</v>
      </c>
      <c r="K317" s="5">
        <v>28</v>
      </c>
      <c r="L317" s="5">
        <v>42</v>
      </c>
      <c r="M317" s="5" t="str">
        <f>_xlfn.SWITCH(recruitment_data3[[#This Row],[RecruitmentStrategy]], 1,"Aggressive", 2,"Moderate", 3,"Conservative")</f>
        <v>Aggressive</v>
      </c>
      <c r="N317" s="5">
        <v>1</v>
      </c>
      <c r="O317" s="5" t="str">
        <f>IF(recruitment_data3[[#This Row],[HiringDecision]]=1,"Hired","Rejected")</f>
        <v>Rejected</v>
      </c>
      <c r="P317" s="6">
        <v>0</v>
      </c>
    </row>
    <row r="318" spans="1:16" x14ac:dyDescent="0.25">
      <c r="A318" s="4" t="str">
        <f t="shared" si="4"/>
        <v>C0317</v>
      </c>
      <c r="B318" s="4">
        <v>35</v>
      </c>
      <c r="C318" s="5" t="str">
        <f>IF(recruitment_data3[[#This Row],[Gender]]=1,"Female","Male")</f>
        <v>Female</v>
      </c>
      <c r="D318" s="5">
        <v>1</v>
      </c>
      <c r="E318" s="5" t="str">
        <f>_xlfn.SWITCH(recruitment_data3[[#This Row],[EducationLevel]], 1,"Bachelor Type 1", 2,"Bachelor Type 2", 3,"Masters", 4,"PhD")</f>
        <v>Bachelor Type 2</v>
      </c>
      <c r="F318" s="5">
        <v>2</v>
      </c>
      <c r="G318" s="5">
        <v>9</v>
      </c>
      <c r="H318" s="5">
        <v>3</v>
      </c>
      <c r="I318" s="5">
        <v>40.259494221142063</v>
      </c>
      <c r="J318" s="5">
        <v>28</v>
      </c>
      <c r="K318" s="5">
        <v>15</v>
      </c>
      <c r="L318" s="5">
        <v>6</v>
      </c>
      <c r="M318" s="5" t="str">
        <f>_xlfn.SWITCH(recruitment_data3[[#This Row],[RecruitmentStrategy]], 1,"Aggressive", 2,"Moderate", 3,"Conservative")</f>
        <v>Conservative</v>
      </c>
      <c r="N318" s="5">
        <v>3</v>
      </c>
      <c r="O318" s="5" t="str">
        <f>IF(recruitment_data3[[#This Row],[HiringDecision]]=1,"Hired","Rejected")</f>
        <v>Rejected</v>
      </c>
      <c r="P318" s="6">
        <v>0</v>
      </c>
    </row>
    <row r="319" spans="1:16" x14ac:dyDescent="0.25">
      <c r="A319" s="4" t="str">
        <f t="shared" si="4"/>
        <v>C0318</v>
      </c>
      <c r="B319" s="4">
        <v>35</v>
      </c>
      <c r="C319" s="5" t="str">
        <f>IF(recruitment_data3[[#This Row],[Gender]]=1,"Female","Male")</f>
        <v>Male</v>
      </c>
      <c r="D319" s="5">
        <v>0</v>
      </c>
      <c r="E319" s="5" t="str">
        <f>_xlfn.SWITCH(recruitment_data3[[#This Row],[EducationLevel]], 1,"Bachelor Type 1", 2,"Bachelor Type 2", 3,"Masters", 4,"PhD")</f>
        <v>Bachelor Type 1</v>
      </c>
      <c r="F319" s="5">
        <v>1</v>
      </c>
      <c r="G319" s="5">
        <v>6</v>
      </c>
      <c r="H319" s="5">
        <v>5</v>
      </c>
      <c r="I319" s="5">
        <v>25.37031515504038</v>
      </c>
      <c r="J319" s="5">
        <v>36</v>
      </c>
      <c r="K319" s="5">
        <v>75</v>
      </c>
      <c r="L319" s="5">
        <v>41</v>
      </c>
      <c r="M319" s="5" t="str">
        <f>_xlfn.SWITCH(recruitment_data3[[#This Row],[RecruitmentStrategy]], 1,"Aggressive", 2,"Moderate", 3,"Conservative")</f>
        <v>Conservative</v>
      </c>
      <c r="N319" s="5">
        <v>3</v>
      </c>
      <c r="O319" s="5" t="str">
        <f>IF(recruitment_data3[[#This Row],[HiringDecision]]=1,"Hired","Rejected")</f>
        <v>Rejected</v>
      </c>
      <c r="P319" s="6">
        <v>0</v>
      </c>
    </row>
    <row r="320" spans="1:16" x14ac:dyDescent="0.25">
      <c r="A320" s="4" t="str">
        <f t="shared" si="4"/>
        <v>C0319</v>
      </c>
      <c r="B320" s="4">
        <v>20</v>
      </c>
      <c r="C320" s="5" t="str">
        <f>IF(recruitment_data3[[#This Row],[Gender]]=1,"Female","Male")</f>
        <v>Male</v>
      </c>
      <c r="D320" s="5">
        <v>0</v>
      </c>
      <c r="E320" s="5" t="str">
        <f>_xlfn.SWITCH(recruitment_data3[[#This Row],[EducationLevel]], 1,"Bachelor Type 1", 2,"Bachelor Type 2", 3,"Masters", 4,"PhD")</f>
        <v>Bachelor Type 2</v>
      </c>
      <c r="F320" s="5">
        <v>2</v>
      </c>
      <c r="G320" s="5">
        <v>8</v>
      </c>
      <c r="H320" s="5">
        <v>2</v>
      </c>
      <c r="I320" s="5">
        <v>48.268582480738893</v>
      </c>
      <c r="J320" s="5">
        <v>80</v>
      </c>
      <c r="K320" s="5">
        <v>16</v>
      </c>
      <c r="L320" s="5">
        <v>3</v>
      </c>
      <c r="M320" s="5" t="str">
        <f>_xlfn.SWITCH(recruitment_data3[[#This Row],[RecruitmentStrategy]], 1,"Aggressive", 2,"Moderate", 3,"Conservative")</f>
        <v>Moderate</v>
      </c>
      <c r="N320" s="5">
        <v>2</v>
      </c>
      <c r="O320" s="5" t="str">
        <f>IF(recruitment_data3[[#This Row],[HiringDecision]]=1,"Hired","Rejected")</f>
        <v>Rejected</v>
      </c>
      <c r="P320" s="6">
        <v>0</v>
      </c>
    </row>
    <row r="321" spans="1:16" x14ac:dyDescent="0.25">
      <c r="A321" s="4" t="str">
        <f t="shared" si="4"/>
        <v>C0320</v>
      </c>
      <c r="B321" s="4">
        <v>28</v>
      </c>
      <c r="C321" s="5" t="str">
        <f>IF(recruitment_data3[[#This Row],[Gender]]=1,"Female","Male")</f>
        <v>Male</v>
      </c>
      <c r="D321" s="5">
        <v>0</v>
      </c>
      <c r="E321" s="5" t="str">
        <f>_xlfn.SWITCH(recruitment_data3[[#This Row],[EducationLevel]], 1,"Bachelor Type 1", 2,"Bachelor Type 2", 3,"Masters", 4,"PhD")</f>
        <v>PhD</v>
      </c>
      <c r="F321" s="5">
        <v>4</v>
      </c>
      <c r="G321" s="5">
        <v>4</v>
      </c>
      <c r="H321" s="5">
        <v>3</v>
      </c>
      <c r="I321" s="5">
        <v>3.8618346758404689</v>
      </c>
      <c r="J321" s="5">
        <v>57</v>
      </c>
      <c r="K321" s="5">
        <v>100</v>
      </c>
      <c r="L321" s="5">
        <v>68</v>
      </c>
      <c r="M321" s="5" t="str">
        <f>_xlfn.SWITCH(recruitment_data3[[#This Row],[RecruitmentStrategy]], 1,"Aggressive", 2,"Moderate", 3,"Conservative")</f>
        <v>Conservative</v>
      </c>
      <c r="N321" s="5">
        <v>3</v>
      </c>
      <c r="O321" s="5" t="str">
        <f>IF(recruitment_data3[[#This Row],[HiringDecision]]=1,"Hired","Rejected")</f>
        <v>Rejected</v>
      </c>
      <c r="P321" s="6">
        <v>0</v>
      </c>
    </row>
    <row r="322" spans="1:16" x14ac:dyDescent="0.25">
      <c r="A322" s="4" t="str">
        <f t="shared" ref="A322:A385" si="5">"C"&amp;TEXT(ROW()-1,"0000")</f>
        <v>C0321</v>
      </c>
      <c r="B322" s="4">
        <v>47</v>
      </c>
      <c r="C322" s="5" t="str">
        <f>IF(recruitment_data3[[#This Row],[Gender]]=1,"Female","Male")</f>
        <v>Female</v>
      </c>
      <c r="D322" s="5">
        <v>1</v>
      </c>
      <c r="E322" s="5" t="str">
        <f>_xlfn.SWITCH(recruitment_data3[[#This Row],[EducationLevel]], 1,"Bachelor Type 1", 2,"Bachelor Type 2", 3,"Masters", 4,"PhD")</f>
        <v>Bachelor Type 2</v>
      </c>
      <c r="F322" s="5">
        <v>2</v>
      </c>
      <c r="G322" s="5">
        <v>12</v>
      </c>
      <c r="H322" s="5">
        <v>4</v>
      </c>
      <c r="I322" s="5">
        <v>47.549930985629203</v>
      </c>
      <c r="J322" s="5">
        <v>53</v>
      </c>
      <c r="K322" s="5">
        <v>63</v>
      </c>
      <c r="L322" s="5">
        <v>4</v>
      </c>
      <c r="M322" s="5" t="str">
        <f>_xlfn.SWITCH(recruitment_data3[[#This Row],[RecruitmentStrategy]], 1,"Aggressive", 2,"Moderate", 3,"Conservative")</f>
        <v>Moderate</v>
      </c>
      <c r="N322" s="5">
        <v>2</v>
      </c>
      <c r="O322" s="5" t="str">
        <f>IF(recruitment_data3[[#This Row],[HiringDecision]]=1,"Hired","Rejected")</f>
        <v>Rejected</v>
      </c>
      <c r="P322" s="6">
        <v>0</v>
      </c>
    </row>
    <row r="323" spans="1:16" x14ac:dyDescent="0.25">
      <c r="A323" s="4" t="str">
        <f t="shared" si="5"/>
        <v>C0322</v>
      </c>
      <c r="B323" s="4">
        <v>46</v>
      </c>
      <c r="C323" s="5" t="str">
        <f>IF(recruitment_data3[[#This Row],[Gender]]=1,"Female","Male")</f>
        <v>Female</v>
      </c>
      <c r="D323" s="5">
        <v>1</v>
      </c>
      <c r="E323" s="5" t="str">
        <f>_xlfn.SWITCH(recruitment_data3[[#This Row],[EducationLevel]], 1,"Bachelor Type 1", 2,"Bachelor Type 2", 3,"Masters", 4,"PhD")</f>
        <v>Bachelor Type 2</v>
      </c>
      <c r="F323" s="5">
        <v>2</v>
      </c>
      <c r="G323" s="5">
        <v>14</v>
      </c>
      <c r="H323" s="5">
        <v>2</v>
      </c>
      <c r="I323" s="5">
        <v>3.5253696191403274</v>
      </c>
      <c r="J323" s="5">
        <v>38</v>
      </c>
      <c r="K323" s="5">
        <v>90</v>
      </c>
      <c r="L323" s="5">
        <v>74</v>
      </c>
      <c r="M323" s="5" t="str">
        <f>_xlfn.SWITCH(recruitment_data3[[#This Row],[RecruitmentStrategy]], 1,"Aggressive", 2,"Moderate", 3,"Conservative")</f>
        <v>Aggressive</v>
      </c>
      <c r="N323" s="5">
        <v>1</v>
      </c>
      <c r="O323" s="5" t="str">
        <f>IF(recruitment_data3[[#This Row],[HiringDecision]]=1,"Hired","Rejected")</f>
        <v>Hired</v>
      </c>
      <c r="P323" s="6">
        <v>1</v>
      </c>
    </row>
    <row r="324" spans="1:16" x14ac:dyDescent="0.25">
      <c r="A324" s="4" t="str">
        <f t="shared" si="5"/>
        <v>C0323</v>
      </c>
      <c r="B324" s="4">
        <v>25</v>
      </c>
      <c r="C324" s="5" t="str">
        <f>IF(recruitment_data3[[#This Row],[Gender]]=1,"Female","Male")</f>
        <v>Female</v>
      </c>
      <c r="D324" s="5">
        <v>1</v>
      </c>
      <c r="E324" s="5" t="str">
        <f>_xlfn.SWITCH(recruitment_data3[[#This Row],[EducationLevel]], 1,"Bachelor Type 1", 2,"Bachelor Type 2", 3,"Masters", 4,"PhD")</f>
        <v>Bachelor Type 1</v>
      </c>
      <c r="F324" s="5">
        <v>1</v>
      </c>
      <c r="G324" s="5">
        <v>9</v>
      </c>
      <c r="H324" s="5">
        <v>2</v>
      </c>
      <c r="I324" s="5">
        <v>28.365237205734218</v>
      </c>
      <c r="J324" s="5">
        <v>41</v>
      </c>
      <c r="K324" s="5">
        <v>88</v>
      </c>
      <c r="L324" s="5">
        <v>91</v>
      </c>
      <c r="M324" s="5" t="str">
        <f>_xlfn.SWITCH(recruitment_data3[[#This Row],[RecruitmentStrategy]], 1,"Aggressive", 2,"Moderate", 3,"Conservative")</f>
        <v>Moderate</v>
      </c>
      <c r="N324" s="5">
        <v>2</v>
      </c>
      <c r="O324" s="5" t="str">
        <f>IF(recruitment_data3[[#This Row],[HiringDecision]]=1,"Hired","Rejected")</f>
        <v>Rejected</v>
      </c>
      <c r="P324" s="6">
        <v>0</v>
      </c>
    </row>
    <row r="325" spans="1:16" x14ac:dyDescent="0.25">
      <c r="A325" s="4" t="str">
        <f t="shared" si="5"/>
        <v>C0324</v>
      </c>
      <c r="B325" s="4">
        <v>35</v>
      </c>
      <c r="C325" s="5" t="str">
        <f>IF(recruitment_data3[[#This Row],[Gender]]=1,"Female","Male")</f>
        <v>Male</v>
      </c>
      <c r="D325" s="5">
        <v>0</v>
      </c>
      <c r="E325" s="5" t="str">
        <f>_xlfn.SWITCH(recruitment_data3[[#This Row],[EducationLevel]], 1,"Bachelor Type 1", 2,"Bachelor Type 2", 3,"Masters", 4,"PhD")</f>
        <v>PhD</v>
      </c>
      <c r="F325" s="5">
        <v>4</v>
      </c>
      <c r="G325" s="5">
        <v>3</v>
      </c>
      <c r="H325" s="5">
        <v>2</v>
      </c>
      <c r="I325" s="5">
        <v>45.522047400054291</v>
      </c>
      <c r="J325" s="5">
        <v>27</v>
      </c>
      <c r="K325" s="5">
        <v>12</v>
      </c>
      <c r="L325" s="5">
        <v>79</v>
      </c>
      <c r="M325" s="5" t="str">
        <f>_xlfn.SWITCH(recruitment_data3[[#This Row],[RecruitmentStrategy]], 1,"Aggressive", 2,"Moderate", 3,"Conservative")</f>
        <v>Aggressive</v>
      </c>
      <c r="N325" s="5">
        <v>1</v>
      </c>
      <c r="O325" s="5" t="str">
        <f>IF(recruitment_data3[[#This Row],[HiringDecision]]=1,"Hired","Rejected")</f>
        <v>Hired</v>
      </c>
      <c r="P325" s="6">
        <v>1</v>
      </c>
    </row>
    <row r="326" spans="1:16" x14ac:dyDescent="0.25">
      <c r="A326" s="4" t="str">
        <f t="shared" si="5"/>
        <v>C0325</v>
      </c>
      <c r="B326" s="4">
        <v>48</v>
      </c>
      <c r="C326" s="5" t="str">
        <f>IF(recruitment_data3[[#This Row],[Gender]]=1,"Female","Male")</f>
        <v>Female</v>
      </c>
      <c r="D326" s="5">
        <v>1</v>
      </c>
      <c r="E326" s="5" t="str">
        <f>_xlfn.SWITCH(recruitment_data3[[#This Row],[EducationLevel]], 1,"Bachelor Type 1", 2,"Bachelor Type 2", 3,"Masters", 4,"PhD")</f>
        <v>Bachelor Type 2</v>
      </c>
      <c r="F326" s="5">
        <v>2</v>
      </c>
      <c r="G326" s="5">
        <v>7</v>
      </c>
      <c r="H326" s="5">
        <v>4</v>
      </c>
      <c r="I326" s="5">
        <v>14.136047178065141</v>
      </c>
      <c r="J326" s="5">
        <v>28</v>
      </c>
      <c r="K326" s="5">
        <v>71</v>
      </c>
      <c r="L326" s="5">
        <v>40</v>
      </c>
      <c r="M326" s="5" t="str">
        <f>_xlfn.SWITCH(recruitment_data3[[#This Row],[RecruitmentStrategy]], 1,"Aggressive", 2,"Moderate", 3,"Conservative")</f>
        <v>Moderate</v>
      </c>
      <c r="N326" s="5">
        <v>2</v>
      </c>
      <c r="O326" s="5" t="str">
        <f>IF(recruitment_data3[[#This Row],[HiringDecision]]=1,"Hired","Rejected")</f>
        <v>Rejected</v>
      </c>
      <c r="P326" s="6">
        <v>0</v>
      </c>
    </row>
    <row r="327" spans="1:16" x14ac:dyDescent="0.25">
      <c r="A327" s="4" t="str">
        <f t="shared" si="5"/>
        <v>C0326</v>
      </c>
      <c r="B327" s="4">
        <v>22</v>
      </c>
      <c r="C327" s="5" t="str">
        <f>IF(recruitment_data3[[#This Row],[Gender]]=1,"Female","Male")</f>
        <v>Female</v>
      </c>
      <c r="D327" s="5">
        <v>1</v>
      </c>
      <c r="E327" s="5" t="str">
        <f>_xlfn.SWITCH(recruitment_data3[[#This Row],[EducationLevel]], 1,"Bachelor Type 1", 2,"Bachelor Type 2", 3,"Masters", 4,"PhD")</f>
        <v>Bachelor Type 2</v>
      </c>
      <c r="F327" s="5">
        <v>2</v>
      </c>
      <c r="G327" s="5">
        <v>8</v>
      </c>
      <c r="H327" s="5">
        <v>1</v>
      </c>
      <c r="I327" s="5">
        <v>24.612424947257928</v>
      </c>
      <c r="J327" s="5">
        <v>42</v>
      </c>
      <c r="K327" s="5">
        <v>55</v>
      </c>
      <c r="L327" s="5">
        <v>93</v>
      </c>
      <c r="M327" s="5" t="str">
        <f>_xlfn.SWITCH(recruitment_data3[[#This Row],[RecruitmentStrategy]], 1,"Aggressive", 2,"Moderate", 3,"Conservative")</f>
        <v>Aggressive</v>
      </c>
      <c r="N327" s="5">
        <v>1</v>
      </c>
      <c r="O327" s="5" t="str">
        <f>IF(recruitment_data3[[#This Row],[HiringDecision]]=1,"Hired","Rejected")</f>
        <v>Hired</v>
      </c>
      <c r="P327" s="6">
        <v>1</v>
      </c>
    </row>
    <row r="328" spans="1:16" x14ac:dyDescent="0.25">
      <c r="A328" s="4" t="str">
        <f t="shared" si="5"/>
        <v>C0327</v>
      </c>
      <c r="B328" s="4">
        <v>39</v>
      </c>
      <c r="C328" s="5" t="str">
        <f>IF(recruitment_data3[[#This Row],[Gender]]=1,"Female","Male")</f>
        <v>Male</v>
      </c>
      <c r="D328" s="5">
        <v>0</v>
      </c>
      <c r="E328" s="5" t="str">
        <f>_xlfn.SWITCH(recruitment_data3[[#This Row],[EducationLevel]], 1,"Bachelor Type 1", 2,"Bachelor Type 2", 3,"Masters", 4,"PhD")</f>
        <v>Masters</v>
      </c>
      <c r="F328" s="5">
        <v>3</v>
      </c>
      <c r="G328" s="5">
        <v>12</v>
      </c>
      <c r="H328" s="5">
        <v>5</v>
      </c>
      <c r="I328" s="5">
        <v>17.21644395684833</v>
      </c>
      <c r="J328" s="5">
        <v>2</v>
      </c>
      <c r="K328" s="5">
        <v>4</v>
      </c>
      <c r="L328" s="5">
        <v>3</v>
      </c>
      <c r="M328" s="5" t="str">
        <f>_xlfn.SWITCH(recruitment_data3[[#This Row],[RecruitmentStrategy]], 1,"Aggressive", 2,"Moderate", 3,"Conservative")</f>
        <v>Moderate</v>
      </c>
      <c r="N328" s="5">
        <v>2</v>
      </c>
      <c r="O328" s="5" t="str">
        <f>IF(recruitment_data3[[#This Row],[HiringDecision]]=1,"Hired","Rejected")</f>
        <v>Rejected</v>
      </c>
      <c r="P328" s="6">
        <v>0</v>
      </c>
    </row>
    <row r="329" spans="1:16" x14ac:dyDescent="0.25">
      <c r="A329" s="4" t="str">
        <f t="shared" si="5"/>
        <v>C0328</v>
      </c>
      <c r="B329" s="4">
        <v>47</v>
      </c>
      <c r="C329" s="5" t="str">
        <f>IF(recruitment_data3[[#This Row],[Gender]]=1,"Female","Male")</f>
        <v>Female</v>
      </c>
      <c r="D329" s="5">
        <v>1</v>
      </c>
      <c r="E329" s="5" t="str">
        <f>_xlfn.SWITCH(recruitment_data3[[#This Row],[EducationLevel]], 1,"Bachelor Type 1", 2,"Bachelor Type 2", 3,"Masters", 4,"PhD")</f>
        <v>Bachelor Type 2</v>
      </c>
      <c r="F329" s="5">
        <v>2</v>
      </c>
      <c r="G329" s="5">
        <v>6</v>
      </c>
      <c r="H329" s="5">
        <v>3</v>
      </c>
      <c r="I329" s="5">
        <v>48.607195853817572</v>
      </c>
      <c r="J329" s="5">
        <v>9</v>
      </c>
      <c r="K329" s="5">
        <v>11</v>
      </c>
      <c r="L329" s="5">
        <v>1</v>
      </c>
      <c r="M329" s="5" t="str">
        <f>_xlfn.SWITCH(recruitment_data3[[#This Row],[RecruitmentStrategy]], 1,"Aggressive", 2,"Moderate", 3,"Conservative")</f>
        <v>Conservative</v>
      </c>
      <c r="N329" s="5">
        <v>3</v>
      </c>
      <c r="O329" s="5" t="str">
        <f>IF(recruitment_data3[[#This Row],[HiringDecision]]=1,"Hired","Rejected")</f>
        <v>Rejected</v>
      </c>
      <c r="P329" s="6">
        <v>0</v>
      </c>
    </row>
    <row r="330" spans="1:16" x14ac:dyDescent="0.25">
      <c r="A330" s="4" t="str">
        <f t="shared" si="5"/>
        <v>C0329</v>
      </c>
      <c r="B330" s="4">
        <v>46</v>
      </c>
      <c r="C330" s="5" t="str">
        <f>IF(recruitment_data3[[#This Row],[Gender]]=1,"Female","Male")</f>
        <v>Female</v>
      </c>
      <c r="D330" s="5">
        <v>1</v>
      </c>
      <c r="E330" s="5" t="str">
        <f>_xlfn.SWITCH(recruitment_data3[[#This Row],[EducationLevel]], 1,"Bachelor Type 1", 2,"Bachelor Type 2", 3,"Masters", 4,"PhD")</f>
        <v>Bachelor Type 2</v>
      </c>
      <c r="F330" s="5">
        <v>2</v>
      </c>
      <c r="G330" s="5">
        <v>13</v>
      </c>
      <c r="H330" s="5">
        <v>1</v>
      </c>
      <c r="I330" s="5">
        <v>42.18227973765454</v>
      </c>
      <c r="J330" s="5">
        <v>58</v>
      </c>
      <c r="K330" s="5">
        <v>40</v>
      </c>
      <c r="L330" s="5">
        <v>66</v>
      </c>
      <c r="M330" s="5" t="str">
        <f>_xlfn.SWITCH(recruitment_data3[[#This Row],[RecruitmentStrategy]], 1,"Aggressive", 2,"Moderate", 3,"Conservative")</f>
        <v>Conservative</v>
      </c>
      <c r="N330" s="5">
        <v>3</v>
      </c>
      <c r="O330" s="5" t="str">
        <f>IF(recruitment_data3[[#This Row],[HiringDecision]]=1,"Hired","Rejected")</f>
        <v>Rejected</v>
      </c>
      <c r="P330" s="6">
        <v>0</v>
      </c>
    </row>
    <row r="331" spans="1:16" x14ac:dyDescent="0.25">
      <c r="A331" s="4" t="str">
        <f t="shared" si="5"/>
        <v>C0330</v>
      </c>
      <c r="B331" s="4">
        <v>23</v>
      </c>
      <c r="C331" s="5" t="str">
        <f>IF(recruitment_data3[[#This Row],[Gender]]=1,"Female","Male")</f>
        <v>Male</v>
      </c>
      <c r="D331" s="5">
        <v>0</v>
      </c>
      <c r="E331" s="5" t="str">
        <f>_xlfn.SWITCH(recruitment_data3[[#This Row],[EducationLevel]], 1,"Bachelor Type 1", 2,"Bachelor Type 2", 3,"Masters", 4,"PhD")</f>
        <v>Bachelor Type 2</v>
      </c>
      <c r="F331" s="5">
        <v>2</v>
      </c>
      <c r="G331" s="5">
        <v>15</v>
      </c>
      <c r="H331" s="5">
        <v>3</v>
      </c>
      <c r="I331" s="5">
        <v>36.450075566318979</v>
      </c>
      <c r="J331" s="5">
        <v>13</v>
      </c>
      <c r="K331" s="5">
        <v>2</v>
      </c>
      <c r="L331" s="5">
        <v>20</v>
      </c>
      <c r="M331" s="5" t="str">
        <f>_xlfn.SWITCH(recruitment_data3[[#This Row],[RecruitmentStrategy]], 1,"Aggressive", 2,"Moderate", 3,"Conservative")</f>
        <v>Moderate</v>
      </c>
      <c r="N331" s="5">
        <v>2</v>
      </c>
      <c r="O331" s="5" t="str">
        <f>IF(recruitment_data3[[#This Row],[HiringDecision]]=1,"Hired","Rejected")</f>
        <v>Rejected</v>
      </c>
      <c r="P331" s="6">
        <v>0</v>
      </c>
    </row>
    <row r="332" spans="1:16" x14ac:dyDescent="0.25">
      <c r="A332" s="4" t="str">
        <f t="shared" si="5"/>
        <v>C0331</v>
      </c>
      <c r="B332" s="4">
        <v>38</v>
      </c>
      <c r="C332" s="5" t="str">
        <f>IF(recruitment_data3[[#This Row],[Gender]]=1,"Female","Male")</f>
        <v>Male</v>
      </c>
      <c r="D332" s="5">
        <v>0</v>
      </c>
      <c r="E332" s="5" t="str">
        <f>_xlfn.SWITCH(recruitment_data3[[#This Row],[EducationLevel]], 1,"Bachelor Type 1", 2,"Bachelor Type 2", 3,"Masters", 4,"PhD")</f>
        <v>Bachelor Type 2</v>
      </c>
      <c r="F332" s="5">
        <v>2</v>
      </c>
      <c r="G332" s="5">
        <v>6</v>
      </c>
      <c r="H332" s="5">
        <v>5</v>
      </c>
      <c r="I332" s="5">
        <v>30.381349330755434</v>
      </c>
      <c r="J332" s="5">
        <v>75</v>
      </c>
      <c r="K332" s="5">
        <v>98</v>
      </c>
      <c r="L332" s="5">
        <v>69</v>
      </c>
      <c r="M332" s="5" t="str">
        <f>_xlfn.SWITCH(recruitment_data3[[#This Row],[RecruitmentStrategy]], 1,"Aggressive", 2,"Moderate", 3,"Conservative")</f>
        <v>Moderate</v>
      </c>
      <c r="N332" s="5">
        <v>2</v>
      </c>
      <c r="O332" s="5" t="str">
        <f>IF(recruitment_data3[[#This Row],[HiringDecision]]=1,"Hired","Rejected")</f>
        <v>Hired</v>
      </c>
      <c r="P332" s="6">
        <v>1</v>
      </c>
    </row>
    <row r="333" spans="1:16" x14ac:dyDescent="0.25">
      <c r="A333" s="4" t="str">
        <f t="shared" si="5"/>
        <v>C0332</v>
      </c>
      <c r="B333" s="4">
        <v>45</v>
      </c>
      <c r="C333" s="5" t="str">
        <f>IF(recruitment_data3[[#This Row],[Gender]]=1,"Female","Male")</f>
        <v>Male</v>
      </c>
      <c r="D333" s="5">
        <v>0</v>
      </c>
      <c r="E333" s="5" t="str">
        <f>_xlfn.SWITCH(recruitment_data3[[#This Row],[EducationLevel]], 1,"Bachelor Type 1", 2,"Bachelor Type 2", 3,"Masters", 4,"PhD")</f>
        <v>PhD</v>
      </c>
      <c r="F333" s="5">
        <v>4</v>
      </c>
      <c r="G333" s="5">
        <v>15</v>
      </c>
      <c r="H333" s="5">
        <v>4</v>
      </c>
      <c r="I333" s="5">
        <v>42.029589466207405</v>
      </c>
      <c r="J333" s="5">
        <v>46</v>
      </c>
      <c r="K333" s="5">
        <v>32</v>
      </c>
      <c r="L333" s="5">
        <v>42</v>
      </c>
      <c r="M333" s="5" t="str">
        <f>_xlfn.SWITCH(recruitment_data3[[#This Row],[RecruitmentStrategy]], 1,"Aggressive", 2,"Moderate", 3,"Conservative")</f>
        <v>Moderate</v>
      </c>
      <c r="N333" s="5">
        <v>2</v>
      </c>
      <c r="O333" s="5" t="str">
        <f>IF(recruitment_data3[[#This Row],[HiringDecision]]=1,"Hired","Rejected")</f>
        <v>Rejected</v>
      </c>
      <c r="P333" s="6">
        <v>0</v>
      </c>
    </row>
    <row r="334" spans="1:16" x14ac:dyDescent="0.25">
      <c r="A334" s="4" t="str">
        <f t="shared" si="5"/>
        <v>C0333</v>
      </c>
      <c r="B334" s="4">
        <v>22</v>
      </c>
      <c r="C334" s="5" t="str">
        <f>IF(recruitment_data3[[#This Row],[Gender]]=1,"Female","Male")</f>
        <v>Female</v>
      </c>
      <c r="D334" s="5">
        <v>1</v>
      </c>
      <c r="E334" s="5" t="str">
        <f>_xlfn.SWITCH(recruitment_data3[[#This Row],[EducationLevel]], 1,"Bachelor Type 1", 2,"Bachelor Type 2", 3,"Masters", 4,"PhD")</f>
        <v>Masters</v>
      </c>
      <c r="F334" s="5">
        <v>3</v>
      </c>
      <c r="G334" s="5">
        <v>4</v>
      </c>
      <c r="H334" s="5">
        <v>2</v>
      </c>
      <c r="I334" s="5">
        <v>20.613352076177353</v>
      </c>
      <c r="J334" s="5">
        <v>41</v>
      </c>
      <c r="K334" s="5">
        <v>85</v>
      </c>
      <c r="L334" s="5">
        <v>81</v>
      </c>
      <c r="M334" s="5" t="str">
        <f>_xlfn.SWITCH(recruitment_data3[[#This Row],[RecruitmentStrategy]], 1,"Aggressive", 2,"Moderate", 3,"Conservative")</f>
        <v>Conservative</v>
      </c>
      <c r="N334" s="5">
        <v>3</v>
      </c>
      <c r="O334" s="5" t="str">
        <f>IF(recruitment_data3[[#This Row],[HiringDecision]]=1,"Hired","Rejected")</f>
        <v>Rejected</v>
      </c>
      <c r="P334" s="6">
        <v>0</v>
      </c>
    </row>
    <row r="335" spans="1:16" x14ac:dyDescent="0.25">
      <c r="A335" s="4" t="str">
        <f t="shared" si="5"/>
        <v>C0334</v>
      </c>
      <c r="B335" s="4">
        <v>50</v>
      </c>
      <c r="C335" s="5" t="str">
        <f>IF(recruitment_data3[[#This Row],[Gender]]=1,"Female","Male")</f>
        <v>Female</v>
      </c>
      <c r="D335" s="5">
        <v>1</v>
      </c>
      <c r="E335" s="5" t="str">
        <f>_xlfn.SWITCH(recruitment_data3[[#This Row],[EducationLevel]], 1,"Bachelor Type 1", 2,"Bachelor Type 2", 3,"Masters", 4,"PhD")</f>
        <v>Bachelor Type 2</v>
      </c>
      <c r="F335" s="5">
        <v>2</v>
      </c>
      <c r="G335" s="5">
        <v>3</v>
      </c>
      <c r="H335" s="5">
        <v>2</v>
      </c>
      <c r="I335" s="5">
        <v>23.377592755303095</v>
      </c>
      <c r="J335" s="5">
        <v>93</v>
      </c>
      <c r="K335" s="5">
        <v>49</v>
      </c>
      <c r="L335" s="5">
        <v>68</v>
      </c>
      <c r="M335" s="5" t="str">
        <f>_xlfn.SWITCH(recruitment_data3[[#This Row],[RecruitmentStrategy]], 1,"Aggressive", 2,"Moderate", 3,"Conservative")</f>
        <v>Moderate</v>
      </c>
      <c r="N335" s="5">
        <v>2</v>
      </c>
      <c r="O335" s="5" t="str">
        <f>IF(recruitment_data3[[#This Row],[HiringDecision]]=1,"Hired","Rejected")</f>
        <v>Rejected</v>
      </c>
      <c r="P335" s="6">
        <v>0</v>
      </c>
    </row>
    <row r="336" spans="1:16" x14ac:dyDescent="0.25">
      <c r="A336" s="4" t="str">
        <f t="shared" si="5"/>
        <v>C0335</v>
      </c>
      <c r="B336" s="4">
        <v>38</v>
      </c>
      <c r="C336" s="5" t="str">
        <f>IF(recruitment_data3[[#This Row],[Gender]]=1,"Female","Male")</f>
        <v>Female</v>
      </c>
      <c r="D336" s="5">
        <v>1</v>
      </c>
      <c r="E336" s="5" t="str">
        <f>_xlfn.SWITCH(recruitment_data3[[#This Row],[EducationLevel]], 1,"Bachelor Type 1", 2,"Bachelor Type 2", 3,"Masters", 4,"PhD")</f>
        <v>Bachelor Type 1</v>
      </c>
      <c r="F336" s="5">
        <v>1</v>
      </c>
      <c r="G336" s="5">
        <v>13</v>
      </c>
      <c r="H336" s="5">
        <v>4</v>
      </c>
      <c r="I336" s="5">
        <v>37.500086054043074</v>
      </c>
      <c r="J336" s="5">
        <v>31</v>
      </c>
      <c r="K336" s="5">
        <v>55</v>
      </c>
      <c r="L336" s="5">
        <v>8</v>
      </c>
      <c r="M336" s="5" t="str">
        <f>_xlfn.SWITCH(recruitment_data3[[#This Row],[RecruitmentStrategy]], 1,"Aggressive", 2,"Moderate", 3,"Conservative")</f>
        <v>Moderate</v>
      </c>
      <c r="N336" s="5">
        <v>2</v>
      </c>
      <c r="O336" s="5" t="str">
        <f>IF(recruitment_data3[[#This Row],[HiringDecision]]=1,"Hired","Rejected")</f>
        <v>Rejected</v>
      </c>
      <c r="P336" s="6">
        <v>0</v>
      </c>
    </row>
    <row r="337" spans="1:16" x14ac:dyDescent="0.25">
      <c r="A337" s="4" t="str">
        <f t="shared" si="5"/>
        <v>C0336</v>
      </c>
      <c r="B337" s="4">
        <v>39</v>
      </c>
      <c r="C337" s="5" t="str">
        <f>IF(recruitment_data3[[#This Row],[Gender]]=1,"Female","Male")</f>
        <v>Male</v>
      </c>
      <c r="D337" s="5">
        <v>0</v>
      </c>
      <c r="E337" s="5" t="str">
        <f>_xlfn.SWITCH(recruitment_data3[[#This Row],[EducationLevel]], 1,"Bachelor Type 1", 2,"Bachelor Type 2", 3,"Masters", 4,"PhD")</f>
        <v>Bachelor Type 1</v>
      </c>
      <c r="F337" s="5">
        <v>1</v>
      </c>
      <c r="G337" s="5">
        <v>9</v>
      </c>
      <c r="H337" s="5">
        <v>1</v>
      </c>
      <c r="I337" s="5">
        <v>18.887738164685711</v>
      </c>
      <c r="J337" s="5">
        <v>31</v>
      </c>
      <c r="K337" s="5">
        <v>8</v>
      </c>
      <c r="L337" s="5">
        <v>83</v>
      </c>
      <c r="M337" s="5" t="str">
        <f>_xlfn.SWITCH(recruitment_data3[[#This Row],[RecruitmentStrategy]], 1,"Aggressive", 2,"Moderate", 3,"Conservative")</f>
        <v>Conservative</v>
      </c>
      <c r="N337" s="5">
        <v>3</v>
      </c>
      <c r="O337" s="5" t="str">
        <f>IF(recruitment_data3[[#This Row],[HiringDecision]]=1,"Hired","Rejected")</f>
        <v>Rejected</v>
      </c>
      <c r="P337" s="6">
        <v>0</v>
      </c>
    </row>
    <row r="338" spans="1:16" x14ac:dyDescent="0.25">
      <c r="A338" s="4" t="str">
        <f t="shared" si="5"/>
        <v>C0337</v>
      </c>
      <c r="B338" s="4">
        <v>26</v>
      </c>
      <c r="C338" s="5" t="str">
        <f>IF(recruitment_data3[[#This Row],[Gender]]=1,"Female","Male")</f>
        <v>Male</v>
      </c>
      <c r="D338" s="5">
        <v>0</v>
      </c>
      <c r="E338" s="5" t="str">
        <f>_xlfn.SWITCH(recruitment_data3[[#This Row],[EducationLevel]], 1,"Bachelor Type 1", 2,"Bachelor Type 2", 3,"Masters", 4,"PhD")</f>
        <v>Bachelor Type 2</v>
      </c>
      <c r="F338" s="5">
        <v>2</v>
      </c>
      <c r="G338" s="5">
        <v>0</v>
      </c>
      <c r="H338" s="5">
        <v>1</v>
      </c>
      <c r="I338" s="5">
        <v>4.1950471024186911</v>
      </c>
      <c r="J338" s="5">
        <v>41</v>
      </c>
      <c r="K338" s="5">
        <v>81</v>
      </c>
      <c r="L338" s="5">
        <v>27</v>
      </c>
      <c r="M338" s="5" t="str">
        <f>_xlfn.SWITCH(recruitment_data3[[#This Row],[RecruitmentStrategy]], 1,"Aggressive", 2,"Moderate", 3,"Conservative")</f>
        <v>Moderate</v>
      </c>
      <c r="N338" s="5">
        <v>2</v>
      </c>
      <c r="O338" s="5" t="str">
        <f>IF(recruitment_data3[[#This Row],[HiringDecision]]=1,"Hired","Rejected")</f>
        <v>Rejected</v>
      </c>
      <c r="P338" s="6">
        <v>0</v>
      </c>
    </row>
    <row r="339" spans="1:16" x14ac:dyDescent="0.25">
      <c r="A339" s="4" t="str">
        <f t="shared" si="5"/>
        <v>C0338</v>
      </c>
      <c r="B339" s="4">
        <v>39</v>
      </c>
      <c r="C339" s="5" t="str">
        <f>IF(recruitment_data3[[#This Row],[Gender]]=1,"Female","Male")</f>
        <v>Female</v>
      </c>
      <c r="D339" s="5">
        <v>1</v>
      </c>
      <c r="E339" s="5" t="str">
        <f>_xlfn.SWITCH(recruitment_data3[[#This Row],[EducationLevel]], 1,"Bachelor Type 1", 2,"Bachelor Type 2", 3,"Masters", 4,"PhD")</f>
        <v>Masters</v>
      </c>
      <c r="F339" s="5">
        <v>3</v>
      </c>
      <c r="G339" s="5">
        <v>9</v>
      </c>
      <c r="H339" s="5">
        <v>3</v>
      </c>
      <c r="I339" s="5">
        <v>4.7167304443035736</v>
      </c>
      <c r="J339" s="5">
        <v>31</v>
      </c>
      <c r="K339" s="5">
        <v>49</v>
      </c>
      <c r="L339" s="5">
        <v>25</v>
      </c>
      <c r="M339" s="5" t="str">
        <f>_xlfn.SWITCH(recruitment_data3[[#This Row],[RecruitmentStrategy]], 1,"Aggressive", 2,"Moderate", 3,"Conservative")</f>
        <v>Conservative</v>
      </c>
      <c r="N339" s="5">
        <v>3</v>
      </c>
      <c r="O339" s="5" t="str">
        <f>IF(recruitment_data3[[#This Row],[HiringDecision]]=1,"Hired","Rejected")</f>
        <v>Rejected</v>
      </c>
      <c r="P339" s="6">
        <v>0</v>
      </c>
    </row>
    <row r="340" spans="1:16" x14ac:dyDescent="0.25">
      <c r="A340" s="4" t="str">
        <f t="shared" si="5"/>
        <v>C0339</v>
      </c>
      <c r="B340" s="4">
        <v>28</v>
      </c>
      <c r="C340" s="5" t="str">
        <f>IF(recruitment_data3[[#This Row],[Gender]]=1,"Female","Male")</f>
        <v>Female</v>
      </c>
      <c r="D340" s="5">
        <v>1</v>
      </c>
      <c r="E340" s="5" t="str">
        <f>_xlfn.SWITCH(recruitment_data3[[#This Row],[EducationLevel]], 1,"Bachelor Type 1", 2,"Bachelor Type 2", 3,"Masters", 4,"PhD")</f>
        <v>Bachelor Type 2</v>
      </c>
      <c r="F340" s="5">
        <v>2</v>
      </c>
      <c r="G340" s="5">
        <v>9</v>
      </c>
      <c r="H340" s="5">
        <v>4</v>
      </c>
      <c r="I340" s="5">
        <v>6.7681400652851931</v>
      </c>
      <c r="J340" s="5">
        <v>25</v>
      </c>
      <c r="K340" s="5">
        <v>28</v>
      </c>
      <c r="L340" s="5">
        <v>81</v>
      </c>
      <c r="M340" s="5" t="str">
        <f>_xlfn.SWITCH(recruitment_data3[[#This Row],[RecruitmentStrategy]], 1,"Aggressive", 2,"Moderate", 3,"Conservative")</f>
        <v>Conservative</v>
      </c>
      <c r="N340" s="5">
        <v>3</v>
      </c>
      <c r="O340" s="5" t="str">
        <f>IF(recruitment_data3[[#This Row],[HiringDecision]]=1,"Hired","Rejected")</f>
        <v>Rejected</v>
      </c>
      <c r="P340" s="6">
        <v>0</v>
      </c>
    </row>
    <row r="341" spans="1:16" x14ac:dyDescent="0.25">
      <c r="A341" s="4" t="str">
        <f t="shared" si="5"/>
        <v>C0340</v>
      </c>
      <c r="B341" s="4">
        <v>20</v>
      </c>
      <c r="C341" s="5" t="str">
        <f>IF(recruitment_data3[[#This Row],[Gender]]=1,"Female","Male")</f>
        <v>Male</v>
      </c>
      <c r="D341" s="5">
        <v>0</v>
      </c>
      <c r="E341" s="5" t="str">
        <f>_xlfn.SWITCH(recruitment_data3[[#This Row],[EducationLevel]], 1,"Bachelor Type 1", 2,"Bachelor Type 2", 3,"Masters", 4,"PhD")</f>
        <v>Bachelor Type 2</v>
      </c>
      <c r="F341" s="5">
        <v>2</v>
      </c>
      <c r="G341" s="5">
        <v>6</v>
      </c>
      <c r="H341" s="5">
        <v>1</v>
      </c>
      <c r="I341" s="5">
        <v>44.484066167183137</v>
      </c>
      <c r="J341" s="5">
        <v>0</v>
      </c>
      <c r="K341" s="5">
        <v>38</v>
      </c>
      <c r="L341" s="5">
        <v>82</v>
      </c>
      <c r="M341" s="5" t="str">
        <f>_xlfn.SWITCH(recruitment_data3[[#This Row],[RecruitmentStrategy]], 1,"Aggressive", 2,"Moderate", 3,"Conservative")</f>
        <v>Conservative</v>
      </c>
      <c r="N341" s="5">
        <v>3</v>
      </c>
      <c r="O341" s="5" t="str">
        <f>IF(recruitment_data3[[#This Row],[HiringDecision]]=1,"Hired","Rejected")</f>
        <v>Rejected</v>
      </c>
      <c r="P341" s="6">
        <v>0</v>
      </c>
    </row>
    <row r="342" spans="1:16" x14ac:dyDescent="0.25">
      <c r="A342" s="4" t="str">
        <f t="shared" si="5"/>
        <v>C0341</v>
      </c>
      <c r="B342" s="4">
        <v>27</v>
      </c>
      <c r="C342" s="5" t="str">
        <f>IF(recruitment_data3[[#This Row],[Gender]]=1,"Female","Male")</f>
        <v>Male</v>
      </c>
      <c r="D342" s="5">
        <v>0</v>
      </c>
      <c r="E342" s="5" t="str">
        <f>_xlfn.SWITCH(recruitment_data3[[#This Row],[EducationLevel]], 1,"Bachelor Type 1", 2,"Bachelor Type 2", 3,"Masters", 4,"PhD")</f>
        <v>Masters</v>
      </c>
      <c r="F342" s="5">
        <v>3</v>
      </c>
      <c r="G342" s="5">
        <v>15</v>
      </c>
      <c r="H342" s="5">
        <v>4</v>
      </c>
      <c r="I342" s="5">
        <v>24.611321287810217</v>
      </c>
      <c r="J342" s="5">
        <v>55</v>
      </c>
      <c r="K342" s="5">
        <v>90</v>
      </c>
      <c r="L342" s="5">
        <v>2</v>
      </c>
      <c r="M342" s="5" t="str">
        <f>_xlfn.SWITCH(recruitment_data3[[#This Row],[RecruitmentStrategy]], 1,"Aggressive", 2,"Moderate", 3,"Conservative")</f>
        <v>Aggressive</v>
      </c>
      <c r="N342" s="5">
        <v>1</v>
      </c>
      <c r="O342" s="5" t="str">
        <f>IF(recruitment_data3[[#This Row],[HiringDecision]]=1,"Hired","Rejected")</f>
        <v>Hired</v>
      </c>
      <c r="P342" s="6">
        <v>1</v>
      </c>
    </row>
    <row r="343" spans="1:16" x14ac:dyDescent="0.25">
      <c r="A343" s="4" t="str">
        <f t="shared" si="5"/>
        <v>C0342</v>
      </c>
      <c r="B343" s="4">
        <v>26</v>
      </c>
      <c r="C343" s="5" t="str">
        <f>IF(recruitment_data3[[#This Row],[Gender]]=1,"Female","Male")</f>
        <v>Male</v>
      </c>
      <c r="D343" s="5">
        <v>0</v>
      </c>
      <c r="E343" s="5" t="str">
        <f>_xlfn.SWITCH(recruitment_data3[[#This Row],[EducationLevel]], 1,"Bachelor Type 1", 2,"Bachelor Type 2", 3,"Masters", 4,"PhD")</f>
        <v>Bachelor Type 1</v>
      </c>
      <c r="F343" s="5">
        <v>1</v>
      </c>
      <c r="G343" s="5">
        <v>0</v>
      </c>
      <c r="H343" s="5">
        <v>5</v>
      </c>
      <c r="I343" s="5">
        <v>36.644118467236822</v>
      </c>
      <c r="J343" s="5">
        <v>1</v>
      </c>
      <c r="K343" s="5">
        <v>99</v>
      </c>
      <c r="L343" s="5">
        <v>72</v>
      </c>
      <c r="M343" s="5" t="str">
        <f>_xlfn.SWITCH(recruitment_data3[[#This Row],[RecruitmentStrategy]], 1,"Aggressive", 2,"Moderate", 3,"Conservative")</f>
        <v>Moderate</v>
      </c>
      <c r="N343" s="5">
        <v>2</v>
      </c>
      <c r="O343" s="5" t="str">
        <f>IF(recruitment_data3[[#This Row],[HiringDecision]]=1,"Hired","Rejected")</f>
        <v>Rejected</v>
      </c>
      <c r="P343" s="6">
        <v>0</v>
      </c>
    </row>
    <row r="344" spans="1:16" x14ac:dyDescent="0.25">
      <c r="A344" s="4" t="str">
        <f t="shared" si="5"/>
        <v>C0343</v>
      </c>
      <c r="B344" s="4">
        <v>37</v>
      </c>
      <c r="C344" s="5" t="str">
        <f>IF(recruitment_data3[[#This Row],[Gender]]=1,"Female","Male")</f>
        <v>Male</v>
      </c>
      <c r="D344" s="5">
        <v>0</v>
      </c>
      <c r="E344" s="5" t="str">
        <f>_xlfn.SWITCH(recruitment_data3[[#This Row],[EducationLevel]], 1,"Bachelor Type 1", 2,"Bachelor Type 2", 3,"Masters", 4,"PhD")</f>
        <v>Bachelor Type 2</v>
      </c>
      <c r="F344" s="5">
        <v>2</v>
      </c>
      <c r="G344" s="5">
        <v>0</v>
      </c>
      <c r="H344" s="5">
        <v>2</v>
      </c>
      <c r="I344" s="5">
        <v>20.645466780244664</v>
      </c>
      <c r="J344" s="5">
        <v>80</v>
      </c>
      <c r="K344" s="5">
        <v>44</v>
      </c>
      <c r="L344" s="5">
        <v>99</v>
      </c>
      <c r="M344" s="5" t="str">
        <f>_xlfn.SWITCH(recruitment_data3[[#This Row],[RecruitmentStrategy]], 1,"Aggressive", 2,"Moderate", 3,"Conservative")</f>
        <v>Conservative</v>
      </c>
      <c r="N344" s="5">
        <v>3</v>
      </c>
      <c r="O344" s="5" t="str">
        <f>IF(recruitment_data3[[#This Row],[HiringDecision]]=1,"Hired","Rejected")</f>
        <v>Rejected</v>
      </c>
      <c r="P344" s="6">
        <v>0</v>
      </c>
    </row>
    <row r="345" spans="1:16" x14ac:dyDescent="0.25">
      <c r="A345" s="4" t="str">
        <f t="shared" si="5"/>
        <v>C0344</v>
      </c>
      <c r="B345" s="4">
        <v>27</v>
      </c>
      <c r="C345" s="5" t="str">
        <f>IF(recruitment_data3[[#This Row],[Gender]]=1,"Female","Male")</f>
        <v>Female</v>
      </c>
      <c r="D345" s="5">
        <v>1</v>
      </c>
      <c r="E345" s="5" t="str">
        <f>_xlfn.SWITCH(recruitment_data3[[#This Row],[EducationLevel]], 1,"Bachelor Type 1", 2,"Bachelor Type 2", 3,"Masters", 4,"PhD")</f>
        <v>Bachelor Type 1</v>
      </c>
      <c r="F345" s="5">
        <v>1</v>
      </c>
      <c r="G345" s="5">
        <v>4</v>
      </c>
      <c r="H345" s="5">
        <v>2</v>
      </c>
      <c r="I345" s="5">
        <v>13.935547370781725</v>
      </c>
      <c r="J345" s="5">
        <v>29</v>
      </c>
      <c r="K345" s="5">
        <v>16</v>
      </c>
      <c r="L345" s="5">
        <v>94</v>
      </c>
      <c r="M345" s="5" t="str">
        <f>_xlfn.SWITCH(recruitment_data3[[#This Row],[RecruitmentStrategy]], 1,"Aggressive", 2,"Moderate", 3,"Conservative")</f>
        <v>Moderate</v>
      </c>
      <c r="N345" s="5">
        <v>2</v>
      </c>
      <c r="O345" s="5" t="str">
        <f>IF(recruitment_data3[[#This Row],[HiringDecision]]=1,"Hired","Rejected")</f>
        <v>Rejected</v>
      </c>
      <c r="P345" s="6">
        <v>0</v>
      </c>
    </row>
    <row r="346" spans="1:16" x14ac:dyDescent="0.25">
      <c r="A346" s="4" t="str">
        <f t="shared" si="5"/>
        <v>C0345</v>
      </c>
      <c r="B346" s="4">
        <v>20</v>
      </c>
      <c r="C346" s="5" t="str">
        <f>IF(recruitment_data3[[#This Row],[Gender]]=1,"Female","Male")</f>
        <v>Male</v>
      </c>
      <c r="D346" s="5">
        <v>0</v>
      </c>
      <c r="E346" s="5" t="str">
        <f>_xlfn.SWITCH(recruitment_data3[[#This Row],[EducationLevel]], 1,"Bachelor Type 1", 2,"Bachelor Type 2", 3,"Masters", 4,"PhD")</f>
        <v>PhD</v>
      </c>
      <c r="F346" s="5">
        <v>4</v>
      </c>
      <c r="G346" s="5">
        <v>12</v>
      </c>
      <c r="H346" s="5">
        <v>2</v>
      </c>
      <c r="I346" s="5">
        <v>18.359608378110597</v>
      </c>
      <c r="J346" s="5">
        <v>70</v>
      </c>
      <c r="K346" s="5">
        <v>55</v>
      </c>
      <c r="L346" s="5">
        <v>48</v>
      </c>
      <c r="M346" s="5" t="str">
        <f>_xlfn.SWITCH(recruitment_data3[[#This Row],[RecruitmentStrategy]], 1,"Aggressive", 2,"Moderate", 3,"Conservative")</f>
        <v>Moderate</v>
      </c>
      <c r="N346" s="5">
        <v>2</v>
      </c>
      <c r="O346" s="5" t="str">
        <f>IF(recruitment_data3[[#This Row],[HiringDecision]]=1,"Hired","Rejected")</f>
        <v>Rejected</v>
      </c>
      <c r="P346" s="6">
        <v>0</v>
      </c>
    </row>
    <row r="347" spans="1:16" x14ac:dyDescent="0.25">
      <c r="A347" s="4" t="str">
        <f t="shared" si="5"/>
        <v>C0346</v>
      </c>
      <c r="B347" s="4">
        <v>30</v>
      </c>
      <c r="C347" s="5" t="str">
        <f>IF(recruitment_data3[[#This Row],[Gender]]=1,"Female","Male")</f>
        <v>Female</v>
      </c>
      <c r="D347" s="5">
        <v>1</v>
      </c>
      <c r="E347" s="5" t="str">
        <f>_xlfn.SWITCH(recruitment_data3[[#This Row],[EducationLevel]], 1,"Bachelor Type 1", 2,"Bachelor Type 2", 3,"Masters", 4,"PhD")</f>
        <v>Bachelor Type 2</v>
      </c>
      <c r="F347" s="5">
        <v>2</v>
      </c>
      <c r="G347" s="5">
        <v>8</v>
      </c>
      <c r="H347" s="5">
        <v>4</v>
      </c>
      <c r="I347" s="5">
        <v>40.709117265859177</v>
      </c>
      <c r="J347" s="5">
        <v>51</v>
      </c>
      <c r="K347" s="5">
        <v>97</v>
      </c>
      <c r="L347" s="5">
        <v>16</v>
      </c>
      <c r="M347" s="5" t="str">
        <f>_xlfn.SWITCH(recruitment_data3[[#This Row],[RecruitmentStrategy]], 1,"Aggressive", 2,"Moderate", 3,"Conservative")</f>
        <v>Aggressive</v>
      </c>
      <c r="N347" s="5">
        <v>1</v>
      </c>
      <c r="O347" s="5" t="str">
        <f>IF(recruitment_data3[[#This Row],[HiringDecision]]=1,"Hired","Rejected")</f>
        <v>Hired</v>
      </c>
      <c r="P347" s="6">
        <v>1</v>
      </c>
    </row>
    <row r="348" spans="1:16" x14ac:dyDescent="0.25">
      <c r="A348" s="4" t="str">
        <f t="shared" si="5"/>
        <v>C0347</v>
      </c>
      <c r="B348" s="4">
        <v>47</v>
      </c>
      <c r="C348" s="5" t="str">
        <f>IF(recruitment_data3[[#This Row],[Gender]]=1,"Female","Male")</f>
        <v>Female</v>
      </c>
      <c r="D348" s="5">
        <v>1</v>
      </c>
      <c r="E348" s="5" t="str">
        <f>_xlfn.SWITCH(recruitment_data3[[#This Row],[EducationLevel]], 1,"Bachelor Type 1", 2,"Bachelor Type 2", 3,"Masters", 4,"PhD")</f>
        <v>Bachelor Type 1</v>
      </c>
      <c r="F348" s="5">
        <v>1</v>
      </c>
      <c r="G348" s="5">
        <v>5</v>
      </c>
      <c r="H348" s="5">
        <v>4</v>
      </c>
      <c r="I348" s="5">
        <v>32.260806251571907</v>
      </c>
      <c r="J348" s="5">
        <v>90</v>
      </c>
      <c r="K348" s="5">
        <v>45</v>
      </c>
      <c r="L348" s="5">
        <v>62</v>
      </c>
      <c r="M348" s="5" t="str">
        <f>_xlfn.SWITCH(recruitment_data3[[#This Row],[RecruitmentStrategy]], 1,"Aggressive", 2,"Moderate", 3,"Conservative")</f>
        <v>Aggressive</v>
      </c>
      <c r="N348" s="5">
        <v>1</v>
      </c>
      <c r="O348" s="5" t="str">
        <f>IF(recruitment_data3[[#This Row],[HiringDecision]]=1,"Hired","Rejected")</f>
        <v>Hired</v>
      </c>
      <c r="P348" s="6">
        <v>1</v>
      </c>
    </row>
    <row r="349" spans="1:16" x14ac:dyDescent="0.25">
      <c r="A349" s="4" t="str">
        <f t="shared" si="5"/>
        <v>C0348</v>
      </c>
      <c r="B349" s="4">
        <v>44</v>
      </c>
      <c r="C349" s="5" t="str">
        <f>IF(recruitment_data3[[#This Row],[Gender]]=1,"Female","Male")</f>
        <v>Female</v>
      </c>
      <c r="D349" s="5">
        <v>1</v>
      </c>
      <c r="E349" s="5" t="str">
        <f>_xlfn.SWITCH(recruitment_data3[[#This Row],[EducationLevel]], 1,"Bachelor Type 1", 2,"Bachelor Type 2", 3,"Masters", 4,"PhD")</f>
        <v>Bachelor Type 2</v>
      </c>
      <c r="F349" s="5">
        <v>2</v>
      </c>
      <c r="G349" s="5">
        <v>2</v>
      </c>
      <c r="H349" s="5">
        <v>3</v>
      </c>
      <c r="I349" s="5">
        <v>47.8819889978951</v>
      </c>
      <c r="J349" s="5">
        <v>8</v>
      </c>
      <c r="K349" s="5">
        <v>66</v>
      </c>
      <c r="L349" s="5">
        <v>54</v>
      </c>
      <c r="M349" s="5" t="str">
        <f>_xlfn.SWITCH(recruitment_data3[[#This Row],[RecruitmentStrategy]], 1,"Aggressive", 2,"Moderate", 3,"Conservative")</f>
        <v>Moderate</v>
      </c>
      <c r="N349" s="5">
        <v>2</v>
      </c>
      <c r="O349" s="5" t="str">
        <f>IF(recruitment_data3[[#This Row],[HiringDecision]]=1,"Hired","Rejected")</f>
        <v>Rejected</v>
      </c>
      <c r="P349" s="6">
        <v>0</v>
      </c>
    </row>
    <row r="350" spans="1:16" x14ac:dyDescent="0.25">
      <c r="A350" s="4" t="str">
        <f t="shared" si="5"/>
        <v>C0349</v>
      </c>
      <c r="B350" s="4">
        <v>44</v>
      </c>
      <c r="C350" s="5" t="str">
        <f>IF(recruitment_data3[[#This Row],[Gender]]=1,"Female","Male")</f>
        <v>Male</v>
      </c>
      <c r="D350" s="5">
        <v>0</v>
      </c>
      <c r="E350" s="5" t="str">
        <f>_xlfn.SWITCH(recruitment_data3[[#This Row],[EducationLevel]], 1,"Bachelor Type 1", 2,"Bachelor Type 2", 3,"Masters", 4,"PhD")</f>
        <v>Bachelor Type 2</v>
      </c>
      <c r="F350" s="5">
        <v>2</v>
      </c>
      <c r="G350" s="5">
        <v>12</v>
      </c>
      <c r="H350" s="5">
        <v>2</v>
      </c>
      <c r="I350" s="5">
        <v>34.985238928841696</v>
      </c>
      <c r="J350" s="5">
        <v>21</v>
      </c>
      <c r="K350" s="5">
        <v>68</v>
      </c>
      <c r="L350" s="5">
        <v>22</v>
      </c>
      <c r="M350" s="5" t="str">
        <f>_xlfn.SWITCH(recruitment_data3[[#This Row],[RecruitmentStrategy]], 1,"Aggressive", 2,"Moderate", 3,"Conservative")</f>
        <v>Moderate</v>
      </c>
      <c r="N350" s="5">
        <v>2</v>
      </c>
      <c r="O350" s="5" t="str">
        <f>IF(recruitment_data3[[#This Row],[HiringDecision]]=1,"Hired","Rejected")</f>
        <v>Rejected</v>
      </c>
      <c r="P350" s="6">
        <v>0</v>
      </c>
    </row>
    <row r="351" spans="1:16" x14ac:dyDescent="0.25">
      <c r="A351" s="4" t="str">
        <f t="shared" si="5"/>
        <v>C0350</v>
      </c>
      <c r="B351" s="4">
        <v>37</v>
      </c>
      <c r="C351" s="5" t="str">
        <f>IF(recruitment_data3[[#This Row],[Gender]]=1,"Female","Male")</f>
        <v>Male</v>
      </c>
      <c r="D351" s="5">
        <v>0</v>
      </c>
      <c r="E351" s="5" t="str">
        <f>_xlfn.SWITCH(recruitment_data3[[#This Row],[EducationLevel]], 1,"Bachelor Type 1", 2,"Bachelor Type 2", 3,"Masters", 4,"PhD")</f>
        <v>Masters</v>
      </c>
      <c r="F351" s="5">
        <v>3</v>
      </c>
      <c r="G351" s="5">
        <v>2</v>
      </c>
      <c r="H351" s="5">
        <v>3</v>
      </c>
      <c r="I351" s="5">
        <v>29.509081587734698</v>
      </c>
      <c r="J351" s="5">
        <v>33</v>
      </c>
      <c r="K351" s="5">
        <v>13</v>
      </c>
      <c r="L351" s="5">
        <v>33</v>
      </c>
      <c r="M351" s="5" t="str">
        <f>_xlfn.SWITCH(recruitment_data3[[#This Row],[RecruitmentStrategy]], 1,"Aggressive", 2,"Moderate", 3,"Conservative")</f>
        <v>Moderate</v>
      </c>
      <c r="N351" s="5">
        <v>2</v>
      </c>
      <c r="O351" s="5" t="str">
        <f>IF(recruitment_data3[[#This Row],[HiringDecision]]=1,"Hired","Rejected")</f>
        <v>Rejected</v>
      </c>
      <c r="P351" s="6">
        <v>0</v>
      </c>
    </row>
    <row r="352" spans="1:16" x14ac:dyDescent="0.25">
      <c r="A352" s="4" t="str">
        <f t="shared" si="5"/>
        <v>C0351</v>
      </c>
      <c r="B352" s="4">
        <v>42</v>
      </c>
      <c r="C352" s="5" t="str">
        <f>IF(recruitment_data3[[#This Row],[Gender]]=1,"Female","Male")</f>
        <v>Male</v>
      </c>
      <c r="D352" s="5">
        <v>0</v>
      </c>
      <c r="E352" s="5" t="str">
        <f>_xlfn.SWITCH(recruitment_data3[[#This Row],[EducationLevel]], 1,"Bachelor Type 1", 2,"Bachelor Type 2", 3,"Masters", 4,"PhD")</f>
        <v>Masters</v>
      </c>
      <c r="F352" s="5">
        <v>3</v>
      </c>
      <c r="G352" s="5">
        <v>6</v>
      </c>
      <c r="H352" s="5">
        <v>2</v>
      </c>
      <c r="I352" s="5">
        <v>31.509800449291724</v>
      </c>
      <c r="J352" s="5">
        <v>48</v>
      </c>
      <c r="K352" s="5">
        <v>66</v>
      </c>
      <c r="L352" s="5">
        <v>68</v>
      </c>
      <c r="M352" s="5" t="str">
        <f>_xlfn.SWITCH(recruitment_data3[[#This Row],[RecruitmentStrategy]], 1,"Aggressive", 2,"Moderate", 3,"Conservative")</f>
        <v>Moderate</v>
      </c>
      <c r="N352" s="5">
        <v>2</v>
      </c>
      <c r="O352" s="5" t="str">
        <f>IF(recruitment_data3[[#This Row],[HiringDecision]]=1,"Hired","Rejected")</f>
        <v>Hired</v>
      </c>
      <c r="P352" s="6">
        <v>1</v>
      </c>
    </row>
    <row r="353" spans="1:16" x14ac:dyDescent="0.25">
      <c r="A353" s="4" t="str">
        <f t="shared" si="5"/>
        <v>C0352</v>
      </c>
      <c r="B353" s="4">
        <v>50</v>
      </c>
      <c r="C353" s="5" t="str">
        <f>IF(recruitment_data3[[#This Row],[Gender]]=1,"Female","Male")</f>
        <v>Male</v>
      </c>
      <c r="D353" s="5">
        <v>0</v>
      </c>
      <c r="E353" s="5" t="str">
        <f>_xlfn.SWITCH(recruitment_data3[[#This Row],[EducationLevel]], 1,"Bachelor Type 1", 2,"Bachelor Type 2", 3,"Masters", 4,"PhD")</f>
        <v>Bachelor Type 2</v>
      </c>
      <c r="F353" s="5">
        <v>2</v>
      </c>
      <c r="G353" s="5">
        <v>5</v>
      </c>
      <c r="H353" s="5">
        <v>3</v>
      </c>
      <c r="I353" s="5">
        <v>48.118571973420728</v>
      </c>
      <c r="J353" s="5">
        <v>0</v>
      </c>
      <c r="K353" s="5">
        <v>22</v>
      </c>
      <c r="L353" s="5">
        <v>14</v>
      </c>
      <c r="M353" s="5" t="str">
        <f>_xlfn.SWITCH(recruitment_data3[[#This Row],[RecruitmentStrategy]], 1,"Aggressive", 2,"Moderate", 3,"Conservative")</f>
        <v>Moderate</v>
      </c>
      <c r="N353" s="5">
        <v>2</v>
      </c>
      <c r="O353" s="5" t="str">
        <f>IF(recruitment_data3[[#This Row],[HiringDecision]]=1,"Hired","Rejected")</f>
        <v>Rejected</v>
      </c>
      <c r="P353" s="6">
        <v>0</v>
      </c>
    </row>
    <row r="354" spans="1:16" x14ac:dyDescent="0.25">
      <c r="A354" s="4" t="str">
        <f t="shared" si="5"/>
        <v>C0353</v>
      </c>
      <c r="B354" s="4">
        <v>49</v>
      </c>
      <c r="C354" s="5" t="str">
        <f>IF(recruitment_data3[[#This Row],[Gender]]=1,"Female","Male")</f>
        <v>Female</v>
      </c>
      <c r="D354" s="5">
        <v>1</v>
      </c>
      <c r="E354" s="5" t="str">
        <f>_xlfn.SWITCH(recruitment_data3[[#This Row],[EducationLevel]], 1,"Bachelor Type 1", 2,"Bachelor Type 2", 3,"Masters", 4,"PhD")</f>
        <v>Bachelor Type 1</v>
      </c>
      <c r="F354" s="5">
        <v>1</v>
      </c>
      <c r="G354" s="5">
        <v>8</v>
      </c>
      <c r="H354" s="5">
        <v>3</v>
      </c>
      <c r="I354" s="5">
        <v>40.410046493335301</v>
      </c>
      <c r="J354" s="5">
        <v>72</v>
      </c>
      <c r="K354" s="5">
        <v>93</v>
      </c>
      <c r="L354" s="5">
        <v>46</v>
      </c>
      <c r="M354" s="5" t="str">
        <f>_xlfn.SWITCH(recruitment_data3[[#This Row],[RecruitmentStrategy]], 1,"Aggressive", 2,"Moderate", 3,"Conservative")</f>
        <v>Moderate</v>
      </c>
      <c r="N354" s="5">
        <v>2</v>
      </c>
      <c r="O354" s="5" t="str">
        <f>IF(recruitment_data3[[#This Row],[HiringDecision]]=1,"Hired","Rejected")</f>
        <v>Rejected</v>
      </c>
      <c r="P354" s="6">
        <v>0</v>
      </c>
    </row>
    <row r="355" spans="1:16" x14ac:dyDescent="0.25">
      <c r="A355" s="4" t="str">
        <f t="shared" si="5"/>
        <v>C0354</v>
      </c>
      <c r="B355" s="4">
        <v>29</v>
      </c>
      <c r="C355" s="5" t="str">
        <f>IF(recruitment_data3[[#This Row],[Gender]]=1,"Female","Male")</f>
        <v>Male</v>
      </c>
      <c r="D355" s="5">
        <v>0</v>
      </c>
      <c r="E355" s="5" t="str">
        <f>_xlfn.SWITCH(recruitment_data3[[#This Row],[EducationLevel]], 1,"Bachelor Type 1", 2,"Bachelor Type 2", 3,"Masters", 4,"PhD")</f>
        <v>Bachelor Type 1</v>
      </c>
      <c r="F355" s="5">
        <v>1</v>
      </c>
      <c r="G355" s="5">
        <v>5</v>
      </c>
      <c r="H355" s="5">
        <v>5</v>
      </c>
      <c r="I355" s="5">
        <v>2.2020618683218909</v>
      </c>
      <c r="J355" s="5">
        <v>83</v>
      </c>
      <c r="K355" s="5">
        <v>60</v>
      </c>
      <c r="L355" s="5">
        <v>2</v>
      </c>
      <c r="M355" s="5" t="str">
        <f>_xlfn.SWITCH(recruitment_data3[[#This Row],[RecruitmentStrategy]], 1,"Aggressive", 2,"Moderate", 3,"Conservative")</f>
        <v>Moderate</v>
      </c>
      <c r="N355" s="5">
        <v>2</v>
      </c>
      <c r="O355" s="5" t="str">
        <f>IF(recruitment_data3[[#This Row],[HiringDecision]]=1,"Hired","Rejected")</f>
        <v>Rejected</v>
      </c>
      <c r="P355" s="6">
        <v>0</v>
      </c>
    </row>
    <row r="356" spans="1:16" x14ac:dyDescent="0.25">
      <c r="A356" s="4" t="str">
        <f t="shared" si="5"/>
        <v>C0355</v>
      </c>
      <c r="B356" s="4">
        <v>22</v>
      </c>
      <c r="C356" s="5" t="str">
        <f>IF(recruitment_data3[[#This Row],[Gender]]=1,"Female","Male")</f>
        <v>Male</v>
      </c>
      <c r="D356" s="5">
        <v>0</v>
      </c>
      <c r="E356" s="5" t="str">
        <f>_xlfn.SWITCH(recruitment_data3[[#This Row],[EducationLevel]], 1,"Bachelor Type 1", 2,"Bachelor Type 2", 3,"Masters", 4,"PhD")</f>
        <v>Bachelor Type 1</v>
      </c>
      <c r="F356" s="5">
        <v>1</v>
      </c>
      <c r="G356" s="5">
        <v>4</v>
      </c>
      <c r="H356" s="5">
        <v>3</v>
      </c>
      <c r="I356" s="5">
        <v>27.70698480678486</v>
      </c>
      <c r="J356" s="5">
        <v>52</v>
      </c>
      <c r="K356" s="5">
        <v>22</v>
      </c>
      <c r="L356" s="5">
        <v>82</v>
      </c>
      <c r="M356" s="5" t="str">
        <f>_xlfn.SWITCH(recruitment_data3[[#This Row],[RecruitmentStrategy]], 1,"Aggressive", 2,"Moderate", 3,"Conservative")</f>
        <v>Moderate</v>
      </c>
      <c r="N356" s="5">
        <v>2</v>
      </c>
      <c r="O356" s="5" t="str">
        <f>IF(recruitment_data3[[#This Row],[HiringDecision]]=1,"Hired","Rejected")</f>
        <v>Rejected</v>
      </c>
      <c r="P356" s="6">
        <v>0</v>
      </c>
    </row>
    <row r="357" spans="1:16" x14ac:dyDescent="0.25">
      <c r="A357" s="4" t="str">
        <f t="shared" si="5"/>
        <v>C0356</v>
      </c>
      <c r="B357" s="4">
        <v>26</v>
      </c>
      <c r="C357" s="5" t="str">
        <f>IF(recruitment_data3[[#This Row],[Gender]]=1,"Female","Male")</f>
        <v>Female</v>
      </c>
      <c r="D357" s="5">
        <v>1</v>
      </c>
      <c r="E357" s="5" t="str">
        <f>_xlfn.SWITCH(recruitment_data3[[#This Row],[EducationLevel]], 1,"Bachelor Type 1", 2,"Bachelor Type 2", 3,"Masters", 4,"PhD")</f>
        <v>Bachelor Type 2</v>
      </c>
      <c r="F357" s="5">
        <v>2</v>
      </c>
      <c r="G357" s="5">
        <v>9</v>
      </c>
      <c r="H357" s="5">
        <v>4</v>
      </c>
      <c r="I357" s="5">
        <v>35.416920577328241</v>
      </c>
      <c r="J357" s="5">
        <v>82</v>
      </c>
      <c r="K357" s="5">
        <v>26</v>
      </c>
      <c r="L357" s="5">
        <v>27</v>
      </c>
      <c r="M357" s="5" t="str">
        <f>_xlfn.SWITCH(recruitment_data3[[#This Row],[RecruitmentStrategy]], 1,"Aggressive", 2,"Moderate", 3,"Conservative")</f>
        <v>Moderate</v>
      </c>
      <c r="N357" s="5">
        <v>2</v>
      </c>
      <c r="O357" s="5" t="str">
        <f>IF(recruitment_data3[[#This Row],[HiringDecision]]=1,"Hired","Rejected")</f>
        <v>Rejected</v>
      </c>
      <c r="P357" s="6">
        <v>0</v>
      </c>
    </row>
    <row r="358" spans="1:16" x14ac:dyDescent="0.25">
      <c r="A358" s="4" t="str">
        <f t="shared" si="5"/>
        <v>C0357</v>
      </c>
      <c r="B358" s="4">
        <v>47</v>
      </c>
      <c r="C358" s="5" t="str">
        <f>IF(recruitment_data3[[#This Row],[Gender]]=1,"Female","Male")</f>
        <v>Male</v>
      </c>
      <c r="D358" s="5">
        <v>0</v>
      </c>
      <c r="E358" s="5" t="str">
        <f>_xlfn.SWITCH(recruitment_data3[[#This Row],[EducationLevel]], 1,"Bachelor Type 1", 2,"Bachelor Type 2", 3,"Masters", 4,"PhD")</f>
        <v>Masters</v>
      </c>
      <c r="F358" s="5">
        <v>3</v>
      </c>
      <c r="G358" s="5">
        <v>6</v>
      </c>
      <c r="H358" s="5">
        <v>3</v>
      </c>
      <c r="I358" s="5">
        <v>38.434923921957754</v>
      </c>
      <c r="J358" s="5">
        <v>99</v>
      </c>
      <c r="K358" s="5">
        <v>53</v>
      </c>
      <c r="L358" s="5">
        <v>2</v>
      </c>
      <c r="M358" s="5" t="str">
        <f>_xlfn.SWITCH(recruitment_data3[[#This Row],[RecruitmentStrategy]], 1,"Aggressive", 2,"Moderate", 3,"Conservative")</f>
        <v>Aggressive</v>
      </c>
      <c r="N358" s="5">
        <v>1</v>
      </c>
      <c r="O358" s="5" t="str">
        <f>IF(recruitment_data3[[#This Row],[HiringDecision]]=1,"Hired","Rejected")</f>
        <v>Hired</v>
      </c>
      <c r="P358" s="6">
        <v>1</v>
      </c>
    </row>
    <row r="359" spans="1:16" x14ac:dyDescent="0.25">
      <c r="A359" s="4" t="str">
        <f t="shared" si="5"/>
        <v>C0358</v>
      </c>
      <c r="B359" s="4">
        <v>35</v>
      </c>
      <c r="C359" s="5" t="str">
        <f>IF(recruitment_data3[[#This Row],[Gender]]=1,"Female","Male")</f>
        <v>Female</v>
      </c>
      <c r="D359" s="5">
        <v>1</v>
      </c>
      <c r="E359" s="5" t="str">
        <f>_xlfn.SWITCH(recruitment_data3[[#This Row],[EducationLevel]], 1,"Bachelor Type 1", 2,"Bachelor Type 2", 3,"Masters", 4,"PhD")</f>
        <v>Bachelor Type 2</v>
      </c>
      <c r="F359" s="5">
        <v>2</v>
      </c>
      <c r="G359" s="5">
        <v>0</v>
      </c>
      <c r="H359" s="5">
        <v>2</v>
      </c>
      <c r="I359" s="5">
        <v>11.657105965696834</v>
      </c>
      <c r="J359" s="5">
        <v>39</v>
      </c>
      <c r="K359" s="5">
        <v>9</v>
      </c>
      <c r="L359" s="5">
        <v>3</v>
      </c>
      <c r="M359" s="5" t="str">
        <f>_xlfn.SWITCH(recruitment_data3[[#This Row],[RecruitmentStrategy]], 1,"Aggressive", 2,"Moderate", 3,"Conservative")</f>
        <v>Moderate</v>
      </c>
      <c r="N359" s="5">
        <v>2</v>
      </c>
      <c r="O359" s="5" t="str">
        <f>IF(recruitment_data3[[#This Row],[HiringDecision]]=1,"Hired","Rejected")</f>
        <v>Rejected</v>
      </c>
      <c r="P359" s="6">
        <v>0</v>
      </c>
    </row>
    <row r="360" spans="1:16" x14ac:dyDescent="0.25">
      <c r="A360" s="4" t="str">
        <f t="shared" si="5"/>
        <v>C0359</v>
      </c>
      <c r="B360" s="4">
        <v>45</v>
      </c>
      <c r="C360" s="5" t="str">
        <f>IF(recruitment_data3[[#This Row],[Gender]]=1,"Female","Male")</f>
        <v>Female</v>
      </c>
      <c r="D360" s="5">
        <v>1</v>
      </c>
      <c r="E360" s="5" t="str">
        <f>_xlfn.SWITCH(recruitment_data3[[#This Row],[EducationLevel]], 1,"Bachelor Type 1", 2,"Bachelor Type 2", 3,"Masters", 4,"PhD")</f>
        <v>Bachelor Type 1</v>
      </c>
      <c r="F360" s="5">
        <v>1</v>
      </c>
      <c r="G360" s="5">
        <v>11</v>
      </c>
      <c r="H360" s="5">
        <v>3</v>
      </c>
      <c r="I360" s="5">
        <v>44.358867722567609</v>
      </c>
      <c r="J360" s="5">
        <v>44</v>
      </c>
      <c r="K360" s="5">
        <v>88</v>
      </c>
      <c r="L360" s="5">
        <v>87</v>
      </c>
      <c r="M360" s="5" t="str">
        <f>_xlfn.SWITCH(recruitment_data3[[#This Row],[RecruitmentStrategy]], 1,"Aggressive", 2,"Moderate", 3,"Conservative")</f>
        <v>Moderate</v>
      </c>
      <c r="N360" s="5">
        <v>2</v>
      </c>
      <c r="O360" s="5" t="str">
        <f>IF(recruitment_data3[[#This Row],[HiringDecision]]=1,"Hired","Rejected")</f>
        <v>Rejected</v>
      </c>
      <c r="P360" s="6">
        <v>0</v>
      </c>
    </row>
    <row r="361" spans="1:16" x14ac:dyDescent="0.25">
      <c r="A361" s="4" t="str">
        <f t="shared" si="5"/>
        <v>C0360</v>
      </c>
      <c r="B361" s="4">
        <v>35</v>
      </c>
      <c r="C361" s="5" t="str">
        <f>IF(recruitment_data3[[#This Row],[Gender]]=1,"Female","Male")</f>
        <v>Female</v>
      </c>
      <c r="D361" s="5">
        <v>1</v>
      </c>
      <c r="E361" s="5" t="str">
        <f>_xlfn.SWITCH(recruitment_data3[[#This Row],[EducationLevel]], 1,"Bachelor Type 1", 2,"Bachelor Type 2", 3,"Masters", 4,"PhD")</f>
        <v>Bachelor Type 2</v>
      </c>
      <c r="F361" s="5">
        <v>2</v>
      </c>
      <c r="G361" s="5">
        <v>6</v>
      </c>
      <c r="H361" s="5">
        <v>1</v>
      </c>
      <c r="I361" s="5">
        <v>48.792157358758189</v>
      </c>
      <c r="J361" s="5">
        <v>67</v>
      </c>
      <c r="K361" s="5">
        <v>76</v>
      </c>
      <c r="L361" s="5">
        <v>30</v>
      </c>
      <c r="M361" s="5" t="str">
        <f>_xlfn.SWITCH(recruitment_data3[[#This Row],[RecruitmentStrategy]], 1,"Aggressive", 2,"Moderate", 3,"Conservative")</f>
        <v>Moderate</v>
      </c>
      <c r="N361" s="5">
        <v>2</v>
      </c>
      <c r="O361" s="5" t="str">
        <f>IF(recruitment_data3[[#This Row],[HiringDecision]]=1,"Hired","Rejected")</f>
        <v>Rejected</v>
      </c>
      <c r="P361" s="6">
        <v>0</v>
      </c>
    </row>
    <row r="362" spans="1:16" x14ac:dyDescent="0.25">
      <c r="A362" s="4" t="str">
        <f t="shared" si="5"/>
        <v>C0361</v>
      </c>
      <c r="B362" s="4">
        <v>44</v>
      </c>
      <c r="C362" s="5" t="str">
        <f>IF(recruitment_data3[[#This Row],[Gender]]=1,"Female","Male")</f>
        <v>Female</v>
      </c>
      <c r="D362" s="5">
        <v>1</v>
      </c>
      <c r="E362" s="5" t="str">
        <f>_xlfn.SWITCH(recruitment_data3[[#This Row],[EducationLevel]], 1,"Bachelor Type 1", 2,"Bachelor Type 2", 3,"Masters", 4,"PhD")</f>
        <v>Masters</v>
      </c>
      <c r="F362" s="5">
        <v>3</v>
      </c>
      <c r="G362" s="5">
        <v>15</v>
      </c>
      <c r="H362" s="5">
        <v>2</v>
      </c>
      <c r="I362" s="5">
        <v>12.835765292243488</v>
      </c>
      <c r="J362" s="5">
        <v>8</v>
      </c>
      <c r="K362" s="5">
        <v>15</v>
      </c>
      <c r="L362" s="5">
        <v>44</v>
      </c>
      <c r="M362" s="5" t="str">
        <f>_xlfn.SWITCH(recruitment_data3[[#This Row],[RecruitmentStrategy]], 1,"Aggressive", 2,"Moderate", 3,"Conservative")</f>
        <v>Moderate</v>
      </c>
      <c r="N362" s="5">
        <v>2</v>
      </c>
      <c r="O362" s="5" t="str">
        <f>IF(recruitment_data3[[#This Row],[HiringDecision]]=1,"Hired","Rejected")</f>
        <v>Rejected</v>
      </c>
      <c r="P362" s="6">
        <v>0</v>
      </c>
    </row>
    <row r="363" spans="1:16" x14ac:dyDescent="0.25">
      <c r="A363" s="4" t="str">
        <f t="shared" si="5"/>
        <v>C0362</v>
      </c>
      <c r="B363" s="4">
        <v>39</v>
      </c>
      <c r="C363" s="5" t="str">
        <f>IF(recruitment_data3[[#This Row],[Gender]]=1,"Female","Male")</f>
        <v>Female</v>
      </c>
      <c r="D363" s="5">
        <v>1</v>
      </c>
      <c r="E363" s="5" t="str">
        <f>_xlfn.SWITCH(recruitment_data3[[#This Row],[EducationLevel]], 1,"Bachelor Type 1", 2,"Bachelor Type 2", 3,"Masters", 4,"PhD")</f>
        <v>Masters</v>
      </c>
      <c r="F363" s="5">
        <v>3</v>
      </c>
      <c r="G363" s="5">
        <v>2</v>
      </c>
      <c r="H363" s="5">
        <v>1</v>
      </c>
      <c r="I363" s="5">
        <v>45.130772875862291</v>
      </c>
      <c r="J363" s="5">
        <v>21</v>
      </c>
      <c r="K363" s="5">
        <v>40</v>
      </c>
      <c r="L363" s="5">
        <v>58</v>
      </c>
      <c r="M363" s="5" t="str">
        <f>_xlfn.SWITCH(recruitment_data3[[#This Row],[RecruitmentStrategy]], 1,"Aggressive", 2,"Moderate", 3,"Conservative")</f>
        <v>Moderate</v>
      </c>
      <c r="N363" s="5">
        <v>2</v>
      </c>
      <c r="O363" s="5" t="str">
        <f>IF(recruitment_data3[[#This Row],[HiringDecision]]=1,"Hired","Rejected")</f>
        <v>Rejected</v>
      </c>
      <c r="P363" s="6">
        <v>0</v>
      </c>
    </row>
    <row r="364" spans="1:16" x14ac:dyDescent="0.25">
      <c r="A364" s="4" t="str">
        <f t="shared" si="5"/>
        <v>C0363</v>
      </c>
      <c r="B364" s="4">
        <v>47</v>
      </c>
      <c r="C364" s="5" t="str">
        <f>IF(recruitment_data3[[#This Row],[Gender]]=1,"Female","Male")</f>
        <v>Female</v>
      </c>
      <c r="D364" s="5">
        <v>1</v>
      </c>
      <c r="E364" s="5" t="str">
        <f>_xlfn.SWITCH(recruitment_data3[[#This Row],[EducationLevel]], 1,"Bachelor Type 1", 2,"Bachelor Type 2", 3,"Masters", 4,"PhD")</f>
        <v>Masters</v>
      </c>
      <c r="F364" s="5">
        <v>3</v>
      </c>
      <c r="G364" s="5">
        <v>13</v>
      </c>
      <c r="H364" s="5">
        <v>2</v>
      </c>
      <c r="I364" s="5">
        <v>5.8489381258047697</v>
      </c>
      <c r="J364" s="5">
        <v>17</v>
      </c>
      <c r="K364" s="5">
        <v>97</v>
      </c>
      <c r="L364" s="5">
        <v>44</v>
      </c>
      <c r="M364" s="5" t="str">
        <f>_xlfn.SWITCH(recruitment_data3[[#This Row],[RecruitmentStrategy]], 1,"Aggressive", 2,"Moderate", 3,"Conservative")</f>
        <v>Aggressive</v>
      </c>
      <c r="N364" s="5">
        <v>1</v>
      </c>
      <c r="O364" s="5" t="str">
        <f>IF(recruitment_data3[[#This Row],[HiringDecision]]=1,"Hired","Rejected")</f>
        <v>Hired</v>
      </c>
      <c r="P364" s="6">
        <v>1</v>
      </c>
    </row>
    <row r="365" spans="1:16" x14ac:dyDescent="0.25">
      <c r="A365" s="4" t="str">
        <f t="shared" si="5"/>
        <v>C0364</v>
      </c>
      <c r="B365" s="4">
        <v>36</v>
      </c>
      <c r="C365" s="5" t="str">
        <f>IF(recruitment_data3[[#This Row],[Gender]]=1,"Female","Male")</f>
        <v>Female</v>
      </c>
      <c r="D365" s="5">
        <v>1</v>
      </c>
      <c r="E365" s="5" t="str">
        <f>_xlfn.SWITCH(recruitment_data3[[#This Row],[EducationLevel]], 1,"Bachelor Type 1", 2,"Bachelor Type 2", 3,"Masters", 4,"PhD")</f>
        <v>Bachelor Type 2</v>
      </c>
      <c r="F365" s="5">
        <v>2</v>
      </c>
      <c r="G365" s="5">
        <v>8</v>
      </c>
      <c r="H365" s="5">
        <v>4</v>
      </c>
      <c r="I365" s="5">
        <v>3.7853418057622594</v>
      </c>
      <c r="J365" s="5">
        <v>75</v>
      </c>
      <c r="K365" s="5">
        <v>54</v>
      </c>
      <c r="L365" s="5">
        <v>74</v>
      </c>
      <c r="M365" s="5" t="str">
        <f>_xlfn.SWITCH(recruitment_data3[[#This Row],[RecruitmentStrategy]], 1,"Aggressive", 2,"Moderate", 3,"Conservative")</f>
        <v>Conservative</v>
      </c>
      <c r="N365" s="5">
        <v>3</v>
      </c>
      <c r="O365" s="5" t="str">
        <f>IF(recruitment_data3[[#This Row],[HiringDecision]]=1,"Hired","Rejected")</f>
        <v>Hired</v>
      </c>
      <c r="P365" s="6">
        <v>1</v>
      </c>
    </row>
    <row r="366" spans="1:16" x14ac:dyDescent="0.25">
      <c r="A366" s="4" t="str">
        <f t="shared" si="5"/>
        <v>C0365</v>
      </c>
      <c r="B366" s="4">
        <v>21</v>
      </c>
      <c r="C366" s="5" t="str">
        <f>IF(recruitment_data3[[#This Row],[Gender]]=1,"Female","Male")</f>
        <v>Female</v>
      </c>
      <c r="D366" s="5">
        <v>1</v>
      </c>
      <c r="E366" s="5" t="str">
        <f>_xlfn.SWITCH(recruitment_data3[[#This Row],[EducationLevel]], 1,"Bachelor Type 1", 2,"Bachelor Type 2", 3,"Masters", 4,"PhD")</f>
        <v>Bachelor Type 1</v>
      </c>
      <c r="F366" s="5">
        <v>1</v>
      </c>
      <c r="G366" s="5">
        <v>14</v>
      </c>
      <c r="H366" s="5">
        <v>4</v>
      </c>
      <c r="I366" s="5">
        <v>7.4611900051374684</v>
      </c>
      <c r="J366" s="5">
        <v>42</v>
      </c>
      <c r="K366" s="5">
        <v>100</v>
      </c>
      <c r="L366" s="5">
        <v>36</v>
      </c>
      <c r="M366" s="5" t="str">
        <f>_xlfn.SWITCH(recruitment_data3[[#This Row],[RecruitmentStrategy]], 1,"Aggressive", 2,"Moderate", 3,"Conservative")</f>
        <v>Aggressive</v>
      </c>
      <c r="N366" s="5">
        <v>1</v>
      </c>
      <c r="O366" s="5" t="str">
        <f>IF(recruitment_data3[[#This Row],[HiringDecision]]=1,"Hired","Rejected")</f>
        <v>Hired</v>
      </c>
      <c r="P366" s="6">
        <v>1</v>
      </c>
    </row>
    <row r="367" spans="1:16" x14ac:dyDescent="0.25">
      <c r="A367" s="4" t="str">
        <f t="shared" si="5"/>
        <v>C0366</v>
      </c>
      <c r="B367" s="4">
        <v>20</v>
      </c>
      <c r="C367" s="5" t="str">
        <f>IF(recruitment_data3[[#This Row],[Gender]]=1,"Female","Male")</f>
        <v>Male</v>
      </c>
      <c r="D367" s="5">
        <v>0</v>
      </c>
      <c r="E367" s="5" t="str">
        <f>_xlfn.SWITCH(recruitment_data3[[#This Row],[EducationLevel]], 1,"Bachelor Type 1", 2,"Bachelor Type 2", 3,"Masters", 4,"PhD")</f>
        <v>Masters</v>
      </c>
      <c r="F367" s="5">
        <v>3</v>
      </c>
      <c r="G367" s="5">
        <v>5</v>
      </c>
      <c r="H367" s="5">
        <v>4</v>
      </c>
      <c r="I367" s="5">
        <v>3.8870539733517999</v>
      </c>
      <c r="J367" s="5">
        <v>38</v>
      </c>
      <c r="K367" s="5">
        <v>60</v>
      </c>
      <c r="L367" s="5">
        <v>64</v>
      </c>
      <c r="M367" s="5" t="str">
        <f>_xlfn.SWITCH(recruitment_data3[[#This Row],[RecruitmentStrategy]], 1,"Aggressive", 2,"Moderate", 3,"Conservative")</f>
        <v>Conservative</v>
      </c>
      <c r="N367" s="5">
        <v>3</v>
      </c>
      <c r="O367" s="5" t="str">
        <f>IF(recruitment_data3[[#This Row],[HiringDecision]]=1,"Hired","Rejected")</f>
        <v>Rejected</v>
      </c>
      <c r="P367" s="6">
        <v>0</v>
      </c>
    </row>
    <row r="368" spans="1:16" x14ac:dyDescent="0.25">
      <c r="A368" s="4" t="str">
        <f t="shared" si="5"/>
        <v>C0367</v>
      </c>
      <c r="B368" s="4">
        <v>35</v>
      </c>
      <c r="C368" s="5" t="str">
        <f>IF(recruitment_data3[[#This Row],[Gender]]=1,"Female","Male")</f>
        <v>Male</v>
      </c>
      <c r="D368" s="5">
        <v>0</v>
      </c>
      <c r="E368" s="5" t="str">
        <f>_xlfn.SWITCH(recruitment_data3[[#This Row],[EducationLevel]], 1,"Bachelor Type 1", 2,"Bachelor Type 2", 3,"Masters", 4,"PhD")</f>
        <v>Bachelor Type 2</v>
      </c>
      <c r="F368" s="5">
        <v>2</v>
      </c>
      <c r="G368" s="5">
        <v>8</v>
      </c>
      <c r="H368" s="5">
        <v>1</v>
      </c>
      <c r="I368" s="5">
        <v>43.250611857788797</v>
      </c>
      <c r="J368" s="5">
        <v>72</v>
      </c>
      <c r="K368" s="5">
        <v>85</v>
      </c>
      <c r="L368" s="5">
        <v>8</v>
      </c>
      <c r="M368" s="5" t="str">
        <f>_xlfn.SWITCH(recruitment_data3[[#This Row],[RecruitmentStrategy]], 1,"Aggressive", 2,"Moderate", 3,"Conservative")</f>
        <v>Moderate</v>
      </c>
      <c r="N368" s="5">
        <v>2</v>
      </c>
      <c r="O368" s="5" t="str">
        <f>IF(recruitment_data3[[#This Row],[HiringDecision]]=1,"Hired","Rejected")</f>
        <v>Rejected</v>
      </c>
      <c r="P368" s="6">
        <v>0</v>
      </c>
    </row>
    <row r="369" spans="1:16" x14ac:dyDescent="0.25">
      <c r="A369" s="4" t="str">
        <f t="shared" si="5"/>
        <v>C0368</v>
      </c>
      <c r="B369" s="4">
        <v>49</v>
      </c>
      <c r="C369" s="5" t="str">
        <f>IF(recruitment_data3[[#This Row],[Gender]]=1,"Female","Male")</f>
        <v>Male</v>
      </c>
      <c r="D369" s="5">
        <v>0</v>
      </c>
      <c r="E369" s="5" t="str">
        <f>_xlfn.SWITCH(recruitment_data3[[#This Row],[EducationLevel]], 1,"Bachelor Type 1", 2,"Bachelor Type 2", 3,"Masters", 4,"PhD")</f>
        <v>Bachelor Type 2</v>
      </c>
      <c r="F369" s="5">
        <v>2</v>
      </c>
      <c r="G369" s="5">
        <v>12</v>
      </c>
      <c r="H369" s="5">
        <v>5</v>
      </c>
      <c r="I369" s="5">
        <v>3.9525072229135976</v>
      </c>
      <c r="J369" s="5">
        <v>5</v>
      </c>
      <c r="K369" s="5">
        <v>80</v>
      </c>
      <c r="L369" s="5">
        <v>16</v>
      </c>
      <c r="M369" s="5" t="str">
        <f>_xlfn.SWITCH(recruitment_data3[[#This Row],[RecruitmentStrategy]], 1,"Aggressive", 2,"Moderate", 3,"Conservative")</f>
        <v>Moderate</v>
      </c>
      <c r="N369" s="5">
        <v>2</v>
      </c>
      <c r="O369" s="5" t="str">
        <f>IF(recruitment_data3[[#This Row],[HiringDecision]]=1,"Hired","Rejected")</f>
        <v>Rejected</v>
      </c>
      <c r="P369" s="6">
        <v>0</v>
      </c>
    </row>
    <row r="370" spans="1:16" x14ac:dyDescent="0.25">
      <c r="A370" s="4" t="str">
        <f t="shared" si="5"/>
        <v>C0369</v>
      </c>
      <c r="B370" s="4">
        <v>31</v>
      </c>
      <c r="C370" s="5" t="str">
        <f>IF(recruitment_data3[[#This Row],[Gender]]=1,"Female","Male")</f>
        <v>Male</v>
      </c>
      <c r="D370" s="5">
        <v>0</v>
      </c>
      <c r="E370" s="5" t="str">
        <f>_xlfn.SWITCH(recruitment_data3[[#This Row],[EducationLevel]], 1,"Bachelor Type 1", 2,"Bachelor Type 2", 3,"Masters", 4,"PhD")</f>
        <v>Masters</v>
      </c>
      <c r="F370" s="5">
        <v>3</v>
      </c>
      <c r="G370" s="5">
        <v>14</v>
      </c>
      <c r="H370" s="5">
        <v>2</v>
      </c>
      <c r="I370" s="5">
        <v>14.583209568182774</v>
      </c>
      <c r="J370" s="5">
        <v>82</v>
      </c>
      <c r="K370" s="5">
        <v>86</v>
      </c>
      <c r="L370" s="5">
        <v>64</v>
      </c>
      <c r="M370" s="5" t="str">
        <f>_xlfn.SWITCH(recruitment_data3[[#This Row],[RecruitmentStrategy]], 1,"Aggressive", 2,"Moderate", 3,"Conservative")</f>
        <v>Aggressive</v>
      </c>
      <c r="N370" s="5">
        <v>1</v>
      </c>
      <c r="O370" s="5" t="str">
        <f>IF(recruitment_data3[[#This Row],[HiringDecision]]=1,"Hired","Rejected")</f>
        <v>Hired</v>
      </c>
      <c r="P370" s="6">
        <v>1</v>
      </c>
    </row>
    <row r="371" spans="1:16" x14ac:dyDescent="0.25">
      <c r="A371" s="4" t="str">
        <f t="shared" si="5"/>
        <v>C0370</v>
      </c>
      <c r="B371" s="4">
        <v>24</v>
      </c>
      <c r="C371" s="5" t="str">
        <f>IF(recruitment_data3[[#This Row],[Gender]]=1,"Female","Male")</f>
        <v>Female</v>
      </c>
      <c r="D371" s="5">
        <v>1</v>
      </c>
      <c r="E371" s="5" t="str">
        <f>_xlfn.SWITCH(recruitment_data3[[#This Row],[EducationLevel]], 1,"Bachelor Type 1", 2,"Bachelor Type 2", 3,"Masters", 4,"PhD")</f>
        <v>Masters</v>
      </c>
      <c r="F371" s="5">
        <v>3</v>
      </c>
      <c r="G371" s="5">
        <v>4</v>
      </c>
      <c r="H371" s="5">
        <v>4</v>
      </c>
      <c r="I371" s="5">
        <v>6.1878171767928194</v>
      </c>
      <c r="J371" s="5">
        <v>47</v>
      </c>
      <c r="K371" s="5">
        <v>99</v>
      </c>
      <c r="L371" s="5">
        <v>2</v>
      </c>
      <c r="M371" s="5" t="str">
        <f>_xlfn.SWITCH(recruitment_data3[[#This Row],[RecruitmentStrategy]], 1,"Aggressive", 2,"Moderate", 3,"Conservative")</f>
        <v>Aggressive</v>
      </c>
      <c r="N371" s="5">
        <v>1</v>
      </c>
      <c r="O371" s="5" t="str">
        <f>IF(recruitment_data3[[#This Row],[HiringDecision]]=1,"Hired","Rejected")</f>
        <v>Hired</v>
      </c>
      <c r="P371" s="6">
        <v>1</v>
      </c>
    </row>
    <row r="372" spans="1:16" x14ac:dyDescent="0.25">
      <c r="A372" s="4" t="str">
        <f t="shared" si="5"/>
        <v>C0371</v>
      </c>
      <c r="B372" s="4">
        <v>24</v>
      </c>
      <c r="C372" s="5" t="str">
        <f>IF(recruitment_data3[[#This Row],[Gender]]=1,"Female","Male")</f>
        <v>Male</v>
      </c>
      <c r="D372" s="5">
        <v>0</v>
      </c>
      <c r="E372" s="5" t="str">
        <f>_xlfn.SWITCH(recruitment_data3[[#This Row],[EducationLevel]], 1,"Bachelor Type 1", 2,"Bachelor Type 2", 3,"Masters", 4,"PhD")</f>
        <v>Bachelor Type 2</v>
      </c>
      <c r="F372" s="5">
        <v>2</v>
      </c>
      <c r="G372" s="5">
        <v>6</v>
      </c>
      <c r="H372" s="5">
        <v>2</v>
      </c>
      <c r="I372" s="5">
        <v>15.771101815688247</v>
      </c>
      <c r="J372" s="5">
        <v>6</v>
      </c>
      <c r="K372" s="5">
        <v>48</v>
      </c>
      <c r="L372" s="5">
        <v>25</v>
      </c>
      <c r="M372" s="5" t="str">
        <f>_xlfn.SWITCH(recruitment_data3[[#This Row],[RecruitmentStrategy]], 1,"Aggressive", 2,"Moderate", 3,"Conservative")</f>
        <v>Aggressive</v>
      </c>
      <c r="N372" s="5">
        <v>1</v>
      </c>
      <c r="O372" s="5" t="str">
        <f>IF(recruitment_data3[[#This Row],[HiringDecision]]=1,"Hired","Rejected")</f>
        <v>Rejected</v>
      </c>
      <c r="P372" s="6">
        <v>0</v>
      </c>
    </row>
    <row r="373" spans="1:16" x14ac:dyDescent="0.25">
      <c r="A373" s="4" t="str">
        <f t="shared" si="5"/>
        <v>C0372</v>
      </c>
      <c r="B373" s="4">
        <v>46</v>
      </c>
      <c r="C373" s="5" t="str">
        <f>IF(recruitment_data3[[#This Row],[Gender]]=1,"Female","Male")</f>
        <v>Female</v>
      </c>
      <c r="D373" s="5">
        <v>1</v>
      </c>
      <c r="E373" s="5" t="str">
        <f>_xlfn.SWITCH(recruitment_data3[[#This Row],[EducationLevel]], 1,"Bachelor Type 1", 2,"Bachelor Type 2", 3,"Masters", 4,"PhD")</f>
        <v>Bachelor Type 2</v>
      </c>
      <c r="F373" s="5">
        <v>2</v>
      </c>
      <c r="G373" s="5">
        <v>12</v>
      </c>
      <c r="H373" s="5">
        <v>1</v>
      </c>
      <c r="I373" s="5">
        <v>5.5279733800460242</v>
      </c>
      <c r="J373" s="5">
        <v>79</v>
      </c>
      <c r="K373" s="5">
        <v>72</v>
      </c>
      <c r="L373" s="5">
        <v>52</v>
      </c>
      <c r="M373" s="5" t="str">
        <f>_xlfn.SWITCH(recruitment_data3[[#This Row],[RecruitmentStrategy]], 1,"Aggressive", 2,"Moderate", 3,"Conservative")</f>
        <v>Aggressive</v>
      </c>
      <c r="N373" s="5">
        <v>1</v>
      </c>
      <c r="O373" s="5" t="str">
        <f>IF(recruitment_data3[[#This Row],[HiringDecision]]=1,"Hired","Rejected")</f>
        <v>Hired</v>
      </c>
      <c r="P373" s="6">
        <v>1</v>
      </c>
    </row>
    <row r="374" spans="1:16" x14ac:dyDescent="0.25">
      <c r="A374" s="4" t="str">
        <f t="shared" si="5"/>
        <v>C0373</v>
      </c>
      <c r="B374" s="4">
        <v>42</v>
      </c>
      <c r="C374" s="5" t="str">
        <f>IF(recruitment_data3[[#This Row],[Gender]]=1,"Female","Male")</f>
        <v>Male</v>
      </c>
      <c r="D374" s="5">
        <v>0</v>
      </c>
      <c r="E374" s="5" t="str">
        <f>_xlfn.SWITCH(recruitment_data3[[#This Row],[EducationLevel]], 1,"Bachelor Type 1", 2,"Bachelor Type 2", 3,"Masters", 4,"PhD")</f>
        <v>Bachelor Type 2</v>
      </c>
      <c r="F374" s="5">
        <v>2</v>
      </c>
      <c r="G374" s="5">
        <v>15</v>
      </c>
      <c r="H374" s="5">
        <v>5</v>
      </c>
      <c r="I374" s="5">
        <v>34.400162537150699</v>
      </c>
      <c r="J374" s="5">
        <v>68</v>
      </c>
      <c r="K374" s="5">
        <v>51</v>
      </c>
      <c r="L374" s="5">
        <v>30</v>
      </c>
      <c r="M374" s="5" t="str">
        <f>_xlfn.SWITCH(recruitment_data3[[#This Row],[RecruitmentStrategy]], 1,"Aggressive", 2,"Moderate", 3,"Conservative")</f>
        <v>Moderate</v>
      </c>
      <c r="N374" s="5">
        <v>2</v>
      </c>
      <c r="O374" s="5" t="str">
        <f>IF(recruitment_data3[[#This Row],[HiringDecision]]=1,"Hired","Rejected")</f>
        <v>Rejected</v>
      </c>
      <c r="P374" s="6">
        <v>0</v>
      </c>
    </row>
    <row r="375" spans="1:16" x14ac:dyDescent="0.25">
      <c r="A375" s="4" t="str">
        <f t="shared" si="5"/>
        <v>C0374</v>
      </c>
      <c r="B375" s="4">
        <v>28</v>
      </c>
      <c r="C375" s="5" t="str">
        <f>IF(recruitment_data3[[#This Row],[Gender]]=1,"Female","Male")</f>
        <v>Male</v>
      </c>
      <c r="D375" s="5">
        <v>0</v>
      </c>
      <c r="E375" s="5" t="str">
        <f>_xlfn.SWITCH(recruitment_data3[[#This Row],[EducationLevel]], 1,"Bachelor Type 1", 2,"Bachelor Type 2", 3,"Masters", 4,"PhD")</f>
        <v>Bachelor Type 2</v>
      </c>
      <c r="F375" s="5">
        <v>2</v>
      </c>
      <c r="G375" s="5">
        <v>13</v>
      </c>
      <c r="H375" s="5">
        <v>1</v>
      </c>
      <c r="I375" s="5">
        <v>7.6663408171287575</v>
      </c>
      <c r="J375" s="5">
        <v>15</v>
      </c>
      <c r="K375" s="5">
        <v>1</v>
      </c>
      <c r="L375" s="5">
        <v>25</v>
      </c>
      <c r="M375" s="5" t="str">
        <f>_xlfn.SWITCH(recruitment_data3[[#This Row],[RecruitmentStrategy]], 1,"Aggressive", 2,"Moderate", 3,"Conservative")</f>
        <v>Moderate</v>
      </c>
      <c r="N375" s="5">
        <v>2</v>
      </c>
      <c r="O375" s="5" t="str">
        <f>IF(recruitment_data3[[#This Row],[HiringDecision]]=1,"Hired","Rejected")</f>
        <v>Rejected</v>
      </c>
      <c r="P375" s="6">
        <v>0</v>
      </c>
    </row>
    <row r="376" spans="1:16" x14ac:dyDescent="0.25">
      <c r="A376" s="4" t="str">
        <f t="shared" si="5"/>
        <v>C0375</v>
      </c>
      <c r="B376" s="4">
        <v>28</v>
      </c>
      <c r="C376" s="5" t="str">
        <f>IF(recruitment_data3[[#This Row],[Gender]]=1,"Female","Male")</f>
        <v>Male</v>
      </c>
      <c r="D376" s="5">
        <v>0</v>
      </c>
      <c r="E376" s="5" t="str">
        <f>_xlfn.SWITCH(recruitment_data3[[#This Row],[EducationLevel]], 1,"Bachelor Type 1", 2,"Bachelor Type 2", 3,"Masters", 4,"PhD")</f>
        <v>Bachelor Type 2</v>
      </c>
      <c r="F376" s="5">
        <v>2</v>
      </c>
      <c r="G376" s="5">
        <v>3</v>
      </c>
      <c r="H376" s="5">
        <v>2</v>
      </c>
      <c r="I376" s="5">
        <v>43.592296291944393</v>
      </c>
      <c r="J376" s="5">
        <v>0</v>
      </c>
      <c r="K376" s="5">
        <v>95</v>
      </c>
      <c r="L376" s="5">
        <v>22</v>
      </c>
      <c r="M376" s="5" t="str">
        <f>_xlfn.SWITCH(recruitment_data3[[#This Row],[RecruitmentStrategy]], 1,"Aggressive", 2,"Moderate", 3,"Conservative")</f>
        <v>Moderate</v>
      </c>
      <c r="N376" s="5">
        <v>2</v>
      </c>
      <c r="O376" s="5" t="str">
        <f>IF(recruitment_data3[[#This Row],[HiringDecision]]=1,"Hired","Rejected")</f>
        <v>Rejected</v>
      </c>
      <c r="P376" s="6">
        <v>0</v>
      </c>
    </row>
    <row r="377" spans="1:16" x14ac:dyDescent="0.25">
      <c r="A377" s="4" t="str">
        <f t="shared" si="5"/>
        <v>C0376</v>
      </c>
      <c r="B377" s="4">
        <v>22</v>
      </c>
      <c r="C377" s="5" t="str">
        <f>IF(recruitment_data3[[#This Row],[Gender]]=1,"Female","Male")</f>
        <v>Female</v>
      </c>
      <c r="D377" s="5">
        <v>1</v>
      </c>
      <c r="E377" s="5" t="str">
        <f>_xlfn.SWITCH(recruitment_data3[[#This Row],[EducationLevel]], 1,"Bachelor Type 1", 2,"Bachelor Type 2", 3,"Masters", 4,"PhD")</f>
        <v>Masters</v>
      </c>
      <c r="F377" s="5">
        <v>3</v>
      </c>
      <c r="G377" s="5">
        <v>14</v>
      </c>
      <c r="H377" s="5">
        <v>5</v>
      </c>
      <c r="I377" s="5">
        <v>41.859552536332053</v>
      </c>
      <c r="J377" s="5">
        <v>36</v>
      </c>
      <c r="K377" s="5">
        <v>49</v>
      </c>
      <c r="L377" s="5">
        <v>29</v>
      </c>
      <c r="M377" s="5" t="str">
        <f>_xlfn.SWITCH(recruitment_data3[[#This Row],[RecruitmentStrategy]], 1,"Aggressive", 2,"Moderate", 3,"Conservative")</f>
        <v>Aggressive</v>
      </c>
      <c r="N377" s="5">
        <v>1</v>
      </c>
      <c r="O377" s="5" t="str">
        <f>IF(recruitment_data3[[#This Row],[HiringDecision]]=1,"Hired","Rejected")</f>
        <v>Hired</v>
      </c>
      <c r="P377" s="6">
        <v>1</v>
      </c>
    </row>
    <row r="378" spans="1:16" x14ac:dyDescent="0.25">
      <c r="A378" s="4" t="str">
        <f t="shared" si="5"/>
        <v>C0377</v>
      </c>
      <c r="B378" s="4">
        <v>38</v>
      </c>
      <c r="C378" s="5" t="str">
        <f>IF(recruitment_data3[[#This Row],[Gender]]=1,"Female","Male")</f>
        <v>Male</v>
      </c>
      <c r="D378" s="5">
        <v>0</v>
      </c>
      <c r="E378" s="5" t="str">
        <f>_xlfn.SWITCH(recruitment_data3[[#This Row],[EducationLevel]], 1,"Bachelor Type 1", 2,"Bachelor Type 2", 3,"Masters", 4,"PhD")</f>
        <v>Masters</v>
      </c>
      <c r="F378" s="5">
        <v>3</v>
      </c>
      <c r="G378" s="5">
        <v>15</v>
      </c>
      <c r="H378" s="5">
        <v>5</v>
      </c>
      <c r="I378" s="5">
        <v>1.683084273530471</v>
      </c>
      <c r="J378" s="5">
        <v>82</v>
      </c>
      <c r="K378" s="5">
        <v>85</v>
      </c>
      <c r="L378" s="5">
        <v>9</v>
      </c>
      <c r="M378" s="5" t="str">
        <f>_xlfn.SWITCH(recruitment_data3[[#This Row],[RecruitmentStrategy]], 1,"Aggressive", 2,"Moderate", 3,"Conservative")</f>
        <v>Conservative</v>
      </c>
      <c r="N378" s="5">
        <v>3</v>
      </c>
      <c r="O378" s="5" t="str">
        <f>IF(recruitment_data3[[#This Row],[HiringDecision]]=1,"Hired","Rejected")</f>
        <v>Hired</v>
      </c>
      <c r="P378" s="6">
        <v>1</v>
      </c>
    </row>
    <row r="379" spans="1:16" x14ac:dyDescent="0.25">
      <c r="A379" s="4" t="str">
        <f t="shared" si="5"/>
        <v>C0378</v>
      </c>
      <c r="B379" s="4">
        <v>35</v>
      </c>
      <c r="C379" s="5" t="str">
        <f>IF(recruitment_data3[[#This Row],[Gender]]=1,"Female","Male")</f>
        <v>Female</v>
      </c>
      <c r="D379" s="5">
        <v>1</v>
      </c>
      <c r="E379" s="5" t="str">
        <f>_xlfn.SWITCH(recruitment_data3[[#This Row],[EducationLevel]], 1,"Bachelor Type 1", 2,"Bachelor Type 2", 3,"Masters", 4,"PhD")</f>
        <v>Masters</v>
      </c>
      <c r="F379" s="5">
        <v>3</v>
      </c>
      <c r="G379" s="5">
        <v>6</v>
      </c>
      <c r="H379" s="5">
        <v>1</v>
      </c>
      <c r="I379" s="5">
        <v>45.786317775755727</v>
      </c>
      <c r="J379" s="5">
        <v>36</v>
      </c>
      <c r="K379" s="5">
        <v>42</v>
      </c>
      <c r="L379" s="5">
        <v>71</v>
      </c>
      <c r="M379" s="5" t="str">
        <f>_xlfn.SWITCH(recruitment_data3[[#This Row],[RecruitmentStrategy]], 1,"Aggressive", 2,"Moderate", 3,"Conservative")</f>
        <v>Moderate</v>
      </c>
      <c r="N379" s="5">
        <v>2</v>
      </c>
      <c r="O379" s="5" t="str">
        <f>IF(recruitment_data3[[#This Row],[HiringDecision]]=1,"Hired","Rejected")</f>
        <v>Rejected</v>
      </c>
      <c r="P379" s="6">
        <v>0</v>
      </c>
    </row>
    <row r="380" spans="1:16" x14ac:dyDescent="0.25">
      <c r="A380" s="4" t="str">
        <f t="shared" si="5"/>
        <v>C0379</v>
      </c>
      <c r="B380" s="4">
        <v>35</v>
      </c>
      <c r="C380" s="5" t="str">
        <f>IF(recruitment_data3[[#This Row],[Gender]]=1,"Female","Male")</f>
        <v>Female</v>
      </c>
      <c r="D380" s="5">
        <v>1</v>
      </c>
      <c r="E380" s="5" t="str">
        <f>_xlfn.SWITCH(recruitment_data3[[#This Row],[EducationLevel]], 1,"Bachelor Type 1", 2,"Bachelor Type 2", 3,"Masters", 4,"PhD")</f>
        <v>Bachelor Type 1</v>
      </c>
      <c r="F380" s="5">
        <v>1</v>
      </c>
      <c r="G380" s="5">
        <v>12</v>
      </c>
      <c r="H380" s="5">
        <v>4</v>
      </c>
      <c r="I380" s="5">
        <v>2.4472158371683532</v>
      </c>
      <c r="J380" s="5">
        <v>80</v>
      </c>
      <c r="K380" s="5">
        <v>76</v>
      </c>
      <c r="L380" s="5">
        <v>88</v>
      </c>
      <c r="M380" s="5" t="str">
        <f>_xlfn.SWITCH(recruitment_data3[[#This Row],[RecruitmentStrategy]], 1,"Aggressive", 2,"Moderate", 3,"Conservative")</f>
        <v>Aggressive</v>
      </c>
      <c r="N380" s="5">
        <v>1</v>
      </c>
      <c r="O380" s="5" t="str">
        <f>IF(recruitment_data3[[#This Row],[HiringDecision]]=1,"Hired","Rejected")</f>
        <v>Hired</v>
      </c>
      <c r="P380" s="6">
        <v>1</v>
      </c>
    </row>
    <row r="381" spans="1:16" x14ac:dyDescent="0.25">
      <c r="A381" s="4" t="str">
        <f t="shared" si="5"/>
        <v>C0380</v>
      </c>
      <c r="B381" s="4">
        <v>22</v>
      </c>
      <c r="C381" s="5" t="str">
        <f>IF(recruitment_data3[[#This Row],[Gender]]=1,"Female","Male")</f>
        <v>Male</v>
      </c>
      <c r="D381" s="5">
        <v>0</v>
      </c>
      <c r="E381" s="5" t="str">
        <f>_xlfn.SWITCH(recruitment_data3[[#This Row],[EducationLevel]], 1,"Bachelor Type 1", 2,"Bachelor Type 2", 3,"Masters", 4,"PhD")</f>
        <v>Masters</v>
      </c>
      <c r="F381" s="5">
        <v>3</v>
      </c>
      <c r="G381" s="5">
        <v>0</v>
      </c>
      <c r="H381" s="5">
        <v>2</v>
      </c>
      <c r="I381" s="5">
        <v>12.98228924787783</v>
      </c>
      <c r="J381" s="5">
        <v>63</v>
      </c>
      <c r="K381" s="5">
        <v>7</v>
      </c>
      <c r="L381" s="5">
        <v>63</v>
      </c>
      <c r="M381" s="5" t="str">
        <f>_xlfn.SWITCH(recruitment_data3[[#This Row],[RecruitmentStrategy]], 1,"Aggressive", 2,"Moderate", 3,"Conservative")</f>
        <v>Moderate</v>
      </c>
      <c r="N381" s="5">
        <v>2</v>
      </c>
      <c r="O381" s="5" t="str">
        <f>IF(recruitment_data3[[#This Row],[HiringDecision]]=1,"Hired","Rejected")</f>
        <v>Rejected</v>
      </c>
      <c r="P381" s="6">
        <v>0</v>
      </c>
    </row>
    <row r="382" spans="1:16" x14ac:dyDescent="0.25">
      <c r="A382" s="4" t="str">
        <f t="shared" si="5"/>
        <v>C0381</v>
      </c>
      <c r="B382" s="4">
        <v>39</v>
      </c>
      <c r="C382" s="5" t="str">
        <f>IF(recruitment_data3[[#This Row],[Gender]]=1,"Female","Male")</f>
        <v>Male</v>
      </c>
      <c r="D382" s="5">
        <v>0</v>
      </c>
      <c r="E382" s="5" t="str">
        <f>_xlfn.SWITCH(recruitment_data3[[#This Row],[EducationLevel]], 1,"Bachelor Type 1", 2,"Bachelor Type 2", 3,"Masters", 4,"PhD")</f>
        <v>Masters</v>
      </c>
      <c r="F382" s="5">
        <v>3</v>
      </c>
      <c r="G382" s="5">
        <v>6</v>
      </c>
      <c r="H382" s="5">
        <v>3</v>
      </c>
      <c r="I382" s="5">
        <v>2.6194568887997529</v>
      </c>
      <c r="J382" s="5">
        <v>89</v>
      </c>
      <c r="K382" s="5">
        <v>58</v>
      </c>
      <c r="L382" s="5">
        <v>21</v>
      </c>
      <c r="M382" s="5" t="str">
        <f>_xlfn.SWITCH(recruitment_data3[[#This Row],[RecruitmentStrategy]], 1,"Aggressive", 2,"Moderate", 3,"Conservative")</f>
        <v>Aggressive</v>
      </c>
      <c r="N382" s="5">
        <v>1</v>
      </c>
      <c r="O382" s="5" t="str">
        <f>IF(recruitment_data3[[#This Row],[HiringDecision]]=1,"Hired","Rejected")</f>
        <v>Hired</v>
      </c>
      <c r="P382" s="6">
        <v>1</v>
      </c>
    </row>
    <row r="383" spans="1:16" x14ac:dyDescent="0.25">
      <c r="A383" s="4" t="str">
        <f t="shared" si="5"/>
        <v>C0382</v>
      </c>
      <c r="B383" s="4">
        <v>43</v>
      </c>
      <c r="C383" s="5" t="str">
        <f>IF(recruitment_data3[[#This Row],[Gender]]=1,"Female","Male")</f>
        <v>Male</v>
      </c>
      <c r="D383" s="5">
        <v>0</v>
      </c>
      <c r="E383" s="5" t="str">
        <f>_xlfn.SWITCH(recruitment_data3[[#This Row],[EducationLevel]], 1,"Bachelor Type 1", 2,"Bachelor Type 2", 3,"Masters", 4,"PhD")</f>
        <v>Bachelor Type 2</v>
      </c>
      <c r="F383" s="5">
        <v>2</v>
      </c>
      <c r="G383" s="5">
        <v>7</v>
      </c>
      <c r="H383" s="5">
        <v>3</v>
      </c>
      <c r="I383" s="5">
        <v>17.792174351965798</v>
      </c>
      <c r="J383" s="5">
        <v>85</v>
      </c>
      <c r="K383" s="5">
        <v>64</v>
      </c>
      <c r="L383" s="5">
        <v>14</v>
      </c>
      <c r="M383" s="5" t="str">
        <f>_xlfn.SWITCH(recruitment_data3[[#This Row],[RecruitmentStrategy]], 1,"Aggressive", 2,"Moderate", 3,"Conservative")</f>
        <v>Aggressive</v>
      </c>
      <c r="N383" s="5">
        <v>1</v>
      </c>
      <c r="O383" s="5" t="str">
        <f>IF(recruitment_data3[[#This Row],[HiringDecision]]=1,"Hired","Rejected")</f>
        <v>Hired</v>
      </c>
      <c r="P383" s="6">
        <v>1</v>
      </c>
    </row>
    <row r="384" spans="1:16" x14ac:dyDescent="0.25">
      <c r="A384" s="4" t="str">
        <f t="shared" si="5"/>
        <v>C0383</v>
      </c>
      <c r="B384" s="4">
        <v>41</v>
      </c>
      <c r="C384" s="5" t="str">
        <f>IF(recruitment_data3[[#This Row],[Gender]]=1,"Female","Male")</f>
        <v>Female</v>
      </c>
      <c r="D384" s="5">
        <v>1</v>
      </c>
      <c r="E384" s="5" t="str">
        <f>_xlfn.SWITCH(recruitment_data3[[#This Row],[EducationLevel]], 1,"Bachelor Type 1", 2,"Bachelor Type 2", 3,"Masters", 4,"PhD")</f>
        <v>Masters</v>
      </c>
      <c r="F384" s="5">
        <v>3</v>
      </c>
      <c r="G384" s="5">
        <v>4</v>
      </c>
      <c r="H384" s="5">
        <v>1</v>
      </c>
      <c r="I384" s="5">
        <v>26.693326285663581</v>
      </c>
      <c r="J384" s="5">
        <v>61</v>
      </c>
      <c r="K384" s="5">
        <v>80</v>
      </c>
      <c r="L384" s="5">
        <v>55</v>
      </c>
      <c r="M384" s="5" t="str">
        <f>_xlfn.SWITCH(recruitment_data3[[#This Row],[RecruitmentStrategy]], 1,"Aggressive", 2,"Moderate", 3,"Conservative")</f>
        <v>Moderate</v>
      </c>
      <c r="N384" s="5">
        <v>2</v>
      </c>
      <c r="O384" s="5" t="str">
        <f>IF(recruitment_data3[[#This Row],[HiringDecision]]=1,"Hired","Rejected")</f>
        <v>Rejected</v>
      </c>
      <c r="P384" s="6">
        <v>0</v>
      </c>
    </row>
    <row r="385" spans="1:16" x14ac:dyDescent="0.25">
      <c r="A385" s="4" t="str">
        <f t="shared" si="5"/>
        <v>C0384</v>
      </c>
      <c r="B385" s="4">
        <v>43</v>
      </c>
      <c r="C385" s="5" t="str">
        <f>IF(recruitment_data3[[#This Row],[Gender]]=1,"Female","Male")</f>
        <v>Male</v>
      </c>
      <c r="D385" s="5">
        <v>0</v>
      </c>
      <c r="E385" s="5" t="str">
        <f>_xlfn.SWITCH(recruitment_data3[[#This Row],[EducationLevel]], 1,"Bachelor Type 1", 2,"Bachelor Type 2", 3,"Masters", 4,"PhD")</f>
        <v>Masters</v>
      </c>
      <c r="F385" s="5">
        <v>3</v>
      </c>
      <c r="G385" s="5">
        <v>1</v>
      </c>
      <c r="H385" s="5">
        <v>2</v>
      </c>
      <c r="I385" s="5">
        <v>40.832243450756906</v>
      </c>
      <c r="J385" s="5">
        <v>71</v>
      </c>
      <c r="K385" s="5">
        <v>11</v>
      </c>
      <c r="L385" s="5">
        <v>73</v>
      </c>
      <c r="M385" s="5" t="str">
        <f>_xlfn.SWITCH(recruitment_data3[[#This Row],[RecruitmentStrategy]], 1,"Aggressive", 2,"Moderate", 3,"Conservative")</f>
        <v>Moderate</v>
      </c>
      <c r="N385" s="5">
        <v>2</v>
      </c>
      <c r="O385" s="5" t="str">
        <f>IF(recruitment_data3[[#This Row],[HiringDecision]]=1,"Hired","Rejected")</f>
        <v>Rejected</v>
      </c>
      <c r="P385" s="6">
        <v>0</v>
      </c>
    </row>
    <row r="386" spans="1:16" x14ac:dyDescent="0.25">
      <c r="A386" s="4" t="str">
        <f t="shared" ref="A386:A449" si="6">"C"&amp;TEXT(ROW()-1,"0000")</f>
        <v>C0385</v>
      </c>
      <c r="B386" s="4">
        <v>20</v>
      </c>
      <c r="C386" s="5" t="str">
        <f>IF(recruitment_data3[[#This Row],[Gender]]=1,"Female","Male")</f>
        <v>Female</v>
      </c>
      <c r="D386" s="5">
        <v>1</v>
      </c>
      <c r="E386" s="5" t="str">
        <f>_xlfn.SWITCH(recruitment_data3[[#This Row],[EducationLevel]], 1,"Bachelor Type 1", 2,"Bachelor Type 2", 3,"Masters", 4,"PhD")</f>
        <v>Bachelor Type 2</v>
      </c>
      <c r="F386" s="5">
        <v>2</v>
      </c>
      <c r="G386" s="5">
        <v>4</v>
      </c>
      <c r="H386" s="5">
        <v>2</v>
      </c>
      <c r="I386" s="5">
        <v>17.899077523491808</v>
      </c>
      <c r="J386" s="5">
        <v>60</v>
      </c>
      <c r="K386" s="5">
        <v>3</v>
      </c>
      <c r="L386" s="5">
        <v>19</v>
      </c>
      <c r="M386" s="5" t="str">
        <f>_xlfn.SWITCH(recruitment_data3[[#This Row],[RecruitmentStrategy]], 1,"Aggressive", 2,"Moderate", 3,"Conservative")</f>
        <v>Conservative</v>
      </c>
      <c r="N386" s="5">
        <v>3</v>
      </c>
      <c r="O386" s="5" t="str">
        <f>IF(recruitment_data3[[#This Row],[HiringDecision]]=1,"Hired","Rejected")</f>
        <v>Rejected</v>
      </c>
      <c r="P386" s="6">
        <v>0</v>
      </c>
    </row>
    <row r="387" spans="1:16" x14ac:dyDescent="0.25">
      <c r="A387" s="4" t="str">
        <f t="shared" si="6"/>
        <v>C0386</v>
      </c>
      <c r="B387" s="4">
        <v>43</v>
      </c>
      <c r="C387" s="5" t="str">
        <f>IF(recruitment_data3[[#This Row],[Gender]]=1,"Female","Male")</f>
        <v>Female</v>
      </c>
      <c r="D387" s="5">
        <v>1</v>
      </c>
      <c r="E387" s="5" t="str">
        <f>_xlfn.SWITCH(recruitment_data3[[#This Row],[EducationLevel]], 1,"Bachelor Type 1", 2,"Bachelor Type 2", 3,"Masters", 4,"PhD")</f>
        <v>Bachelor Type 2</v>
      </c>
      <c r="F387" s="5">
        <v>2</v>
      </c>
      <c r="G387" s="5">
        <v>5</v>
      </c>
      <c r="H387" s="5">
        <v>1</v>
      </c>
      <c r="I387" s="5">
        <v>36.274501233655833</v>
      </c>
      <c r="J387" s="5">
        <v>32</v>
      </c>
      <c r="K387" s="5">
        <v>76</v>
      </c>
      <c r="L387" s="5">
        <v>46</v>
      </c>
      <c r="M387" s="5" t="str">
        <f>_xlfn.SWITCH(recruitment_data3[[#This Row],[RecruitmentStrategy]], 1,"Aggressive", 2,"Moderate", 3,"Conservative")</f>
        <v>Moderate</v>
      </c>
      <c r="N387" s="5">
        <v>2</v>
      </c>
      <c r="O387" s="5" t="str">
        <f>IF(recruitment_data3[[#This Row],[HiringDecision]]=1,"Hired","Rejected")</f>
        <v>Rejected</v>
      </c>
      <c r="P387" s="6">
        <v>0</v>
      </c>
    </row>
    <row r="388" spans="1:16" x14ac:dyDescent="0.25">
      <c r="A388" s="4" t="str">
        <f t="shared" si="6"/>
        <v>C0387</v>
      </c>
      <c r="B388" s="4">
        <v>39</v>
      </c>
      <c r="C388" s="5" t="str">
        <f>IF(recruitment_data3[[#This Row],[Gender]]=1,"Female","Male")</f>
        <v>Male</v>
      </c>
      <c r="D388" s="5">
        <v>0</v>
      </c>
      <c r="E388" s="5" t="str">
        <f>_xlfn.SWITCH(recruitment_data3[[#This Row],[EducationLevel]], 1,"Bachelor Type 1", 2,"Bachelor Type 2", 3,"Masters", 4,"PhD")</f>
        <v>Bachelor Type 1</v>
      </c>
      <c r="F388" s="5">
        <v>1</v>
      </c>
      <c r="G388" s="5">
        <v>11</v>
      </c>
      <c r="H388" s="5">
        <v>2</v>
      </c>
      <c r="I388" s="5">
        <v>10.375222855949017</v>
      </c>
      <c r="J388" s="5">
        <v>65</v>
      </c>
      <c r="K388" s="5">
        <v>94</v>
      </c>
      <c r="L388" s="5">
        <v>86</v>
      </c>
      <c r="M388" s="5" t="str">
        <f>_xlfn.SWITCH(recruitment_data3[[#This Row],[RecruitmentStrategy]], 1,"Aggressive", 2,"Moderate", 3,"Conservative")</f>
        <v>Conservative</v>
      </c>
      <c r="N388" s="5">
        <v>3</v>
      </c>
      <c r="O388" s="5" t="str">
        <f>IF(recruitment_data3[[#This Row],[HiringDecision]]=1,"Hired","Rejected")</f>
        <v>Rejected</v>
      </c>
      <c r="P388" s="6">
        <v>0</v>
      </c>
    </row>
    <row r="389" spans="1:16" x14ac:dyDescent="0.25">
      <c r="A389" s="4" t="str">
        <f t="shared" si="6"/>
        <v>C0388</v>
      </c>
      <c r="B389" s="4">
        <v>30</v>
      </c>
      <c r="C389" s="5" t="str">
        <f>IF(recruitment_data3[[#This Row],[Gender]]=1,"Female","Male")</f>
        <v>Male</v>
      </c>
      <c r="D389" s="5">
        <v>0</v>
      </c>
      <c r="E389" s="5" t="str">
        <f>_xlfn.SWITCH(recruitment_data3[[#This Row],[EducationLevel]], 1,"Bachelor Type 1", 2,"Bachelor Type 2", 3,"Masters", 4,"PhD")</f>
        <v>Bachelor Type 2</v>
      </c>
      <c r="F389" s="5">
        <v>2</v>
      </c>
      <c r="G389" s="5">
        <v>1</v>
      </c>
      <c r="H389" s="5">
        <v>4</v>
      </c>
      <c r="I389" s="5">
        <v>38.529922837206321</v>
      </c>
      <c r="J389" s="5">
        <v>29</v>
      </c>
      <c r="K389" s="5">
        <v>40</v>
      </c>
      <c r="L389" s="5">
        <v>52</v>
      </c>
      <c r="M389" s="5" t="str">
        <f>_xlfn.SWITCH(recruitment_data3[[#This Row],[RecruitmentStrategy]], 1,"Aggressive", 2,"Moderate", 3,"Conservative")</f>
        <v>Conservative</v>
      </c>
      <c r="N389" s="5">
        <v>3</v>
      </c>
      <c r="O389" s="5" t="str">
        <f>IF(recruitment_data3[[#This Row],[HiringDecision]]=1,"Hired","Rejected")</f>
        <v>Rejected</v>
      </c>
      <c r="P389" s="6">
        <v>0</v>
      </c>
    </row>
    <row r="390" spans="1:16" x14ac:dyDescent="0.25">
      <c r="A390" s="4" t="str">
        <f t="shared" si="6"/>
        <v>C0389</v>
      </c>
      <c r="B390" s="4">
        <v>36</v>
      </c>
      <c r="C390" s="5" t="str">
        <f>IF(recruitment_data3[[#This Row],[Gender]]=1,"Female","Male")</f>
        <v>Female</v>
      </c>
      <c r="D390" s="5">
        <v>1</v>
      </c>
      <c r="E390" s="5" t="str">
        <f>_xlfn.SWITCH(recruitment_data3[[#This Row],[EducationLevel]], 1,"Bachelor Type 1", 2,"Bachelor Type 2", 3,"Masters", 4,"PhD")</f>
        <v>Bachelor Type 2</v>
      </c>
      <c r="F390" s="5">
        <v>2</v>
      </c>
      <c r="G390" s="5">
        <v>13</v>
      </c>
      <c r="H390" s="5">
        <v>1</v>
      </c>
      <c r="I390" s="5">
        <v>12.799830295461877</v>
      </c>
      <c r="J390" s="5">
        <v>19</v>
      </c>
      <c r="K390" s="5">
        <v>6</v>
      </c>
      <c r="L390" s="5">
        <v>52</v>
      </c>
      <c r="M390" s="5" t="str">
        <f>_xlfn.SWITCH(recruitment_data3[[#This Row],[RecruitmentStrategy]], 1,"Aggressive", 2,"Moderate", 3,"Conservative")</f>
        <v>Conservative</v>
      </c>
      <c r="N390" s="5">
        <v>3</v>
      </c>
      <c r="O390" s="5" t="str">
        <f>IF(recruitment_data3[[#This Row],[HiringDecision]]=1,"Hired","Rejected")</f>
        <v>Rejected</v>
      </c>
      <c r="P390" s="6">
        <v>0</v>
      </c>
    </row>
    <row r="391" spans="1:16" x14ac:dyDescent="0.25">
      <c r="A391" s="4" t="str">
        <f t="shared" si="6"/>
        <v>C0390</v>
      </c>
      <c r="B391" s="4">
        <v>27</v>
      </c>
      <c r="C391" s="5" t="str">
        <f>IF(recruitment_data3[[#This Row],[Gender]]=1,"Female","Male")</f>
        <v>Female</v>
      </c>
      <c r="D391" s="5">
        <v>1</v>
      </c>
      <c r="E391" s="5" t="str">
        <f>_xlfn.SWITCH(recruitment_data3[[#This Row],[EducationLevel]], 1,"Bachelor Type 1", 2,"Bachelor Type 2", 3,"Masters", 4,"PhD")</f>
        <v>Masters</v>
      </c>
      <c r="F391" s="5">
        <v>3</v>
      </c>
      <c r="G391" s="5">
        <v>5</v>
      </c>
      <c r="H391" s="5">
        <v>4</v>
      </c>
      <c r="I391" s="5">
        <v>8.1772377971883969</v>
      </c>
      <c r="J391" s="5">
        <v>59</v>
      </c>
      <c r="K391" s="5">
        <v>86</v>
      </c>
      <c r="L391" s="5">
        <v>0</v>
      </c>
      <c r="M391" s="5" t="str">
        <f>_xlfn.SWITCH(recruitment_data3[[#This Row],[RecruitmentStrategy]], 1,"Aggressive", 2,"Moderate", 3,"Conservative")</f>
        <v>Moderate</v>
      </c>
      <c r="N391" s="5">
        <v>2</v>
      </c>
      <c r="O391" s="5" t="str">
        <f>IF(recruitment_data3[[#This Row],[HiringDecision]]=1,"Hired","Rejected")</f>
        <v>Rejected</v>
      </c>
      <c r="P391" s="6">
        <v>0</v>
      </c>
    </row>
    <row r="392" spans="1:16" x14ac:dyDescent="0.25">
      <c r="A392" s="4" t="str">
        <f t="shared" si="6"/>
        <v>C0391</v>
      </c>
      <c r="B392" s="4">
        <v>23</v>
      </c>
      <c r="C392" s="5" t="str">
        <f>IF(recruitment_data3[[#This Row],[Gender]]=1,"Female","Male")</f>
        <v>Female</v>
      </c>
      <c r="D392" s="5">
        <v>1</v>
      </c>
      <c r="E392" s="5" t="str">
        <f>_xlfn.SWITCH(recruitment_data3[[#This Row],[EducationLevel]], 1,"Bachelor Type 1", 2,"Bachelor Type 2", 3,"Masters", 4,"PhD")</f>
        <v>Bachelor Type 2</v>
      </c>
      <c r="F392" s="5">
        <v>2</v>
      </c>
      <c r="G392" s="5">
        <v>5</v>
      </c>
      <c r="H392" s="5">
        <v>2</v>
      </c>
      <c r="I392" s="5">
        <v>10.270442518702716</v>
      </c>
      <c r="J392" s="5">
        <v>81</v>
      </c>
      <c r="K392" s="5">
        <v>87</v>
      </c>
      <c r="L392" s="5">
        <v>1</v>
      </c>
      <c r="M392" s="5" t="str">
        <f>_xlfn.SWITCH(recruitment_data3[[#This Row],[RecruitmentStrategy]], 1,"Aggressive", 2,"Moderate", 3,"Conservative")</f>
        <v>Aggressive</v>
      </c>
      <c r="N392" s="5">
        <v>1</v>
      </c>
      <c r="O392" s="5" t="str">
        <f>IF(recruitment_data3[[#This Row],[HiringDecision]]=1,"Hired","Rejected")</f>
        <v>Hired</v>
      </c>
      <c r="P392" s="6">
        <v>1</v>
      </c>
    </row>
    <row r="393" spans="1:16" x14ac:dyDescent="0.25">
      <c r="A393" s="4" t="str">
        <f t="shared" si="6"/>
        <v>C0392</v>
      </c>
      <c r="B393" s="4">
        <v>25</v>
      </c>
      <c r="C393" s="5" t="str">
        <f>IF(recruitment_data3[[#This Row],[Gender]]=1,"Female","Male")</f>
        <v>Male</v>
      </c>
      <c r="D393" s="5">
        <v>0</v>
      </c>
      <c r="E393" s="5" t="str">
        <f>_xlfn.SWITCH(recruitment_data3[[#This Row],[EducationLevel]], 1,"Bachelor Type 1", 2,"Bachelor Type 2", 3,"Masters", 4,"PhD")</f>
        <v>Bachelor Type 1</v>
      </c>
      <c r="F393" s="5">
        <v>1</v>
      </c>
      <c r="G393" s="5">
        <v>0</v>
      </c>
      <c r="H393" s="5">
        <v>1</v>
      </c>
      <c r="I393" s="5">
        <v>10.10315644409277</v>
      </c>
      <c r="J393" s="5">
        <v>73</v>
      </c>
      <c r="K393" s="5">
        <v>68</v>
      </c>
      <c r="L393" s="5">
        <v>57</v>
      </c>
      <c r="M393" s="5" t="str">
        <f>_xlfn.SWITCH(recruitment_data3[[#This Row],[RecruitmentStrategy]], 1,"Aggressive", 2,"Moderate", 3,"Conservative")</f>
        <v>Aggressive</v>
      </c>
      <c r="N393" s="5">
        <v>1</v>
      </c>
      <c r="O393" s="5" t="str">
        <f>IF(recruitment_data3[[#This Row],[HiringDecision]]=1,"Hired","Rejected")</f>
        <v>Hired</v>
      </c>
      <c r="P393" s="6">
        <v>1</v>
      </c>
    </row>
    <row r="394" spans="1:16" x14ac:dyDescent="0.25">
      <c r="A394" s="4" t="str">
        <f t="shared" si="6"/>
        <v>C0393</v>
      </c>
      <c r="B394" s="4">
        <v>27</v>
      </c>
      <c r="C394" s="5" t="str">
        <f>IF(recruitment_data3[[#This Row],[Gender]]=1,"Female","Male")</f>
        <v>Female</v>
      </c>
      <c r="D394" s="5">
        <v>1</v>
      </c>
      <c r="E394" s="5" t="str">
        <f>_xlfn.SWITCH(recruitment_data3[[#This Row],[EducationLevel]], 1,"Bachelor Type 1", 2,"Bachelor Type 2", 3,"Masters", 4,"PhD")</f>
        <v>Bachelor Type 2</v>
      </c>
      <c r="F394" s="5">
        <v>2</v>
      </c>
      <c r="G394" s="5">
        <v>13</v>
      </c>
      <c r="H394" s="5">
        <v>2</v>
      </c>
      <c r="I394" s="5">
        <v>26.643143968849557</v>
      </c>
      <c r="J394" s="5">
        <v>23</v>
      </c>
      <c r="K394" s="5">
        <v>68</v>
      </c>
      <c r="L394" s="5">
        <v>18</v>
      </c>
      <c r="M394" s="5" t="str">
        <f>_xlfn.SWITCH(recruitment_data3[[#This Row],[RecruitmentStrategy]], 1,"Aggressive", 2,"Moderate", 3,"Conservative")</f>
        <v>Moderate</v>
      </c>
      <c r="N394" s="5">
        <v>2</v>
      </c>
      <c r="O394" s="5" t="str">
        <f>IF(recruitment_data3[[#This Row],[HiringDecision]]=1,"Hired","Rejected")</f>
        <v>Rejected</v>
      </c>
      <c r="P394" s="6">
        <v>0</v>
      </c>
    </row>
    <row r="395" spans="1:16" x14ac:dyDescent="0.25">
      <c r="A395" s="4" t="str">
        <f t="shared" si="6"/>
        <v>C0394</v>
      </c>
      <c r="B395" s="4">
        <v>39</v>
      </c>
      <c r="C395" s="5" t="str">
        <f>IF(recruitment_data3[[#This Row],[Gender]]=1,"Female","Male")</f>
        <v>Male</v>
      </c>
      <c r="D395" s="5">
        <v>0</v>
      </c>
      <c r="E395" s="5" t="str">
        <f>_xlfn.SWITCH(recruitment_data3[[#This Row],[EducationLevel]], 1,"Bachelor Type 1", 2,"Bachelor Type 2", 3,"Masters", 4,"PhD")</f>
        <v>Bachelor Type 1</v>
      </c>
      <c r="F395" s="5">
        <v>1</v>
      </c>
      <c r="G395" s="5">
        <v>0</v>
      </c>
      <c r="H395" s="5">
        <v>1</v>
      </c>
      <c r="I395" s="5">
        <v>43.239879059407301</v>
      </c>
      <c r="J395" s="5">
        <v>3</v>
      </c>
      <c r="K395" s="5">
        <v>80</v>
      </c>
      <c r="L395" s="5">
        <v>61</v>
      </c>
      <c r="M395" s="5" t="str">
        <f>_xlfn.SWITCH(recruitment_data3[[#This Row],[RecruitmentStrategy]], 1,"Aggressive", 2,"Moderate", 3,"Conservative")</f>
        <v>Moderate</v>
      </c>
      <c r="N395" s="5">
        <v>2</v>
      </c>
      <c r="O395" s="5" t="str">
        <f>IF(recruitment_data3[[#This Row],[HiringDecision]]=1,"Hired","Rejected")</f>
        <v>Rejected</v>
      </c>
      <c r="P395" s="6">
        <v>0</v>
      </c>
    </row>
    <row r="396" spans="1:16" x14ac:dyDescent="0.25">
      <c r="A396" s="4" t="str">
        <f t="shared" si="6"/>
        <v>C0395</v>
      </c>
      <c r="B396" s="4">
        <v>49</v>
      </c>
      <c r="C396" s="5" t="str">
        <f>IF(recruitment_data3[[#This Row],[Gender]]=1,"Female","Male")</f>
        <v>Female</v>
      </c>
      <c r="D396" s="5">
        <v>1</v>
      </c>
      <c r="E396" s="5" t="str">
        <f>_xlfn.SWITCH(recruitment_data3[[#This Row],[EducationLevel]], 1,"Bachelor Type 1", 2,"Bachelor Type 2", 3,"Masters", 4,"PhD")</f>
        <v>Bachelor Type 1</v>
      </c>
      <c r="F396" s="5">
        <v>1</v>
      </c>
      <c r="G396" s="5">
        <v>13</v>
      </c>
      <c r="H396" s="5">
        <v>2</v>
      </c>
      <c r="I396" s="5">
        <v>4.9802538496252815</v>
      </c>
      <c r="J396" s="5">
        <v>36</v>
      </c>
      <c r="K396" s="5">
        <v>29</v>
      </c>
      <c r="L396" s="5">
        <v>77</v>
      </c>
      <c r="M396" s="5" t="str">
        <f>_xlfn.SWITCH(recruitment_data3[[#This Row],[RecruitmentStrategy]], 1,"Aggressive", 2,"Moderate", 3,"Conservative")</f>
        <v>Aggressive</v>
      </c>
      <c r="N396" s="5">
        <v>1</v>
      </c>
      <c r="O396" s="5" t="str">
        <f>IF(recruitment_data3[[#This Row],[HiringDecision]]=1,"Hired","Rejected")</f>
        <v>Hired</v>
      </c>
      <c r="P396" s="6">
        <v>1</v>
      </c>
    </row>
    <row r="397" spans="1:16" x14ac:dyDescent="0.25">
      <c r="A397" s="4" t="str">
        <f t="shared" si="6"/>
        <v>C0396</v>
      </c>
      <c r="B397" s="4">
        <v>22</v>
      </c>
      <c r="C397" s="5" t="str">
        <f>IF(recruitment_data3[[#This Row],[Gender]]=1,"Female","Male")</f>
        <v>Female</v>
      </c>
      <c r="D397" s="5">
        <v>1</v>
      </c>
      <c r="E397" s="5" t="str">
        <f>_xlfn.SWITCH(recruitment_data3[[#This Row],[EducationLevel]], 1,"Bachelor Type 1", 2,"Bachelor Type 2", 3,"Masters", 4,"PhD")</f>
        <v>Bachelor Type 1</v>
      </c>
      <c r="F397" s="5">
        <v>1</v>
      </c>
      <c r="G397" s="5">
        <v>10</v>
      </c>
      <c r="H397" s="5">
        <v>4</v>
      </c>
      <c r="I397" s="5">
        <v>36.347815924671131</v>
      </c>
      <c r="J397" s="5">
        <v>3</v>
      </c>
      <c r="K397" s="5">
        <v>72</v>
      </c>
      <c r="L397" s="5">
        <v>71</v>
      </c>
      <c r="M397" s="5" t="str">
        <f>_xlfn.SWITCH(recruitment_data3[[#This Row],[RecruitmentStrategy]], 1,"Aggressive", 2,"Moderate", 3,"Conservative")</f>
        <v>Moderate</v>
      </c>
      <c r="N397" s="5">
        <v>2</v>
      </c>
      <c r="O397" s="5" t="str">
        <f>IF(recruitment_data3[[#This Row],[HiringDecision]]=1,"Hired","Rejected")</f>
        <v>Rejected</v>
      </c>
      <c r="P397" s="6">
        <v>0</v>
      </c>
    </row>
    <row r="398" spans="1:16" x14ac:dyDescent="0.25">
      <c r="A398" s="4" t="str">
        <f t="shared" si="6"/>
        <v>C0397</v>
      </c>
      <c r="B398" s="4">
        <v>35</v>
      </c>
      <c r="C398" s="5" t="str">
        <f>IF(recruitment_data3[[#This Row],[Gender]]=1,"Female","Male")</f>
        <v>Male</v>
      </c>
      <c r="D398" s="5">
        <v>0</v>
      </c>
      <c r="E398" s="5" t="str">
        <f>_xlfn.SWITCH(recruitment_data3[[#This Row],[EducationLevel]], 1,"Bachelor Type 1", 2,"Bachelor Type 2", 3,"Masters", 4,"PhD")</f>
        <v>Bachelor Type 1</v>
      </c>
      <c r="F398" s="5">
        <v>1</v>
      </c>
      <c r="G398" s="5">
        <v>15</v>
      </c>
      <c r="H398" s="5">
        <v>4</v>
      </c>
      <c r="I398" s="5">
        <v>33.717322982642884</v>
      </c>
      <c r="J398" s="5">
        <v>76</v>
      </c>
      <c r="K398" s="5">
        <v>5</v>
      </c>
      <c r="L398" s="5">
        <v>11</v>
      </c>
      <c r="M398" s="5" t="str">
        <f>_xlfn.SWITCH(recruitment_data3[[#This Row],[RecruitmentStrategy]], 1,"Aggressive", 2,"Moderate", 3,"Conservative")</f>
        <v>Aggressive</v>
      </c>
      <c r="N398" s="5">
        <v>1</v>
      </c>
      <c r="O398" s="5" t="str">
        <f>IF(recruitment_data3[[#This Row],[HiringDecision]]=1,"Hired","Rejected")</f>
        <v>Hired</v>
      </c>
      <c r="P398" s="6">
        <v>1</v>
      </c>
    </row>
    <row r="399" spans="1:16" x14ac:dyDescent="0.25">
      <c r="A399" s="4" t="str">
        <f t="shared" si="6"/>
        <v>C0398</v>
      </c>
      <c r="B399" s="4">
        <v>49</v>
      </c>
      <c r="C399" s="5" t="str">
        <f>IF(recruitment_data3[[#This Row],[Gender]]=1,"Female","Male")</f>
        <v>Female</v>
      </c>
      <c r="D399" s="5">
        <v>1</v>
      </c>
      <c r="E399" s="5" t="str">
        <f>_xlfn.SWITCH(recruitment_data3[[#This Row],[EducationLevel]], 1,"Bachelor Type 1", 2,"Bachelor Type 2", 3,"Masters", 4,"PhD")</f>
        <v>Bachelor Type 1</v>
      </c>
      <c r="F399" s="5">
        <v>1</v>
      </c>
      <c r="G399" s="5">
        <v>9</v>
      </c>
      <c r="H399" s="5">
        <v>2</v>
      </c>
      <c r="I399" s="5">
        <v>44.625997591468121</v>
      </c>
      <c r="J399" s="5">
        <v>88</v>
      </c>
      <c r="K399" s="5">
        <v>88</v>
      </c>
      <c r="L399" s="5">
        <v>25</v>
      </c>
      <c r="M399" s="5" t="str">
        <f>_xlfn.SWITCH(recruitment_data3[[#This Row],[RecruitmentStrategy]], 1,"Aggressive", 2,"Moderate", 3,"Conservative")</f>
        <v>Moderate</v>
      </c>
      <c r="N399" s="5">
        <v>2</v>
      </c>
      <c r="O399" s="5" t="str">
        <f>IF(recruitment_data3[[#This Row],[HiringDecision]]=1,"Hired","Rejected")</f>
        <v>Rejected</v>
      </c>
      <c r="P399" s="6">
        <v>0</v>
      </c>
    </row>
    <row r="400" spans="1:16" x14ac:dyDescent="0.25">
      <c r="A400" s="4" t="str">
        <f t="shared" si="6"/>
        <v>C0399</v>
      </c>
      <c r="B400" s="4">
        <v>44</v>
      </c>
      <c r="C400" s="5" t="str">
        <f>IF(recruitment_data3[[#This Row],[Gender]]=1,"Female","Male")</f>
        <v>Male</v>
      </c>
      <c r="D400" s="5">
        <v>0</v>
      </c>
      <c r="E400" s="5" t="str">
        <f>_xlfn.SWITCH(recruitment_data3[[#This Row],[EducationLevel]], 1,"Bachelor Type 1", 2,"Bachelor Type 2", 3,"Masters", 4,"PhD")</f>
        <v>Bachelor Type 2</v>
      </c>
      <c r="F400" s="5">
        <v>2</v>
      </c>
      <c r="G400" s="5">
        <v>2</v>
      </c>
      <c r="H400" s="5">
        <v>1</v>
      </c>
      <c r="I400" s="5">
        <v>13.207378025345362</v>
      </c>
      <c r="J400" s="5">
        <v>76</v>
      </c>
      <c r="K400" s="5">
        <v>18</v>
      </c>
      <c r="L400" s="5">
        <v>26</v>
      </c>
      <c r="M400" s="5" t="str">
        <f>_xlfn.SWITCH(recruitment_data3[[#This Row],[RecruitmentStrategy]], 1,"Aggressive", 2,"Moderate", 3,"Conservative")</f>
        <v>Aggressive</v>
      </c>
      <c r="N400" s="5">
        <v>1</v>
      </c>
      <c r="O400" s="5" t="str">
        <f>IF(recruitment_data3[[#This Row],[HiringDecision]]=1,"Hired","Rejected")</f>
        <v>Rejected</v>
      </c>
      <c r="P400" s="6">
        <v>0</v>
      </c>
    </row>
    <row r="401" spans="1:16" x14ac:dyDescent="0.25">
      <c r="A401" s="4" t="str">
        <f t="shared" si="6"/>
        <v>C0400</v>
      </c>
      <c r="B401" s="4">
        <v>22</v>
      </c>
      <c r="C401" s="5" t="str">
        <f>IF(recruitment_data3[[#This Row],[Gender]]=1,"Female","Male")</f>
        <v>Male</v>
      </c>
      <c r="D401" s="5">
        <v>0</v>
      </c>
      <c r="E401" s="5" t="str">
        <f>_xlfn.SWITCH(recruitment_data3[[#This Row],[EducationLevel]], 1,"Bachelor Type 1", 2,"Bachelor Type 2", 3,"Masters", 4,"PhD")</f>
        <v>Bachelor Type 2</v>
      </c>
      <c r="F401" s="5">
        <v>2</v>
      </c>
      <c r="G401" s="5">
        <v>13</v>
      </c>
      <c r="H401" s="5">
        <v>3</v>
      </c>
      <c r="I401" s="5">
        <v>23.505492934251482</v>
      </c>
      <c r="J401" s="5">
        <v>17</v>
      </c>
      <c r="K401" s="5">
        <v>79</v>
      </c>
      <c r="L401" s="5">
        <v>28</v>
      </c>
      <c r="M401" s="5" t="str">
        <f>_xlfn.SWITCH(recruitment_data3[[#This Row],[RecruitmentStrategy]], 1,"Aggressive", 2,"Moderate", 3,"Conservative")</f>
        <v>Moderate</v>
      </c>
      <c r="N401" s="5">
        <v>2</v>
      </c>
      <c r="O401" s="5" t="str">
        <f>IF(recruitment_data3[[#This Row],[HiringDecision]]=1,"Hired","Rejected")</f>
        <v>Rejected</v>
      </c>
      <c r="P401" s="6">
        <v>0</v>
      </c>
    </row>
    <row r="402" spans="1:16" x14ac:dyDescent="0.25">
      <c r="A402" s="4" t="str">
        <f t="shared" si="6"/>
        <v>C0401</v>
      </c>
      <c r="B402" s="4">
        <v>44</v>
      </c>
      <c r="C402" s="5" t="str">
        <f>IF(recruitment_data3[[#This Row],[Gender]]=1,"Female","Male")</f>
        <v>Female</v>
      </c>
      <c r="D402" s="5">
        <v>1</v>
      </c>
      <c r="E402" s="5" t="str">
        <f>_xlfn.SWITCH(recruitment_data3[[#This Row],[EducationLevel]], 1,"Bachelor Type 1", 2,"Bachelor Type 2", 3,"Masters", 4,"PhD")</f>
        <v>Masters</v>
      </c>
      <c r="F402" s="5">
        <v>3</v>
      </c>
      <c r="G402" s="5">
        <v>9</v>
      </c>
      <c r="H402" s="5">
        <v>4</v>
      </c>
      <c r="I402" s="5">
        <v>47.291368722175868</v>
      </c>
      <c r="J402" s="5">
        <v>87</v>
      </c>
      <c r="K402" s="5">
        <v>84</v>
      </c>
      <c r="L402" s="5">
        <v>14</v>
      </c>
      <c r="M402" s="5" t="str">
        <f>_xlfn.SWITCH(recruitment_data3[[#This Row],[RecruitmentStrategy]], 1,"Aggressive", 2,"Moderate", 3,"Conservative")</f>
        <v>Moderate</v>
      </c>
      <c r="N402" s="5">
        <v>2</v>
      </c>
      <c r="O402" s="5" t="str">
        <f>IF(recruitment_data3[[#This Row],[HiringDecision]]=1,"Hired","Rejected")</f>
        <v>Hired</v>
      </c>
      <c r="P402" s="6">
        <v>1</v>
      </c>
    </row>
    <row r="403" spans="1:16" x14ac:dyDescent="0.25">
      <c r="A403" s="4" t="str">
        <f t="shared" si="6"/>
        <v>C0402</v>
      </c>
      <c r="B403" s="4">
        <v>48</v>
      </c>
      <c r="C403" s="5" t="str">
        <f>IF(recruitment_data3[[#This Row],[Gender]]=1,"Female","Male")</f>
        <v>Male</v>
      </c>
      <c r="D403" s="5">
        <v>0</v>
      </c>
      <c r="E403" s="5" t="str">
        <f>_xlfn.SWITCH(recruitment_data3[[#This Row],[EducationLevel]], 1,"Bachelor Type 1", 2,"Bachelor Type 2", 3,"Masters", 4,"PhD")</f>
        <v>Bachelor Type 2</v>
      </c>
      <c r="F403" s="5">
        <v>2</v>
      </c>
      <c r="G403" s="5">
        <v>9</v>
      </c>
      <c r="H403" s="5">
        <v>4</v>
      </c>
      <c r="I403" s="5">
        <v>33.999672506765862</v>
      </c>
      <c r="J403" s="5">
        <v>65</v>
      </c>
      <c r="K403" s="5">
        <v>65</v>
      </c>
      <c r="L403" s="5">
        <v>45</v>
      </c>
      <c r="M403" s="5" t="str">
        <f>_xlfn.SWITCH(recruitment_data3[[#This Row],[RecruitmentStrategy]], 1,"Aggressive", 2,"Moderate", 3,"Conservative")</f>
        <v>Aggressive</v>
      </c>
      <c r="N403" s="5">
        <v>1</v>
      </c>
      <c r="O403" s="5" t="str">
        <f>IF(recruitment_data3[[#This Row],[HiringDecision]]=1,"Hired","Rejected")</f>
        <v>Hired</v>
      </c>
      <c r="P403" s="6">
        <v>1</v>
      </c>
    </row>
    <row r="404" spans="1:16" x14ac:dyDescent="0.25">
      <c r="A404" s="4" t="str">
        <f t="shared" si="6"/>
        <v>C0403</v>
      </c>
      <c r="B404" s="4">
        <v>37</v>
      </c>
      <c r="C404" s="5" t="str">
        <f>IF(recruitment_data3[[#This Row],[Gender]]=1,"Female","Male")</f>
        <v>Male</v>
      </c>
      <c r="D404" s="5">
        <v>0</v>
      </c>
      <c r="E404" s="5" t="str">
        <f>_xlfn.SWITCH(recruitment_data3[[#This Row],[EducationLevel]], 1,"Bachelor Type 1", 2,"Bachelor Type 2", 3,"Masters", 4,"PhD")</f>
        <v>Masters</v>
      </c>
      <c r="F404" s="5">
        <v>3</v>
      </c>
      <c r="G404" s="5">
        <v>14</v>
      </c>
      <c r="H404" s="5">
        <v>3</v>
      </c>
      <c r="I404" s="5">
        <v>20.438420643079844</v>
      </c>
      <c r="J404" s="5">
        <v>47</v>
      </c>
      <c r="K404" s="5">
        <v>9</v>
      </c>
      <c r="L404" s="5">
        <v>0</v>
      </c>
      <c r="M404" s="5" t="str">
        <f>_xlfn.SWITCH(recruitment_data3[[#This Row],[RecruitmentStrategy]], 1,"Aggressive", 2,"Moderate", 3,"Conservative")</f>
        <v>Moderate</v>
      </c>
      <c r="N404" s="5">
        <v>2</v>
      </c>
      <c r="O404" s="5" t="str">
        <f>IF(recruitment_data3[[#This Row],[HiringDecision]]=1,"Hired","Rejected")</f>
        <v>Rejected</v>
      </c>
      <c r="P404" s="6">
        <v>0</v>
      </c>
    </row>
    <row r="405" spans="1:16" x14ac:dyDescent="0.25">
      <c r="A405" s="4" t="str">
        <f t="shared" si="6"/>
        <v>C0404</v>
      </c>
      <c r="B405" s="4">
        <v>33</v>
      </c>
      <c r="C405" s="5" t="str">
        <f>IF(recruitment_data3[[#This Row],[Gender]]=1,"Female","Male")</f>
        <v>Female</v>
      </c>
      <c r="D405" s="5">
        <v>1</v>
      </c>
      <c r="E405" s="5" t="str">
        <f>_xlfn.SWITCH(recruitment_data3[[#This Row],[EducationLevel]], 1,"Bachelor Type 1", 2,"Bachelor Type 2", 3,"Masters", 4,"PhD")</f>
        <v>Bachelor Type 1</v>
      </c>
      <c r="F405" s="5">
        <v>1</v>
      </c>
      <c r="G405" s="5">
        <v>11</v>
      </c>
      <c r="H405" s="5">
        <v>2</v>
      </c>
      <c r="I405" s="5">
        <v>7.5706191427634231</v>
      </c>
      <c r="J405" s="5">
        <v>32</v>
      </c>
      <c r="K405" s="5">
        <v>15</v>
      </c>
      <c r="L405" s="5">
        <v>59</v>
      </c>
      <c r="M405" s="5" t="str">
        <f>_xlfn.SWITCH(recruitment_data3[[#This Row],[RecruitmentStrategy]], 1,"Aggressive", 2,"Moderate", 3,"Conservative")</f>
        <v>Moderate</v>
      </c>
      <c r="N405" s="5">
        <v>2</v>
      </c>
      <c r="O405" s="5" t="str">
        <f>IF(recruitment_data3[[#This Row],[HiringDecision]]=1,"Hired","Rejected")</f>
        <v>Rejected</v>
      </c>
      <c r="P405" s="6">
        <v>0</v>
      </c>
    </row>
    <row r="406" spans="1:16" x14ac:dyDescent="0.25">
      <c r="A406" s="4" t="str">
        <f t="shared" si="6"/>
        <v>C0405</v>
      </c>
      <c r="B406" s="4">
        <v>37</v>
      </c>
      <c r="C406" s="5" t="str">
        <f>IF(recruitment_data3[[#This Row],[Gender]]=1,"Female","Male")</f>
        <v>Male</v>
      </c>
      <c r="D406" s="5">
        <v>0</v>
      </c>
      <c r="E406" s="5" t="str">
        <f>_xlfn.SWITCH(recruitment_data3[[#This Row],[EducationLevel]], 1,"Bachelor Type 1", 2,"Bachelor Type 2", 3,"Masters", 4,"PhD")</f>
        <v>Bachelor Type 2</v>
      </c>
      <c r="F406" s="5">
        <v>2</v>
      </c>
      <c r="G406" s="5">
        <v>2</v>
      </c>
      <c r="H406" s="5">
        <v>1</v>
      </c>
      <c r="I406" s="5">
        <v>14.124250395029552</v>
      </c>
      <c r="J406" s="5">
        <v>57</v>
      </c>
      <c r="K406" s="5">
        <v>36</v>
      </c>
      <c r="L406" s="5">
        <v>91</v>
      </c>
      <c r="M406" s="5" t="str">
        <f>_xlfn.SWITCH(recruitment_data3[[#This Row],[RecruitmentStrategy]], 1,"Aggressive", 2,"Moderate", 3,"Conservative")</f>
        <v>Aggressive</v>
      </c>
      <c r="N406" s="5">
        <v>1</v>
      </c>
      <c r="O406" s="5" t="str">
        <f>IF(recruitment_data3[[#This Row],[HiringDecision]]=1,"Hired","Rejected")</f>
        <v>Rejected</v>
      </c>
      <c r="P406" s="6">
        <v>0</v>
      </c>
    </row>
    <row r="407" spans="1:16" x14ac:dyDescent="0.25">
      <c r="A407" s="4" t="str">
        <f t="shared" si="6"/>
        <v>C0406</v>
      </c>
      <c r="B407" s="4">
        <v>21</v>
      </c>
      <c r="C407" s="5" t="str">
        <f>IF(recruitment_data3[[#This Row],[Gender]]=1,"Female","Male")</f>
        <v>Male</v>
      </c>
      <c r="D407" s="5">
        <v>0</v>
      </c>
      <c r="E407" s="5" t="str">
        <f>_xlfn.SWITCH(recruitment_data3[[#This Row],[EducationLevel]], 1,"Bachelor Type 1", 2,"Bachelor Type 2", 3,"Masters", 4,"PhD")</f>
        <v>Masters</v>
      </c>
      <c r="F407" s="5">
        <v>3</v>
      </c>
      <c r="G407" s="5">
        <v>3</v>
      </c>
      <c r="H407" s="5">
        <v>2</v>
      </c>
      <c r="I407" s="5">
        <v>30.060773874469163</v>
      </c>
      <c r="J407" s="5">
        <v>82</v>
      </c>
      <c r="K407" s="5">
        <v>78</v>
      </c>
      <c r="L407" s="5">
        <v>56</v>
      </c>
      <c r="M407" s="5" t="str">
        <f>_xlfn.SWITCH(recruitment_data3[[#This Row],[RecruitmentStrategy]], 1,"Aggressive", 2,"Moderate", 3,"Conservative")</f>
        <v>Aggressive</v>
      </c>
      <c r="N407" s="5">
        <v>1</v>
      </c>
      <c r="O407" s="5" t="str">
        <f>IF(recruitment_data3[[#This Row],[HiringDecision]]=1,"Hired","Rejected")</f>
        <v>Hired</v>
      </c>
      <c r="P407" s="6">
        <v>1</v>
      </c>
    </row>
    <row r="408" spans="1:16" x14ac:dyDescent="0.25">
      <c r="A408" s="4" t="str">
        <f t="shared" si="6"/>
        <v>C0407</v>
      </c>
      <c r="B408" s="4">
        <v>41</v>
      </c>
      <c r="C408" s="5" t="str">
        <f>IF(recruitment_data3[[#This Row],[Gender]]=1,"Female","Male")</f>
        <v>Male</v>
      </c>
      <c r="D408" s="5">
        <v>0</v>
      </c>
      <c r="E408" s="5" t="str">
        <f>_xlfn.SWITCH(recruitment_data3[[#This Row],[EducationLevel]], 1,"Bachelor Type 1", 2,"Bachelor Type 2", 3,"Masters", 4,"PhD")</f>
        <v>Bachelor Type 1</v>
      </c>
      <c r="F408" s="5">
        <v>1</v>
      </c>
      <c r="G408" s="5">
        <v>1</v>
      </c>
      <c r="H408" s="5">
        <v>5</v>
      </c>
      <c r="I408" s="5">
        <v>36.908397378025683</v>
      </c>
      <c r="J408" s="5">
        <v>72</v>
      </c>
      <c r="K408" s="5">
        <v>76</v>
      </c>
      <c r="L408" s="5">
        <v>2</v>
      </c>
      <c r="M408" s="5" t="str">
        <f>_xlfn.SWITCH(recruitment_data3[[#This Row],[RecruitmentStrategy]], 1,"Aggressive", 2,"Moderate", 3,"Conservative")</f>
        <v>Moderate</v>
      </c>
      <c r="N408" s="5">
        <v>2</v>
      </c>
      <c r="O408" s="5" t="str">
        <f>IF(recruitment_data3[[#This Row],[HiringDecision]]=1,"Hired","Rejected")</f>
        <v>Rejected</v>
      </c>
      <c r="P408" s="6">
        <v>0</v>
      </c>
    </row>
    <row r="409" spans="1:16" x14ac:dyDescent="0.25">
      <c r="A409" s="4" t="str">
        <f t="shared" si="6"/>
        <v>C0408</v>
      </c>
      <c r="B409" s="4">
        <v>22</v>
      </c>
      <c r="C409" s="5" t="str">
        <f>IF(recruitment_data3[[#This Row],[Gender]]=1,"Female","Male")</f>
        <v>Female</v>
      </c>
      <c r="D409" s="5">
        <v>1</v>
      </c>
      <c r="E409" s="5" t="str">
        <f>_xlfn.SWITCH(recruitment_data3[[#This Row],[EducationLevel]], 1,"Bachelor Type 1", 2,"Bachelor Type 2", 3,"Masters", 4,"PhD")</f>
        <v>Bachelor Type 2</v>
      </c>
      <c r="F409" s="5">
        <v>2</v>
      </c>
      <c r="G409" s="5">
        <v>8</v>
      </c>
      <c r="H409" s="5">
        <v>4</v>
      </c>
      <c r="I409" s="5">
        <v>7.2210943425946743</v>
      </c>
      <c r="J409" s="5">
        <v>27</v>
      </c>
      <c r="K409" s="5">
        <v>76</v>
      </c>
      <c r="L409" s="5">
        <v>17</v>
      </c>
      <c r="M409" s="5" t="str">
        <f>_xlfn.SWITCH(recruitment_data3[[#This Row],[RecruitmentStrategy]], 1,"Aggressive", 2,"Moderate", 3,"Conservative")</f>
        <v>Moderate</v>
      </c>
      <c r="N409" s="5">
        <v>2</v>
      </c>
      <c r="O409" s="5" t="str">
        <f>IF(recruitment_data3[[#This Row],[HiringDecision]]=1,"Hired","Rejected")</f>
        <v>Rejected</v>
      </c>
      <c r="P409" s="6">
        <v>0</v>
      </c>
    </row>
    <row r="410" spans="1:16" x14ac:dyDescent="0.25">
      <c r="A410" s="4" t="str">
        <f t="shared" si="6"/>
        <v>C0409</v>
      </c>
      <c r="B410" s="4">
        <v>35</v>
      </c>
      <c r="C410" s="5" t="str">
        <f>IF(recruitment_data3[[#This Row],[Gender]]=1,"Female","Male")</f>
        <v>Male</v>
      </c>
      <c r="D410" s="5">
        <v>0</v>
      </c>
      <c r="E410" s="5" t="str">
        <f>_xlfn.SWITCH(recruitment_data3[[#This Row],[EducationLevel]], 1,"Bachelor Type 1", 2,"Bachelor Type 2", 3,"Masters", 4,"PhD")</f>
        <v>Bachelor Type 2</v>
      </c>
      <c r="F410" s="5">
        <v>2</v>
      </c>
      <c r="G410" s="5">
        <v>9</v>
      </c>
      <c r="H410" s="5">
        <v>5</v>
      </c>
      <c r="I410" s="5">
        <v>30.979863002202698</v>
      </c>
      <c r="J410" s="5">
        <v>34</v>
      </c>
      <c r="K410" s="5">
        <v>31</v>
      </c>
      <c r="L410" s="5">
        <v>51</v>
      </c>
      <c r="M410" s="5" t="str">
        <f>_xlfn.SWITCH(recruitment_data3[[#This Row],[RecruitmentStrategy]], 1,"Aggressive", 2,"Moderate", 3,"Conservative")</f>
        <v>Moderate</v>
      </c>
      <c r="N410" s="5">
        <v>2</v>
      </c>
      <c r="O410" s="5" t="str">
        <f>IF(recruitment_data3[[#This Row],[HiringDecision]]=1,"Hired","Rejected")</f>
        <v>Rejected</v>
      </c>
      <c r="P410" s="6">
        <v>0</v>
      </c>
    </row>
    <row r="411" spans="1:16" x14ac:dyDescent="0.25">
      <c r="A411" s="4" t="str">
        <f t="shared" si="6"/>
        <v>C0410</v>
      </c>
      <c r="B411" s="4">
        <v>48</v>
      </c>
      <c r="C411" s="5" t="str">
        <f>IF(recruitment_data3[[#This Row],[Gender]]=1,"Female","Male")</f>
        <v>Female</v>
      </c>
      <c r="D411" s="5">
        <v>1</v>
      </c>
      <c r="E411" s="5" t="str">
        <f>_xlfn.SWITCH(recruitment_data3[[#This Row],[EducationLevel]], 1,"Bachelor Type 1", 2,"Bachelor Type 2", 3,"Masters", 4,"PhD")</f>
        <v>Bachelor Type 2</v>
      </c>
      <c r="F411" s="5">
        <v>2</v>
      </c>
      <c r="G411" s="5">
        <v>11</v>
      </c>
      <c r="H411" s="5">
        <v>4</v>
      </c>
      <c r="I411" s="5">
        <v>28.517563941937549</v>
      </c>
      <c r="J411" s="5">
        <v>9</v>
      </c>
      <c r="K411" s="5">
        <v>46</v>
      </c>
      <c r="L411" s="5">
        <v>59</v>
      </c>
      <c r="M411" s="5" t="str">
        <f>_xlfn.SWITCH(recruitment_data3[[#This Row],[RecruitmentStrategy]], 1,"Aggressive", 2,"Moderate", 3,"Conservative")</f>
        <v>Aggressive</v>
      </c>
      <c r="N411" s="5">
        <v>1</v>
      </c>
      <c r="O411" s="5" t="str">
        <f>IF(recruitment_data3[[#This Row],[HiringDecision]]=1,"Hired","Rejected")</f>
        <v>Rejected</v>
      </c>
      <c r="P411" s="6">
        <v>0</v>
      </c>
    </row>
    <row r="412" spans="1:16" x14ac:dyDescent="0.25">
      <c r="A412" s="4" t="str">
        <f t="shared" si="6"/>
        <v>C0411</v>
      </c>
      <c r="B412" s="4">
        <v>28</v>
      </c>
      <c r="C412" s="5" t="str">
        <f>IF(recruitment_data3[[#This Row],[Gender]]=1,"Female","Male")</f>
        <v>Female</v>
      </c>
      <c r="D412" s="5">
        <v>1</v>
      </c>
      <c r="E412" s="5" t="str">
        <f>_xlfn.SWITCH(recruitment_data3[[#This Row],[EducationLevel]], 1,"Bachelor Type 1", 2,"Bachelor Type 2", 3,"Masters", 4,"PhD")</f>
        <v>Bachelor Type 1</v>
      </c>
      <c r="F412" s="5">
        <v>1</v>
      </c>
      <c r="G412" s="5">
        <v>10</v>
      </c>
      <c r="H412" s="5">
        <v>4</v>
      </c>
      <c r="I412" s="5">
        <v>26.697772334535401</v>
      </c>
      <c r="J412" s="5">
        <v>64</v>
      </c>
      <c r="K412" s="5">
        <v>71</v>
      </c>
      <c r="L412" s="5">
        <v>33</v>
      </c>
      <c r="M412" s="5" t="str">
        <f>_xlfn.SWITCH(recruitment_data3[[#This Row],[RecruitmentStrategy]], 1,"Aggressive", 2,"Moderate", 3,"Conservative")</f>
        <v>Moderate</v>
      </c>
      <c r="N412" s="5">
        <v>2</v>
      </c>
      <c r="O412" s="5" t="str">
        <f>IF(recruitment_data3[[#This Row],[HiringDecision]]=1,"Hired","Rejected")</f>
        <v>Rejected</v>
      </c>
      <c r="P412" s="6">
        <v>0</v>
      </c>
    </row>
    <row r="413" spans="1:16" x14ac:dyDescent="0.25">
      <c r="A413" s="4" t="str">
        <f t="shared" si="6"/>
        <v>C0412</v>
      </c>
      <c r="B413" s="4">
        <v>23</v>
      </c>
      <c r="C413" s="5" t="str">
        <f>IF(recruitment_data3[[#This Row],[Gender]]=1,"Female","Male")</f>
        <v>Male</v>
      </c>
      <c r="D413" s="5">
        <v>0</v>
      </c>
      <c r="E413" s="5" t="str">
        <f>_xlfn.SWITCH(recruitment_data3[[#This Row],[EducationLevel]], 1,"Bachelor Type 1", 2,"Bachelor Type 2", 3,"Masters", 4,"PhD")</f>
        <v>Bachelor Type 2</v>
      </c>
      <c r="F413" s="5">
        <v>2</v>
      </c>
      <c r="G413" s="5">
        <v>13</v>
      </c>
      <c r="H413" s="5">
        <v>5</v>
      </c>
      <c r="I413" s="5">
        <v>35.506155884100394</v>
      </c>
      <c r="J413" s="5">
        <v>41</v>
      </c>
      <c r="K413" s="5">
        <v>42</v>
      </c>
      <c r="L413" s="5">
        <v>95</v>
      </c>
      <c r="M413" s="5" t="str">
        <f>_xlfn.SWITCH(recruitment_data3[[#This Row],[RecruitmentStrategy]], 1,"Aggressive", 2,"Moderate", 3,"Conservative")</f>
        <v>Aggressive</v>
      </c>
      <c r="N413" s="5">
        <v>1</v>
      </c>
      <c r="O413" s="5" t="str">
        <f>IF(recruitment_data3[[#This Row],[HiringDecision]]=1,"Hired","Rejected")</f>
        <v>Hired</v>
      </c>
      <c r="P413" s="6">
        <v>1</v>
      </c>
    </row>
    <row r="414" spans="1:16" x14ac:dyDescent="0.25">
      <c r="A414" s="4" t="str">
        <f t="shared" si="6"/>
        <v>C0413</v>
      </c>
      <c r="B414" s="4">
        <v>20</v>
      </c>
      <c r="C414" s="5" t="str">
        <f>IF(recruitment_data3[[#This Row],[Gender]]=1,"Female","Male")</f>
        <v>Male</v>
      </c>
      <c r="D414" s="5">
        <v>0</v>
      </c>
      <c r="E414" s="5" t="str">
        <f>_xlfn.SWITCH(recruitment_data3[[#This Row],[EducationLevel]], 1,"Bachelor Type 1", 2,"Bachelor Type 2", 3,"Masters", 4,"PhD")</f>
        <v>Bachelor Type 2</v>
      </c>
      <c r="F414" s="5">
        <v>2</v>
      </c>
      <c r="G414" s="5">
        <v>6</v>
      </c>
      <c r="H414" s="5">
        <v>5</v>
      </c>
      <c r="I414" s="5">
        <v>42.872479754173092</v>
      </c>
      <c r="J414" s="5">
        <v>84</v>
      </c>
      <c r="K414" s="5">
        <v>81</v>
      </c>
      <c r="L414" s="5">
        <v>92</v>
      </c>
      <c r="M414" s="5" t="str">
        <f>_xlfn.SWITCH(recruitment_data3[[#This Row],[RecruitmentStrategy]], 1,"Aggressive", 2,"Moderate", 3,"Conservative")</f>
        <v>Conservative</v>
      </c>
      <c r="N414" s="5">
        <v>3</v>
      </c>
      <c r="O414" s="5" t="str">
        <f>IF(recruitment_data3[[#This Row],[HiringDecision]]=1,"Hired","Rejected")</f>
        <v>Hired</v>
      </c>
      <c r="P414" s="6">
        <v>1</v>
      </c>
    </row>
    <row r="415" spans="1:16" x14ac:dyDescent="0.25">
      <c r="A415" s="4" t="str">
        <f t="shared" si="6"/>
        <v>C0414</v>
      </c>
      <c r="B415" s="4">
        <v>23</v>
      </c>
      <c r="C415" s="5" t="str">
        <f>IF(recruitment_data3[[#This Row],[Gender]]=1,"Female","Male")</f>
        <v>Male</v>
      </c>
      <c r="D415" s="5">
        <v>0</v>
      </c>
      <c r="E415" s="5" t="str">
        <f>_xlfn.SWITCH(recruitment_data3[[#This Row],[EducationLevel]], 1,"Bachelor Type 1", 2,"Bachelor Type 2", 3,"Masters", 4,"PhD")</f>
        <v>Bachelor Type 1</v>
      </c>
      <c r="F415" s="5">
        <v>1</v>
      </c>
      <c r="G415" s="5">
        <v>6</v>
      </c>
      <c r="H415" s="5">
        <v>2</v>
      </c>
      <c r="I415" s="5">
        <v>17.149484158843418</v>
      </c>
      <c r="J415" s="5">
        <v>8</v>
      </c>
      <c r="K415" s="5">
        <v>35</v>
      </c>
      <c r="L415" s="5">
        <v>88</v>
      </c>
      <c r="M415" s="5" t="str">
        <f>_xlfn.SWITCH(recruitment_data3[[#This Row],[RecruitmentStrategy]], 1,"Aggressive", 2,"Moderate", 3,"Conservative")</f>
        <v>Moderate</v>
      </c>
      <c r="N415" s="5">
        <v>2</v>
      </c>
      <c r="O415" s="5" t="str">
        <f>IF(recruitment_data3[[#This Row],[HiringDecision]]=1,"Hired","Rejected")</f>
        <v>Rejected</v>
      </c>
      <c r="P415" s="6">
        <v>0</v>
      </c>
    </row>
    <row r="416" spans="1:16" x14ac:dyDescent="0.25">
      <c r="A416" s="4" t="str">
        <f t="shared" si="6"/>
        <v>C0415</v>
      </c>
      <c r="B416" s="4">
        <v>20</v>
      </c>
      <c r="C416" s="5" t="str">
        <f>IF(recruitment_data3[[#This Row],[Gender]]=1,"Female","Male")</f>
        <v>Female</v>
      </c>
      <c r="D416" s="5">
        <v>1</v>
      </c>
      <c r="E416" s="5" t="str">
        <f>_xlfn.SWITCH(recruitment_data3[[#This Row],[EducationLevel]], 1,"Bachelor Type 1", 2,"Bachelor Type 2", 3,"Masters", 4,"PhD")</f>
        <v>Bachelor Type 2</v>
      </c>
      <c r="F416" s="5">
        <v>2</v>
      </c>
      <c r="G416" s="5">
        <v>14</v>
      </c>
      <c r="H416" s="5">
        <v>5</v>
      </c>
      <c r="I416" s="5">
        <v>45.450609505547973</v>
      </c>
      <c r="J416" s="5">
        <v>59</v>
      </c>
      <c r="K416" s="5">
        <v>25</v>
      </c>
      <c r="L416" s="5">
        <v>59</v>
      </c>
      <c r="M416" s="5" t="str">
        <f>_xlfn.SWITCH(recruitment_data3[[#This Row],[RecruitmentStrategy]], 1,"Aggressive", 2,"Moderate", 3,"Conservative")</f>
        <v>Conservative</v>
      </c>
      <c r="N416" s="5">
        <v>3</v>
      </c>
      <c r="O416" s="5" t="str">
        <f>IF(recruitment_data3[[#This Row],[HiringDecision]]=1,"Hired","Rejected")</f>
        <v>Rejected</v>
      </c>
      <c r="P416" s="6">
        <v>0</v>
      </c>
    </row>
    <row r="417" spans="1:16" x14ac:dyDescent="0.25">
      <c r="A417" s="4" t="str">
        <f t="shared" si="6"/>
        <v>C0416</v>
      </c>
      <c r="B417" s="4">
        <v>33</v>
      </c>
      <c r="C417" s="5" t="str">
        <f>IF(recruitment_data3[[#This Row],[Gender]]=1,"Female","Male")</f>
        <v>Male</v>
      </c>
      <c r="D417" s="5">
        <v>0</v>
      </c>
      <c r="E417" s="5" t="str">
        <f>_xlfn.SWITCH(recruitment_data3[[#This Row],[EducationLevel]], 1,"Bachelor Type 1", 2,"Bachelor Type 2", 3,"Masters", 4,"PhD")</f>
        <v>Masters</v>
      </c>
      <c r="F417" s="5">
        <v>3</v>
      </c>
      <c r="G417" s="5">
        <v>5</v>
      </c>
      <c r="H417" s="5">
        <v>2</v>
      </c>
      <c r="I417" s="5">
        <v>9.0316806309275339</v>
      </c>
      <c r="J417" s="5">
        <v>14</v>
      </c>
      <c r="K417" s="5">
        <v>9</v>
      </c>
      <c r="L417" s="5">
        <v>25</v>
      </c>
      <c r="M417" s="5" t="str">
        <f>_xlfn.SWITCH(recruitment_data3[[#This Row],[RecruitmentStrategy]], 1,"Aggressive", 2,"Moderate", 3,"Conservative")</f>
        <v>Moderate</v>
      </c>
      <c r="N417" s="5">
        <v>2</v>
      </c>
      <c r="O417" s="5" t="str">
        <f>IF(recruitment_data3[[#This Row],[HiringDecision]]=1,"Hired","Rejected")</f>
        <v>Rejected</v>
      </c>
      <c r="P417" s="6">
        <v>0</v>
      </c>
    </row>
    <row r="418" spans="1:16" x14ac:dyDescent="0.25">
      <c r="A418" s="4" t="str">
        <f t="shared" si="6"/>
        <v>C0417</v>
      </c>
      <c r="B418" s="4">
        <v>40</v>
      </c>
      <c r="C418" s="5" t="str">
        <f>IF(recruitment_data3[[#This Row],[Gender]]=1,"Female","Male")</f>
        <v>Male</v>
      </c>
      <c r="D418" s="5">
        <v>0</v>
      </c>
      <c r="E418" s="5" t="str">
        <f>_xlfn.SWITCH(recruitment_data3[[#This Row],[EducationLevel]], 1,"Bachelor Type 1", 2,"Bachelor Type 2", 3,"Masters", 4,"PhD")</f>
        <v>PhD</v>
      </c>
      <c r="F418" s="5">
        <v>4</v>
      </c>
      <c r="G418" s="5">
        <v>14</v>
      </c>
      <c r="H418" s="5">
        <v>2</v>
      </c>
      <c r="I418" s="5">
        <v>9.651193487558217</v>
      </c>
      <c r="J418" s="5">
        <v>98</v>
      </c>
      <c r="K418" s="5">
        <v>30</v>
      </c>
      <c r="L418" s="5">
        <v>71</v>
      </c>
      <c r="M418" s="5" t="str">
        <f>_xlfn.SWITCH(recruitment_data3[[#This Row],[RecruitmentStrategy]], 1,"Aggressive", 2,"Moderate", 3,"Conservative")</f>
        <v>Moderate</v>
      </c>
      <c r="N418" s="5">
        <v>2</v>
      </c>
      <c r="O418" s="5" t="str">
        <f>IF(recruitment_data3[[#This Row],[HiringDecision]]=1,"Hired","Rejected")</f>
        <v>Hired</v>
      </c>
      <c r="P418" s="6">
        <v>1</v>
      </c>
    </row>
    <row r="419" spans="1:16" x14ac:dyDescent="0.25">
      <c r="A419" s="4" t="str">
        <f t="shared" si="6"/>
        <v>C0418</v>
      </c>
      <c r="B419" s="4">
        <v>35</v>
      </c>
      <c r="C419" s="5" t="str">
        <f>IF(recruitment_data3[[#This Row],[Gender]]=1,"Female","Male")</f>
        <v>Male</v>
      </c>
      <c r="D419" s="5">
        <v>0</v>
      </c>
      <c r="E419" s="5" t="str">
        <f>_xlfn.SWITCH(recruitment_data3[[#This Row],[EducationLevel]], 1,"Bachelor Type 1", 2,"Bachelor Type 2", 3,"Masters", 4,"PhD")</f>
        <v>Bachelor Type 2</v>
      </c>
      <c r="F419" s="5">
        <v>2</v>
      </c>
      <c r="G419" s="5">
        <v>2</v>
      </c>
      <c r="H419" s="5">
        <v>2</v>
      </c>
      <c r="I419" s="5">
        <v>14.338603181196195</v>
      </c>
      <c r="J419" s="5">
        <v>56</v>
      </c>
      <c r="K419" s="5">
        <v>96</v>
      </c>
      <c r="L419" s="5">
        <v>18</v>
      </c>
      <c r="M419" s="5" t="str">
        <f>_xlfn.SWITCH(recruitment_data3[[#This Row],[RecruitmentStrategy]], 1,"Aggressive", 2,"Moderate", 3,"Conservative")</f>
        <v>Moderate</v>
      </c>
      <c r="N419" s="5">
        <v>2</v>
      </c>
      <c r="O419" s="5" t="str">
        <f>IF(recruitment_data3[[#This Row],[HiringDecision]]=1,"Hired","Rejected")</f>
        <v>Rejected</v>
      </c>
      <c r="P419" s="6">
        <v>0</v>
      </c>
    </row>
    <row r="420" spans="1:16" x14ac:dyDescent="0.25">
      <c r="A420" s="4" t="str">
        <f t="shared" si="6"/>
        <v>C0419</v>
      </c>
      <c r="B420" s="4">
        <v>39</v>
      </c>
      <c r="C420" s="5" t="str">
        <f>IF(recruitment_data3[[#This Row],[Gender]]=1,"Female","Male")</f>
        <v>Male</v>
      </c>
      <c r="D420" s="5">
        <v>0</v>
      </c>
      <c r="E420" s="5" t="str">
        <f>_xlfn.SWITCH(recruitment_data3[[#This Row],[EducationLevel]], 1,"Bachelor Type 1", 2,"Bachelor Type 2", 3,"Masters", 4,"PhD")</f>
        <v>Masters</v>
      </c>
      <c r="F420" s="5">
        <v>3</v>
      </c>
      <c r="G420" s="5">
        <v>5</v>
      </c>
      <c r="H420" s="5">
        <v>4</v>
      </c>
      <c r="I420" s="5">
        <v>6.976543477353891</v>
      </c>
      <c r="J420" s="5">
        <v>68</v>
      </c>
      <c r="K420" s="5">
        <v>28</v>
      </c>
      <c r="L420" s="5">
        <v>21</v>
      </c>
      <c r="M420" s="5" t="str">
        <f>_xlfn.SWITCH(recruitment_data3[[#This Row],[RecruitmentStrategy]], 1,"Aggressive", 2,"Moderate", 3,"Conservative")</f>
        <v>Moderate</v>
      </c>
      <c r="N420" s="5">
        <v>2</v>
      </c>
      <c r="O420" s="5" t="str">
        <f>IF(recruitment_data3[[#This Row],[HiringDecision]]=1,"Hired","Rejected")</f>
        <v>Rejected</v>
      </c>
      <c r="P420" s="6">
        <v>0</v>
      </c>
    </row>
    <row r="421" spans="1:16" x14ac:dyDescent="0.25">
      <c r="A421" s="4" t="str">
        <f t="shared" si="6"/>
        <v>C0420</v>
      </c>
      <c r="B421" s="4">
        <v>43</v>
      </c>
      <c r="C421" s="5" t="str">
        <f>IF(recruitment_data3[[#This Row],[Gender]]=1,"Female","Male")</f>
        <v>Male</v>
      </c>
      <c r="D421" s="5">
        <v>0</v>
      </c>
      <c r="E421" s="5" t="str">
        <f>_xlfn.SWITCH(recruitment_data3[[#This Row],[EducationLevel]], 1,"Bachelor Type 1", 2,"Bachelor Type 2", 3,"Masters", 4,"PhD")</f>
        <v>Bachelor Type 2</v>
      </c>
      <c r="F421" s="5">
        <v>2</v>
      </c>
      <c r="G421" s="5">
        <v>14</v>
      </c>
      <c r="H421" s="5">
        <v>4</v>
      </c>
      <c r="I421" s="5">
        <v>12.515961234143878</v>
      </c>
      <c r="J421" s="5">
        <v>21</v>
      </c>
      <c r="K421" s="5">
        <v>4</v>
      </c>
      <c r="L421" s="5">
        <v>92</v>
      </c>
      <c r="M421" s="5" t="str">
        <f>_xlfn.SWITCH(recruitment_data3[[#This Row],[RecruitmentStrategy]], 1,"Aggressive", 2,"Moderate", 3,"Conservative")</f>
        <v>Moderate</v>
      </c>
      <c r="N421" s="5">
        <v>2</v>
      </c>
      <c r="O421" s="5" t="str">
        <f>IF(recruitment_data3[[#This Row],[HiringDecision]]=1,"Hired","Rejected")</f>
        <v>Rejected</v>
      </c>
      <c r="P421" s="6">
        <v>0</v>
      </c>
    </row>
    <row r="422" spans="1:16" x14ac:dyDescent="0.25">
      <c r="A422" s="4" t="str">
        <f t="shared" si="6"/>
        <v>C0421</v>
      </c>
      <c r="B422" s="4">
        <v>27</v>
      </c>
      <c r="C422" s="5" t="str">
        <f>IF(recruitment_data3[[#This Row],[Gender]]=1,"Female","Male")</f>
        <v>Female</v>
      </c>
      <c r="D422" s="5">
        <v>1</v>
      </c>
      <c r="E422" s="5" t="str">
        <f>_xlfn.SWITCH(recruitment_data3[[#This Row],[EducationLevel]], 1,"Bachelor Type 1", 2,"Bachelor Type 2", 3,"Masters", 4,"PhD")</f>
        <v>Bachelor Type 2</v>
      </c>
      <c r="F422" s="5">
        <v>2</v>
      </c>
      <c r="G422" s="5">
        <v>13</v>
      </c>
      <c r="H422" s="5">
        <v>5</v>
      </c>
      <c r="I422" s="5">
        <v>6.3205881451422297</v>
      </c>
      <c r="J422" s="5">
        <v>63</v>
      </c>
      <c r="K422" s="5">
        <v>76</v>
      </c>
      <c r="L422" s="5">
        <v>32</v>
      </c>
      <c r="M422" s="5" t="str">
        <f>_xlfn.SWITCH(recruitment_data3[[#This Row],[RecruitmentStrategy]], 1,"Aggressive", 2,"Moderate", 3,"Conservative")</f>
        <v>Moderate</v>
      </c>
      <c r="N422" s="5">
        <v>2</v>
      </c>
      <c r="O422" s="5" t="str">
        <f>IF(recruitment_data3[[#This Row],[HiringDecision]]=1,"Hired","Rejected")</f>
        <v>Rejected</v>
      </c>
      <c r="P422" s="6">
        <v>0</v>
      </c>
    </row>
    <row r="423" spans="1:16" x14ac:dyDescent="0.25">
      <c r="A423" s="4" t="str">
        <f t="shared" si="6"/>
        <v>C0422</v>
      </c>
      <c r="B423" s="4">
        <v>26</v>
      </c>
      <c r="C423" s="5" t="str">
        <f>IF(recruitment_data3[[#This Row],[Gender]]=1,"Female","Male")</f>
        <v>Female</v>
      </c>
      <c r="D423" s="5">
        <v>1</v>
      </c>
      <c r="E423" s="5" t="str">
        <f>_xlfn.SWITCH(recruitment_data3[[#This Row],[EducationLevel]], 1,"Bachelor Type 1", 2,"Bachelor Type 2", 3,"Masters", 4,"PhD")</f>
        <v>Bachelor Type 1</v>
      </c>
      <c r="F423" s="5">
        <v>1</v>
      </c>
      <c r="G423" s="5">
        <v>11</v>
      </c>
      <c r="H423" s="5">
        <v>4</v>
      </c>
      <c r="I423" s="5">
        <v>42.08762084926952</v>
      </c>
      <c r="J423" s="5">
        <v>40</v>
      </c>
      <c r="K423" s="5">
        <v>0</v>
      </c>
      <c r="L423" s="5">
        <v>37</v>
      </c>
      <c r="M423" s="5" t="str">
        <f>_xlfn.SWITCH(recruitment_data3[[#This Row],[RecruitmentStrategy]], 1,"Aggressive", 2,"Moderate", 3,"Conservative")</f>
        <v>Moderate</v>
      </c>
      <c r="N423" s="5">
        <v>2</v>
      </c>
      <c r="O423" s="5" t="str">
        <f>IF(recruitment_data3[[#This Row],[HiringDecision]]=1,"Hired","Rejected")</f>
        <v>Rejected</v>
      </c>
      <c r="P423" s="6">
        <v>0</v>
      </c>
    </row>
    <row r="424" spans="1:16" x14ac:dyDescent="0.25">
      <c r="A424" s="4" t="str">
        <f t="shared" si="6"/>
        <v>C0423</v>
      </c>
      <c r="B424" s="4">
        <v>22</v>
      </c>
      <c r="C424" s="5" t="str">
        <f>IF(recruitment_data3[[#This Row],[Gender]]=1,"Female","Male")</f>
        <v>Male</v>
      </c>
      <c r="D424" s="5">
        <v>0</v>
      </c>
      <c r="E424" s="5" t="str">
        <f>_xlfn.SWITCH(recruitment_data3[[#This Row],[EducationLevel]], 1,"Bachelor Type 1", 2,"Bachelor Type 2", 3,"Masters", 4,"PhD")</f>
        <v>Masters</v>
      </c>
      <c r="F424" s="5">
        <v>3</v>
      </c>
      <c r="G424" s="5">
        <v>7</v>
      </c>
      <c r="H424" s="5">
        <v>5</v>
      </c>
      <c r="I424" s="5">
        <v>7.9484495943312297</v>
      </c>
      <c r="J424" s="5">
        <v>86</v>
      </c>
      <c r="K424" s="5">
        <v>86</v>
      </c>
      <c r="L424" s="5">
        <v>34</v>
      </c>
      <c r="M424" s="5" t="str">
        <f>_xlfn.SWITCH(recruitment_data3[[#This Row],[RecruitmentStrategy]], 1,"Aggressive", 2,"Moderate", 3,"Conservative")</f>
        <v>Moderate</v>
      </c>
      <c r="N424" s="5">
        <v>2</v>
      </c>
      <c r="O424" s="5" t="str">
        <f>IF(recruitment_data3[[#This Row],[HiringDecision]]=1,"Hired","Rejected")</f>
        <v>Hired</v>
      </c>
      <c r="P424" s="6">
        <v>1</v>
      </c>
    </row>
    <row r="425" spans="1:16" x14ac:dyDescent="0.25">
      <c r="A425" s="4" t="str">
        <f t="shared" si="6"/>
        <v>C0424</v>
      </c>
      <c r="B425" s="4">
        <v>36</v>
      </c>
      <c r="C425" s="5" t="str">
        <f>IF(recruitment_data3[[#This Row],[Gender]]=1,"Female","Male")</f>
        <v>Male</v>
      </c>
      <c r="D425" s="5">
        <v>0</v>
      </c>
      <c r="E425" s="5" t="str">
        <f>_xlfn.SWITCH(recruitment_data3[[#This Row],[EducationLevel]], 1,"Bachelor Type 1", 2,"Bachelor Type 2", 3,"Masters", 4,"PhD")</f>
        <v>Bachelor Type 2</v>
      </c>
      <c r="F425" s="5">
        <v>2</v>
      </c>
      <c r="G425" s="5">
        <v>7</v>
      </c>
      <c r="H425" s="5">
        <v>4</v>
      </c>
      <c r="I425" s="5">
        <v>38.364877877992839</v>
      </c>
      <c r="J425" s="5">
        <v>70</v>
      </c>
      <c r="K425" s="5">
        <v>2</v>
      </c>
      <c r="L425" s="5">
        <v>66</v>
      </c>
      <c r="M425" s="5" t="str">
        <f>_xlfn.SWITCH(recruitment_data3[[#This Row],[RecruitmentStrategy]], 1,"Aggressive", 2,"Moderate", 3,"Conservative")</f>
        <v>Moderate</v>
      </c>
      <c r="N425" s="5">
        <v>2</v>
      </c>
      <c r="O425" s="5" t="str">
        <f>IF(recruitment_data3[[#This Row],[HiringDecision]]=1,"Hired","Rejected")</f>
        <v>Rejected</v>
      </c>
      <c r="P425" s="6">
        <v>0</v>
      </c>
    </row>
    <row r="426" spans="1:16" x14ac:dyDescent="0.25">
      <c r="A426" s="4" t="str">
        <f t="shared" si="6"/>
        <v>C0425</v>
      </c>
      <c r="B426" s="4">
        <v>20</v>
      </c>
      <c r="C426" s="5" t="str">
        <f>IF(recruitment_data3[[#This Row],[Gender]]=1,"Female","Male")</f>
        <v>Male</v>
      </c>
      <c r="D426" s="5">
        <v>0</v>
      </c>
      <c r="E426" s="5" t="str">
        <f>_xlfn.SWITCH(recruitment_data3[[#This Row],[EducationLevel]], 1,"Bachelor Type 1", 2,"Bachelor Type 2", 3,"Masters", 4,"PhD")</f>
        <v>Bachelor Type 2</v>
      </c>
      <c r="F426" s="5">
        <v>2</v>
      </c>
      <c r="G426" s="5">
        <v>10</v>
      </c>
      <c r="H426" s="5">
        <v>1</v>
      </c>
      <c r="I426" s="5">
        <v>3.395693395666687</v>
      </c>
      <c r="J426" s="5">
        <v>55</v>
      </c>
      <c r="K426" s="5">
        <v>66</v>
      </c>
      <c r="L426" s="5">
        <v>82</v>
      </c>
      <c r="M426" s="5" t="str">
        <f>_xlfn.SWITCH(recruitment_data3[[#This Row],[RecruitmentStrategy]], 1,"Aggressive", 2,"Moderate", 3,"Conservative")</f>
        <v>Conservative</v>
      </c>
      <c r="N426" s="5">
        <v>3</v>
      </c>
      <c r="O426" s="5" t="str">
        <f>IF(recruitment_data3[[#This Row],[HiringDecision]]=1,"Hired","Rejected")</f>
        <v>Rejected</v>
      </c>
      <c r="P426" s="6">
        <v>0</v>
      </c>
    </row>
    <row r="427" spans="1:16" x14ac:dyDescent="0.25">
      <c r="A427" s="4" t="str">
        <f t="shared" si="6"/>
        <v>C0426</v>
      </c>
      <c r="B427" s="4">
        <v>35</v>
      </c>
      <c r="C427" s="5" t="str">
        <f>IF(recruitment_data3[[#This Row],[Gender]]=1,"Female","Male")</f>
        <v>Male</v>
      </c>
      <c r="D427" s="5">
        <v>0</v>
      </c>
      <c r="E427" s="5" t="str">
        <f>_xlfn.SWITCH(recruitment_data3[[#This Row],[EducationLevel]], 1,"Bachelor Type 1", 2,"Bachelor Type 2", 3,"Masters", 4,"PhD")</f>
        <v>Bachelor Type 1</v>
      </c>
      <c r="F427" s="5">
        <v>1</v>
      </c>
      <c r="G427" s="5">
        <v>12</v>
      </c>
      <c r="H427" s="5">
        <v>1</v>
      </c>
      <c r="I427" s="5">
        <v>48.42601637569576</v>
      </c>
      <c r="J427" s="5">
        <v>22</v>
      </c>
      <c r="K427" s="5">
        <v>70</v>
      </c>
      <c r="L427" s="5">
        <v>9</v>
      </c>
      <c r="M427" s="5" t="str">
        <f>_xlfn.SWITCH(recruitment_data3[[#This Row],[RecruitmentStrategy]], 1,"Aggressive", 2,"Moderate", 3,"Conservative")</f>
        <v>Moderate</v>
      </c>
      <c r="N427" s="5">
        <v>2</v>
      </c>
      <c r="O427" s="5" t="str">
        <f>IF(recruitment_data3[[#This Row],[HiringDecision]]=1,"Hired","Rejected")</f>
        <v>Rejected</v>
      </c>
      <c r="P427" s="6">
        <v>0</v>
      </c>
    </row>
    <row r="428" spans="1:16" x14ac:dyDescent="0.25">
      <c r="A428" s="4" t="str">
        <f t="shared" si="6"/>
        <v>C0427</v>
      </c>
      <c r="B428" s="4">
        <v>31</v>
      </c>
      <c r="C428" s="5" t="str">
        <f>IF(recruitment_data3[[#This Row],[Gender]]=1,"Female","Male")</f>
        <v>Female</v>
      </c>
      <c r="D428" s="5">
        <v>1</v>
      </c>
      <c r="E428" s="5" t="str">
        <f>_xlfn.SWITCH(recruitment_data3[[#This Row],[EducationLevel]], 1,"Bachelor Type 1", 2,"Bachelor Type 2", 3,"Masters", 4,"PhD")</f>
        <v>Masters</v>
      </c>
      <c r="F428" s="5">
        <v>3</v>
      </c>
      <c r="G428" s="5">
        <v>8</v>
      </c>
      <c r="H428" s="5">
        <v>5</v>
      </c>
      <c r="I428" s="5">
        <v>36.558004376388311</v>
      </c>
      <c r="J428" s="5">
        <v>24</v>
      </c>
      <c r="K428" s="5">
        <v>99</v>
      </c>
      <c r="L428" s="5">
        <v>90</v>
      </c>
      <c r="M428" s="5" t="str">
        <f>_xlfn.SWITCH(recruitment_data3[[#This Row],[RecruitmentStrategy]], 1,"Aggressive", 2,"Moderate", 3,"Conservative")</f>
        <v>Moderate</v>
      </c>
      <c r="N428" s="5">
        <v>2</v>
      </c>
      <c r="O428" s="5" t="str">
        <f>IF(recruitment_data3[[#This Row],[HiringDecision]]=1,"Hired","Rejected")</f>
        <v>Hired</v>
      </c>
      <c r="P428" s="6">
        <v>1</v>
      </c>
    </row>
    <row r="429" spans="1:16" x14ac:dyDescent="0.25">
      <c r="A429" s="4" t="str">
        <f t="shared" si="6"/>
        <v>C0428</v>
      </c>
      <c r="B429" s="4">
        <v>46</v>
      </c>
      <c r="C429" s="5" t="str">
        <f>IF(recruitment_data3[[#This Row],[Gender]]=1,"Female","Male")</f>
        <v>Male</v>
      </c>
      <c r="D429" s="5">
        <v>0</v>
      </c>
      <c r="E429" s="5" t="str">
        <f>_xlfn.SWITCH(recruitment_data3[[#This Row],[EducationLevel]], 1,"Bachelor Type 1", 2,"Bachelor Type 2", 3,"Masters", 4,"PhD")</f>
        <v>Masters</v>
      </c>
      <c r="F429" s="5">
        <v>3</v>
      </c>
      <c r="G429" s="5">
        <v>14</v>
      </c>
      <c r="H429" s="5">
        <v>4</v>
      </c>
      <c r="I429" s="5">
        <v>1.3398274293055892</v>
      </c>
      <c r="J429" s="5">
        <v>90</v>
      </c>
      <c r="K429" s="5">
        <v>34</v>
      </c>
      <c r="L429" s="5">
        <v>14</v>
      </c>
      <c r="M429" s="5" t="str">
        <f>_xlfn.SWITCH(recruitment_data3[[#This Row],[RecruitmentStrategy]], 1,"Aggressive", 2,"Moderate", 3,"Conservative")</f>
        <v>Moderate</v>
      </c>
      <c r="N429" s="5">
        <v>2</v>
      </c>
      <c r="O429" s="5" t="str">
        <f>IF(recruitment_data3[[#This Row],[HiringDecision]]=1,"Hired","Rejected")</f>
        <v>Rejected</v>
      </c>
      <c r="P429" s="6">
        <v>0</v>
      </c>
    </row>
    <row r="430" spans="1:16" x14ac:dyDescent="0.25">
      <c r="A430" s="4" t="str">
        <f t="shared" si="6"/>
        <v>C0429</v>
      </c>
      <c r="B430" s="4">
        <v>38</v>
      </c>
      <c r="C430" s="5" t="str">
        <f>IF(recruitment_data3[[#This Row],[Gender]]=1,"Female","Male")</f>
        <v>Female</v>
      </c>
      <c r="D430" s="5">
        <v>1</v>
      </c>
      <c r="E430" s="5" t="str">
        <f>_xlfn.SWITCH(recruitment_data3[[#This Row],[EducationLevel]], 1,"Bachelor Type 1", 2,"Bachelor Type 2", 3,"Masters", 4,"PhD")</f>
        <v>Masters</v>
      </c>
      <c r="F430" s="5">
        <v>3</v>
      </c>
      <c r="G430" s="5">
        <v>0</v>
      </c>
      <c r="H430" s="5">
        <v>4</v>
      </c>
      <c r="I430" s="5">
        <v>39.192825010010701</v>
      </c>
      <c r="J430" s="5">
        <v>5</v>
      </c>
      <c r="K430" s="5">
        <v>14</v>
      </c>
      <c r="L430" s="5">
        <v>10</v>
      </c>
      <c r="M430" s="5" t="str">
        <f>_xlfn.SWITCH(recruitment_data3[[#This Row],[RecruitmentStrategy]], 1,"Aggressive", 2,"Moderate", 3,"Conservative")</f>
        <v>Moderate</v>
      </c>
      <c r="N430" s="5">
        <v>2</v>
      </c>
      <c r="O430" s="5" t="str">
        <f>IF(recruitment_data3[[#This Row],[HiringDecision]]=1,"Hired","Rejected")</f>
        <v>Rejected</v>
      </c>
      <c r="P430" s="6">
        <v>0</v>
      </c>
    </row>
    <row r="431" spans="1:16" x14ac:dyDescent="0.25">
      <c r="A431" s="4" t="str">
        <f t="shared" si="6"/>
        <v>C0430</v>
      </c>
      <c r="B431" s="4">
        <v>41</v>
      </c>
      <c r="C431" s="5" t="str">
        <f>IF(recruitment_data3[[#This Row],[Gender]]=1,"Female","Male")</f>
        <v>Female</v>
      </c>
      <c r="D431" s="5">
        <v>1</v>
      </c>
      <c r="E431" s="5" t="str">
        <f>_xlfn.SWITCH(recruitment_data3[[#This Row],[EducationLevel]], 1,"Bachelor Type 1", 2,"Bachelor Type 2", 3,"Masters", 4,"PhD")</f>
        <v>Bachelor Type 2</v>
      </c>
      <c r="F431" s="5">
        <v>2</v>
      </c>
      <c r="G431" s="5">
        <v>13</v>
      </c>
      <c r="H431" s="5">
        <v>2</v>
      </c>
      <c r="I431" s="5">
        <v>26.704096038309267</v>
      </c>
      <c r="J431" s="5">
        <v>33</v>
      </c>
      <c r="K431" s="5">
        <v>66</v>
      </c>
      <c r="L431" s="5">
        <v>89</v>
      </c>
      <c r="M431" s="5" t="str">
        <f>_xlfn.SWITCH(recruitment_data3[[#This Row],[RecruitmentStrategy]], 1,"Aggressive", 2,"Moderate", 3,"Conservative")</f>
        <v>Conservative</v>
      </c>
      <c r="N431" s="5">
        <v>3</v>
      </c>
      <c r="O431" s="5" t="str">
        <f>IF(recruitment_data3[[#This Row],[HiringDecision]]=1,"Hired","Rejected")</f>
        <v>Rejected</v>
      </c>
      <c r="P431" s="6">
        <v>0</v>
      </c>
    </row>
    <row r="432" spans="1:16" x14ac:dyDescent="0.25">
      <c r="A432" s="4" t="str">
        <f t="shared" si="6"/>
        <v>C0431</v>
      </c>
      <c r="B432" s="4">
        <v>42</v>
      </c>
      <c r="C432" s="5" t="str">
        <f>IF(recruitment_data3[[#This Row],[Gender]]=1,"Female","Male")</f>
        <v>Male</v>
      </c>
      <c r="D432" s="5">
        <v>0</v>
      </c>
      <c r="E432" s="5" t="str">
        <f>_xlfn.SWITCH(recruitment_data3[[#This Row],[EducationLevel]], 1,"Bachelor Type 1", 2,"Bachelor Type 2", 3,"Masters", 4,"PhD")</f>
        <v>Bachelor Type 1</v>
      </c>
      <c r="F432" s="5">
        <v>1</v>
      </c>
      <c r="G432" s="5">
        <v>0</v>
      </c>
      <c r="H432" s="5">
        <v>3</v>
      </c>
      <c r="I432" s="5">
        <v>39.968258516755988</v>
      </c>
      <c r="J432" s="5">
        <v>62</v>
      </c>
      <c r="K432" s="5">
        <v>92</v>
      </c>
      <c r="L432" s="5">
        <v>23</v>
      </c>
      <c r="M432" s="5" t="str">
        <f>_xlfn.SWITCH(recruitment_data3[[#This Row],[RecruitmentStrategy]], 1,"Aggressive", 2,"Moderate", 3,"Conservative")</f>
        <v>Conservative</v>
      </c>
      <c r="N432" s="5">
        <v>3</v>
      </c>
      <c r="O432" s="5" t="str">
        <f>IF(recruitment_data3[[#This Row],[HiringDecision]]=1,"Hired","Rejected")</f>
        <v>Rejected</v>
      </c>
      <c r="P432" s="6">
        <v>0</v>
      </c>
    </row>
    <row r="433" spans="1:16" x14ac:dyDescent="0.25">
      <c r="A433" s="4" t="str">
        <f t="shared" si="6"/>
        <v>C0432</v>
      </c>
      <c r="B433" s="4">
        <v>41</v>
      </c>
      <c r="C433" s="5" t="str">
        <f>IF(recruitment_data3[[#This Row],[Gender]]=1,"Female","Male")</f>
        <v>Female</v>
      </c>
      <c r="D433" s="5">
        <v>1</v>
      </c>
      <c r="E433" s="5" t="str">
        <f>_xlfn.SWITCH(recruitment_data3[[#This Row],[EducationLevel]], 1,"Bachelor Type 1", 2,"Bachelor Type 2", 3,"Masters", 4,"PhD")</f>
        <v>Bachelor Type 2</v>
      </c>
      <c r="F433" s="5">
        <v>2</v>
      </c>
      <c r="G433" s="5">
        <v>2</v>
      </c>
      <c r="H433" s="5">
        <v>5</v>
      </c>
      <c r="I433" s="5">
        <v>27.124840444529422</v>
      </c>
      <c r="J433" s="5">
        <v>8</v>
      </c>
      <c r="K433" s="5">
        <v>29</v>
      </c>
      <c r="L433" s="5">
        <v>76</v>
      </c>
      <c r="M433" s="5" t="str">
        <f>_xlfn.SWITCH(recruitment_data3[[#This Row],[RecruitmentStrategy]], 1,"Aggressive", 2,"Moderate", 3,"Conservative")</f>
        <v>Moderate</v>
      </c>
      <c r="N433" s="5">
        <v>2</v>
      </c>
      <c r="O433" s="5" t="str">
        <f>IF(recruitment_data3[[#This Row],[HiringDecision]]=1,"Hired","Rejected")</f>
        <v>Rejected</v>
      </c>
      <c r="P433" s="6">
        <v>0</v>
      </c>
    </row>
    <row r="434" spans="1:16" x14ac:dyDescent="0.25">
      <c r="A434" s="4" t="str">
        <f t="shared" si="6"/>
        <v>C0433</v>
      </c>
      <c r="B434" s="4">
        <v>33</v>
      </c>
      <c r="C434" s="5" t="str">
        <f>IF(recruitment_data3[[#This Row],[Gender]]=1,"Female","Male")</f>
        <v>Female</v>
      </c>
      <c r="D434" s="5">
        <v>1</v>
      </c>
      <c r="E434" s="5" t="str">
        <f>_xlfn.SWITCH(recruitment_data3[[#This Row],[EducationLevel]], 1,"Bachelor Type 1", 2,"Bachelor Type 2", 3,"Masters", 4,"PhD")</f>
        <v>Bachelor Type 2</v>
      </c>
      <c r="F434" s="5">
        <v>2</v>
      </c>
      <c r="G434" s="5">
        <v>2</v>
      </c>
      <c r="H434" s="5">
        <v>3</v>
      </c>
      <c r="I434" s="5">
        <v>33.051242881767735</v>
      </c>
      <c r="J434" s="5">
        <v>59</v>
      </c>
      <c r="K434" s="5">
        <v>81</v>
      </c>
      <c r="L434" s="5">
        <v>95</v>
      </c>
      <c r="M434" s="5" t="str">
        <f>_xlfn.SWITCH(recruitment_data3[[#This Row],[RecruitmentStrategy]], 1,"Aggressive", 2,"Moderate", 3,"Conservative")</f>
        <v>Moderate</v>
      </c>
      <c r="N434" s="5">
        <v>2</v>
      </c>
      <c r="O434" s="5" t="str">
        <f>IF(recruitment_data3[[#This Row],[HiringDecision]]=1,"Hired","Rejected")</f>
        <v>Rejected</v>
      </c>
      <c r="P434" s="6">
        <v>0</v>
      </c>
    </row>
    <row r="435" spans="1:16" x14ac:dyDescent="0.25">
      <c r="A435" s="4" t="str">
        <f t="shared" si="6"/>
        <v>C0434</v>
      </c>
      <c r="B435" s="4">
        <v>49</v>
      </c>
      <c r="C435" s="5" t="str">
        <f>IF(recruitment_data3[[#This Row],[Gender]]=1,"Female","Male")</f>
        <v>Female</v>
      </c>
      <c r="D435" s="5">
        <v>1</v>
      </c>
      <c r="E435" s="5" t="str">
        <f>_xlfn.SWITCH(recruitment_data3[[#This Row],[EducationLevel]], 1,"Bachelor Type 1", 2,"Bachelor Type 2", 3,"Masters", 4,"PhD")</f>
        <v>Bachelor Type 1</v>
      </c>
      <c r="F435" s="5">
        <v>1</v>
      </c>
      <c r="G435" s="5">
        <v>9</v>
      </c>
      <c r="H435" s="5">
        <v>3</v>
      </c>
      <c r="I435" s="5">
        <v>40.316582769752024</v>
      </c>
      <c r="J435" s="5">
        <v>48</v>
      </c>
      <c r="K435" s="5">
        <v>74</v>
      </c>
      <c r="L435" s="5">
        <v>100</v>
      </c>
      <c r="M435" s="5" t="str">
        <f>_xlfn.SWITCH(recruitment_data3[[#This Row],[RecruitmentStrategy]], 1,"Aggressive", 2,"Moderate", 3,"Conservative")</f>
        <v>Moderate</v>
      </c>
      <c r="N435" s="5">
        <v>2</v>
      </c>
      <c r="O435" s="5" t="str">
        <f>IF(recruitment_data3[[#This Row],[HiringDecision]]=1,"Hired","Rejected")</f>
        <v>Rejected</v>
      </c>
      <c r="P435" s="6">
        <v>0</v>
      </c>
    </row>
    <row r="436" spans="1:16" x14ac:dyDescent="0.25">
      <c r="A436" s="4" t="str">
        <f t="shared" si="6"/>
        <v>C0435</v>
      </c>
      <c r="B436" s="4">
        <v>25</v>
      </c>
      <c r="C436" s="5" t="str">
        <f>IF(recruitment_data3[[#This Row],[Gender]]=1,"Female","Male")</f>
        <v>Female</v>
      </c>
      <c r="D436" s="5">
        <v>1</v>
      </c>
      <c r="E436" s="5" t="str">
        <f>_xlfn.SWITCH(recruitment_data3[[#This Row],[EducationLevel]], 1,"Bachelor Type 1", 2,"Bachelor Type 2", 3,"Masters", 4,"PhD")</f>
        <v>Bachelor Type 2</v>
      </c>
      <c r="F436" s="5">
        <v>2</v>
      </c>
      <c r="G436" s="5">
        <v>7</v>
      </c>
      <c r="H436" s="5">
        <v>5</v>
      </c>
      <c r="I436" s="5">
        <v>21.255402729392834</v>
      </c>
      <c r="J436" s="5">
        <v>96</v>
      </c>
      <c r="K436" s="5">
        <v>42</v>
      </c>
      <c r="L436" s="5">
        <v>3</v>
      </c>
      <c r="M436" s="5" t="str">
        <f>_xlfn.SWITCH(recruitment_data3[[#This Row],[RecruitmentStrategy]], 1,"Aggressive", 2,"Moderate", 3,"Conservative")</f>
        <v>Moderate</v>
      </c>
      <c r="N436" s="5">
        <v>2</v>
      </c>
      <c r="O436" s="5" t="str">
        <f>IF(recruitment_data3[[#This Row],[HiringDecision]]=1,"Hired","Rejected")</f>
        <v>Rejected</v>
      </c>
      <c r="P436" s="6">
        <v>0</v>
      </c>
    </row>
    <row r="437" spans="1:16" x14ac:dyDescent="0.25">
      <c r="A437" s="4" t="str">
        <f t="shared" si="6"/>
        <v>C0436</v>
      </c>
      <c r="B437" s="4">
        <v>25</v>
      </c>
      <c r="C437" s="5" t="str">
        <f>IF(recruitment_data3[[#This Row],[Gender]]=1,"Female","Male")</f>
        <v>Male</v>
      </c>
      <c r="D437" s="5">
        <v>0</v>
      </c>
      <c r="E437" s="5" t="str">
        <f>_xlfn.SWITCH(recruitment_data3[[#This Row],[EducationLevel]], 1,"Bachelor Type 1", 2,"Bachelor Type 2", 3,"Masters", 4,"PhD")</f>
        <v>PhD</v>
      </c>
      <c r="F437" s="5">
        <v>4</v>
      </c>
      <c r="G437" s="5">
        <v>14</v>
      </c>
      <c r="H437" s="5">
        <v>4</v>
      </c>
      <c r="I437" s="5">
        <v>1.1354074910226044</v>
      </c>
      <c r="J437" s="5">
        <v>50</v>
      </c>
      <c r="K437" s="5">
        <v>59</v>
      </c>
      <c r="L437" s="5">
        <v>12</v>
      </c>
      <c r="M437" s="5" t="str">
        <f>_xlfn.SWITCH(recruitment_data3[[#This Row],[RecruitmentStrategy]], 1,"Aggressive", 2,"Moderate", 3,"Conservative")</f>
        <v>Conservative</v>
      </c>
      <c r="N437" s="5">
        <v>3</v>
      </c>
      <c r="O437" s="5" t="str">
        <f>IF(recruitment_data3[[#This Row],[HiringDecision]]=1,"Hired","Rejected")</f>
        <v>Rejected</v>
      </c>
      <c r="P437" s="6">
        <v>0</v>
      </c>
    </row>
    <row r="438" spans="1:16" x14ac:dyDescent="0.25">
      <c r="A438" s="4" t="str">
        <f t="shared" si="6"/>
        <v>C0437</v>
      </c>
      <c r="B438" s="4">
        <v>32</v>
      </c>
      <c r="C438" s="5" t="str">
        <f>IF(recruitment_data3[[#This Row],[Gender]]=1,"Female","Male")</f>
        <v>Male</v>
      </c>
      <c r="D438" s="5">
        <v>0</v>
      </c>
      <c r="E438" s="5" t="str">
        <f>_xlfn.SWITCH(recruitment_data3[[#This Row],[EducationLevel]], 1,"Bachelor Type 1", 2,"Bachelor Type 2", 3,"Masters", 4,"PhD")</f>
        <v>Masters</v>
      </c>
      <c r="F438" s="5">
        <v>3</v>
      </c>
      <c r="G438" s="5">
        <v>9</v>
      </c>
      <c r="H438" s="5">
        <v>5</v>
      </c>
      <c r="I438" s="5">
        <v>43.497324797259424</v>
      </c>
      <c r="J438" s="5">
        <v>59</v>
      </c>
      <c r="K438" s="5">
        <v>39</v>
      </c>
      <c r="L438" s="5">
        <v>72</v>
      </c>
      <c r="M438" s="5" t="str">
        <f>_xlfn.SWITCH(recruitment_data3[[#This Row],[RecruitmentStrategy]], 1,"Aggressive", 2,"Moderate", 3,"Conservative")</f>
        <v>Aggressive</v>
      </c>
      <c r="N438" s="5">
        <v>1</v>
      </c>
      <c r="O438" s="5" t="str">
        <f>IF(recruitment_data3[[#This Row],[HiringDecision]]=1,"Hired","Rejected")</f>
        <v>Hired</v>
      </c>
      <c r="P438" s="6">
        <v>1</v>
      </c>
    </row>
    <row r="439" spans="1:16" x14ac:dyDescent="0.25">
      <c r="A439" s="4" t="str">
        <f t="shared" si="6"/>
        <v>C0438</v>
      </c>
      <c r="B439" s="4">
        <v>38</v>
      </c>
      <c r="C439" s="5" t="str">
        <f>IF(recruitment_data3[[#This Row],[Gender]]=1,"Female","Male")</f>
        <v>Female</v>
      </c>
      <c r="D439" s="5">
        <v>1</v>
      </c>
      <c r="E439" s="5" t="str">
        <f>_xlfn.SWITCH(recruitment_data3[[#This Row],[EducationLevel]], 1,"Bachelor Type 1", 2,"Bachelor Type 2", 3,"Masters", 4,"PhD")</f>
        <v>Masters</v>
      </c>
      <c r="F439" s="5">
        <v>3</v>
      </c>
      <c r="G439" s="5">
        <v>0</v>
      </c>
      <c r="H439" s="5">
        <v>3</v>
      </c>
      <c r="I439" s="5">
        <v>20.044518131233129</v>
      </c>
      <c r="J439" s="5">
        <v>69</v>
      </c>
      <c r="K439" s="5">
        <v>64</v>
      </c>
      <c r="L439" s="5">
        <v>56</v>
      </c>
      <c r="M439" s="5" t="str">
        <f>_xlfn.SWITCH(recruitment_data3[[#This Row],[RecruitmentStrategy]], 1,"Aggressive", 2,"Moderate", 3,"Conservative")</f>
        <v>Aggressive</v>
      </c>
      <c r="N439" s="5">
        <v>1</v>
      </c>
      <c r="O439" s="5" t="str">
        <f>IF(recruitment_data3[[#This Row],[HiringDecision]]=1,"Hired","Rejected")</f>
        <v>Hired</v>
      </c>
      <c r="P439" s="6">
        <v>1</v>
      </c>
    </row>
    <row r="440" spans="1:16" x14ac:dyDescent="0.25">
      <c r="A440" s="4" t="str">
        <f t="shared" si="6"/>
        <v>C0439</v>
      </c>
      <c r="B440" s="4">
        <v>41</v>
      </c>
      <c r="C440" s="5" t="str">
        <f>IF(recruitment_data3[[#This Row],[Gender]]=1,"Female","Male")</f>
        <v>Male</v>
      </c>
      <c r="D440" s="5">
        <v>0</v>
      </c>
      <c r="E440" s="5" t="str">
        <f>_xlfn.SWITCH(recruitment_data3[[#This Row],[EducationLevel]], 1,"Bachelor Type 1", 2,"Bachelor Type 2", 3,"Masters", 4,"PhD")</f>
        <v>PhD</v>
      </c>
      <c r="F440" s="5">
        <v>4</v>
      </c>
      <c r="G440" s="5">
        <v>12</v>
      </c>
      <c r="H440" s="5">
        <v>4</v>
      </c>
      <c r="I440" s="5">
        <v>25.802136300829154</v>
      </c>
      <c r="J440" s="5">
        <v>36</v>
      </c>
      <c r="K440" s="5">
        <v>28</v>
      </c>
      <c r="L440" s="5">
        <v>97</v>
      </c>
      <c r="M440" s="5" t="str">
        <f>_xlfn.SWITCH(recruitment_data3[[#This Row],[RecruitmentStrategy]], 1,"Aggressive", 2,"Moderate", 3,"Conservative")</f>
        <v>Aggressive</v>
      </c>
      <c r="N440" s="5">
        <v>1</v>
      </c>
      <c r="O440" s="5" t="str">
        <f>IF(recruitment_data3[[#This Row],[HiringDecision]]=1,"Hired","Rejected")</f>
        <v>Hired</v>
      </c>
      <c r="P440" s="6">
        <v>1</v>
      </c>
    </row>
    <row r="441" spans="1:16" x14ac:dyDescent="0.25">
      <c r="A441" s="4" t="str">
        <f t="shared" si="6"/>
        <v>C0440</v>
      </c>
      <c r="B441" s="4">
        <v>27</v>
      </c>
      <c r="C441" s="5" t="str">
        <f>IF(recruitment_data3[[#This Row],[Gender]]=1,"Female","Male")</f>
        <v>Male</v>
      </c>
      <c r="D441" s="5">
        <v>0</v>
      </c>
      <c r="E441" s="5" t="str">
        <f>_xlfn.SWITCH(recruitment_data3[[#This Row],[EducationLevel]], 1,"Bachelor Type 1", 2,"Bachelor Type 2", 3,"Masters", 4,"PhD")</f>
        <v>Bachelor Type 2</v>
      </c>
      <c r="F441" s="5">
        <v>2</v>
      </c>
      <c r="G441" s="5">
        <v>1</v>
      </c>
      <c r="H441" s="5">
        <v>1</v>
      </c>
      <c r="I441" s="5">
        <v>1.3883321076984358</v>
      </c>
      <c r="J441" s="5">
        <v>30</v>
      </c>
      <c r="K441" s="5">
        <v>73</v>
      </c>
      <c r="L441" s="5">
        <v>36</v>
      </c>
      <c r="M441" s="5" t="str">
        <f>_xlfn.SWITCH(recruitment_data3[[#This Row],[RecruitmentStrategy]], 1,"Aggressive", 2,"Moderate", 3,"Conservative")</f>
        <v>Moderate</v>
      </c>
      <c r="N441" s="5">
        <v>2</v>
      </c>
      <c r="O441" s="5" t="str">
        <f>IF(recruitment_data3[[#This Row],[HiringDecision]]=1,"Hired","Rejected")</f>
        <v>Rejected</v>
      </c>
      <c r="P441" s="6">
        <v>0</v>
      </c>
    </row>
    <row r="442" spans="1:16" x14ac:dyDescent="0.25">
      <c r="A442" s="4" t="str">
        <f t="shared" si="6"/>
        <v>C0441</v>
      </c>
      <c r="B442" s="4">
        <v>46</v>
      </c>
      <c r="C442" s="5" t="str">
        <f>IF(recruitment_data3[[#This Row],[Gender]]=1,"Female","Male")</f>
        <v>Male</v>
      </c>
      <c r="D442" s="5">
        <v>0</v>
      </c>
      <c r="E442" s="5" t="str">
        <f>_xlfn.SWITCH(recruitment_data3[[#This Row],[EducationLevel]], 1,"Bachelor Type 1", 2,"Bachelor Type 2", 3,"Masters", 4,"PhD")</f>
        <v>Bachelor Type 2</v>
      </c>
      <c r="F442" s="5">
        <v>2</v>
      </c>
      <c r="G442" s="5">
        <v>1</v>
      </c>
      <c r="H442" s="5">
        <v>5</v>
      </c>
      <c r="I442" s="5">
        <v>25.604600517504899</v>
      </c>
      <c r="J442" s="5">
        <v>97</v>
      </c>
      <c r="K442" s="5">
        <v>91</v>
      </c>
      <c r="L442" s="5">
        <v>47</v>
      </c>
      <c r="M442" s="5" t="str">
        <f>_xlfn.SWITCH(recruitment_data3[[#This Row],[RecruitmentStrategy]], 1,"Aggressive", 2,"Moderate", 3,"Conservative")</f>
        <v>Conservative</v>
      </c>
      <c r="N442" s="5">
        <v>3</v>
      </c>
      <c r="O442" s="5" t="str">
        <f>IF(recruitment_data3[[#This Row],[HiringDecision]]=1,"Hired","Rejected")</f>
        <v>Rejected</v>
      </c>
      <c r="P442" s="6">
        <v>0</v>
      </c>
    </row>
    <row r="443" spans="1:16" x14ac:dyDescent="0.25">
      <c r="A443" s="4" t="str">
        <f t="shared" si="6"/>
        <v>C0442</v>
      </c>
      <c r="B443" s="4">
        <v>46</v>
      </c>
      <c r="C443" s="5" t="str">
        <f>IF(recruitment_data3[[#This Row],[Gender]]=1,"Female","Male")</f>
        <v>Male</v>
      </c>
      <c r="D443" s="5">
        <v>0</v>
      </c>
      <c r="E443" s="5" t="str">
        <f>_xlfn.SWITCH(recruitment_data3[[#This Row],[EducationLevel]], 1,"Bachelor Type 1", 2,"Bachelor Type 2", 3,"Masters", 4,"PhD")</f>
        <v>PhD</v>
      </c>
      <c r="F443" s="5">
        <v>4</v>
      </c>
      <c r="G443" s="5">
        <v>2</v>
      </c>
      <c r="H443" s="5">
        <v>5</v>
      </c>
      <c r="I443" s="5">
        <v>50.324370078586476</v>
      </c>
      <c r="J443" s="5">
        <v>40</v>
      </c>
      <c r="K443" s="5">
        <v>94</v>
      </c>
      <c r="L443" s="5">
        <v>70</v>
      </c>
      <c r="M443" s="5" t="str">
        <f>_xlfn.SWITCH(recruitment_data3[[#This Row],[RecruitmentStrategy]], 1,"Aggressive", 2,"Moderate", 3,"Conservative")</f>
        <v>Aggressive</v>
      </c>
      <c r="N443" s="5">
        <v>1</v>
      </c>
      <c r="O443" s="5" t="str">
        <f>IF(recruitment_data3[[#This Row],[HiringDecision]]=1,"Hired","Rejected")</f>
        <v>Hired</v>
      </c>
      <c r="P443" s="6">
        <v>1</v>
      </c>
    </row>
    <row r="444" spans="1:16" x14ac:dyDescent="0.25">
      <c r="A444" s="4" t="str">
        <f t="shared" si="6"/>
        <v>C0443</v>
      </c>
      <c r="B444" s="4">
        <v>21</v>
      </c>
      <c r="C444" s="5" t="str">
        <f>IF(recruitment_data3[[#This Row],[Gender]]=1,"Female","Male")</f>
        <v>Male</v>
      </c>
      <c r="D444" s="5">
        <v>0</v>
      </c>
      <c r="E444" s="5" t="str">
        <f>_xlfn.SWITCH(recruitment_data3[[#This Row],[EducationLevel]], 1,"Bachelor Type 1", 2,"Bachelor Type 2", 3,"Masters", 4,"PhD")</f>
        <v>Bachelor Type 1</v>
      </c>
      <c r="F444" s="5">
        <v>1</v>
      </c>
      <c r="G444" s="5">
        <v>12</v>
      </c>
      <c r="H444" s="5">
        <v>4</v>
      </c>
      <c r="I444" s="5">
        <v>14.913383040938482</v>
      </c>
      <c r="J444" s="5">
        <v>61</v>
      </c>
      <c r="K444" s="5">
        <v>18</v>
      </c>
      <c r="L444" s="5">
        <v>0</v>
      </c>
      <c r="M444" s="5" t="str">
        <f>_xlfn.SWITCH(recruitment_data3[[#This Row],[RecruitmentStrategy]], 1,"Aggressive", 2,"Moderate", 3,"Conservative")</f>
        <v>Moderate</v>
      </c>
      <c r="N444" s="5">
        <v>2</v>
      </c>
      <c r="O444" s="5" t="str">
        <f>IF(recruitment_data3[[#This Row],[HiringDecision]]=1,"Hired","Rejected")</f>
        <v>Rejected</v>
      </c>
      <c r="P444" s="6">
        <v>0</v>
      </c>
    </row>
    <row r="445" spans="1:16" x14ac:dyDescent="0.25">
      <c r="A445" s="4" t="str">
        <f t="shared" si="6"/>
        <v>C0444</v>
      </c>
      <c r="B445" s="4">
        <v>40</v>
      </c>
      <c r="C445" s="5" t="str">
        <f>IF(recruitment_data3[[#This Row],[Gender]]=1,"Female","Male")</f>
        <v>Female</v>
      </c>
      <c r="D445" s="5">
        <v>1</v>
      </c>
      <c r="E445" s="5" t="str">
        <f>_xlfn.SWITCH(recruitment_data3[[#This Row],[EducationLevel]], 1,"Bachelor Type 1", 2,"Bachelor Type 2", 3,"Masters", 4,"PhD")</f>
        <v>Masters</v>
      </c>
      <c r="F445" s="5">
        <v>3</v>
      </c>
      <c r="G445" s="5">
        <v>5</v>
      </c>
      <c r="H445" s="5">
        <v>1</v>
      </c>
      <c r="I445" s="5">
        <v>20.770913512118902</v>
      </c>
      <c r="J445" s="5">
        <v>92</v>
      </c>
      <c r="K445" s="5">
        <v>2</v>
      </c>
      <c r="L445" s="5">
        <v>59</v>
      </c>
      <c r="M445" s="5" t="str">
        <f>_xlfn.SWITCH(recruitment_data3[[#This Row],[RecruitmentStrategy]], 1,"Aggressive", 2,"Moderate", 3,"Conservative")</f>
        <v>Moderate</v>
      </c>
      <c r="N445" s="5">
        <v>2</v>
      </c>
      <c r="O445" s="5" t="str">
        <f>IF(recruitment_data3[[#This Row],[HiringDecision]]=1,"Hired","Rejected")</f>
        <v>Rejected</v>
      </c>
      <c r="P445" s="6">
        <v>0</v>
      </c>
    </row>
    <row r="446" spans="1:16" x14ac:dyDescent="0.25">
      <c r="A446" s="4" t="str">
        <f t="shared" si="6"/>
        <v>C0445</v>
      </c>
      <c r="B446" s="4">
        <v>49</v>
      </c>
      <c r="C446" s="5" t="str">
        <f>IF(recruitment_data3[[#This Row],[Gender]]=1,"Female","Male")</f>
        <v>Male</v>
      </c>
      <c r="D446" s="5">
        <v>0</v>
      </c>
      <c r="E446" s="5" t="str">
        <f>_xlfn.SWITCH(recruitment_data3[[#This Row],[EducationLevel]], 1,"Bachelor Type 1", 2,"Bachelor Type 2", 3,"Masters", 4,"PhD")</f>
        <v>Bachelor Type 2</v>
      </c>
      <c r="F446" s="5">
        <v>2</v>
      </c>
      <c r="G446" s="5">
        <v>0</v>
      </c>
      <c r="H446" s="5">
        <v>1</v>
      </c>
      <c r="I446" s="5">
        <v>35.359499823433829</v>
      </c>
      <c r="J446" s="5">
        <v>57</v>
      </c>
      <c r="K446" s="5">
        <v>35</v>
      </c>
      <c r="L446" s="5">
        <v>11</v>
      </c>
      <c r="M446" s="5" t="str">
        <f>_xlfn.SWITCH(recruitment_data3[[#This Row],[RecruitmentStrategy]], 1,"Aggressive", 2,"Moderate", 3,"Conservative")</f>
        <v>Moderate</v>
      </c>
      <c r="N446" s="5">
        <v>2</v>
      </c>
      <c r="O446" s="5" t="str">
        <f>IF(recruitment_data3[[#This Row],[HiringDecision]]=1,"Hired","Rejected")</f>
        <v>Rejected</v>
      </c>
      <c r="P446" s="6">
        <v>0</v>
      </c>
    </row>
    <row r="447" spans="1:16" x14ac:dyDescent="0.25">
      <c r="A447" s="4" t="str">
        <f t="shared" si="6"/>
        <v>C0446</v>
      </c>
      <c r="B447" s="4">
        <v>20</v>
      </c>
      <c r="C447" s="5" t="str">
        <f>IF(recruitment_data3[[#This Row],[Gender]]=1,"Female","Male")</f>
        <v>Male</v>
      </c>
      <c r="D447" s="5">
        <v>0</v>
      </c>
      <c r="E447" s="5" t="str">
        <f>_xlfn.SWITCH(recruitment_data3[[#This Row],[EducationLevel]], 1,"Bachelor Type 1", 2,"Bachelor Type 2", 3,"Masters", 4,"PhD")</f>
        <v>Bachelor Type 2</v>
      </c>
      <c r="F447" s="5">
        <v>2</v>
      </c>
      <c r="G447" s="5">
        <v>1</v>
      </c>
      <c r="H447" s="5">
        <v>4</v>
      </c>
      <c r="I447" s="5">
        <v>41.739683376182931</v>
      </c>
      <c r="J447" s="5">
        <v>13</v>
      </c>
      <c r="K447" s="5">
        <v>42</v>
      </c>
      <c r="L447" s="5">
        <v>20</v>
      </c>
      <c r="M447" s="5" t="str">
        <f>_xlfn.SWITCH(recruitment_data3[[#This Row],[RecruitmentStrategy]], 1,"Aggressive", 2,"Moderate", 3,"Conservative")</f>
        <v>Moderate</v>
      </c>
      <c r="N447" s="5">
        <v>2</v>
      </c>
      <c r="O447" s="5" t="str">
        <f>IF(recruitment_data3[[#This Row],[HiringDecision]]=1,"Hired","Rejected")</f>
        <v>Rejected</v>
      </c>
      <c r="P447" s="6">
        <v>0</v>
      </c>
    </row>
    <row r="448" spans="1:16" x14ac:dyDescent="0.25">
      <c r="A448" s="4" t="str">
        <f t="shared" si="6"/>
        <v>C0447</v>
      </c>
      <c r="B448" s="4">
        <v>47</v>
      </c>
      <c r="C448" s="5" t="str">
        <f>IF(recruitment_data3[[#This Row],[Gender]]=1,"Female","Male")</f>
        <v>Male</v>
      </c>
      <c r="D448" s="5">
        <v>0</v>
      </c>
      <c r="E448" s="5" t="str">
        <f>_xlfn.SWITCH(recruitment_data3[[#This Row],[EducationLevel]], 1,"Bachelor Type 1", 2,"Bachelor Type 2", 3,"Masters", 4,"PhD")</f>
        <v>Bachelor Type 2</v>
      </c>
      <c r="F448" s="5">
        <v>2</v>
      </c>
      <c r="G448" s="5">
        <v>12</v>
      </c>
      <c r="H448" s="5">
        <v>2</v>
      </c>
      <c r="I448" s="5">
        <v>21.869581200305014</v>
      </c>
      <c r="J448" s="5">
        <v>35</v>
      </c>
      <c r="K448" s="5">
        <v>14</v>
      </c>
      <c r="L448" s="5">
        <v>10</v>
      </c>
      <c r="M448" s="5" t="str">
        <f>_xlfn.SWITCH(recruitment_data3[[#This Row],[RecruitmentStrategy]], 1,"Aggressive", 2,"Moderate", 3,"Conservative")</f>
        <v>Conservative</v>
      </c>
      <c r="N448" s="5">
        <v>3</v>
      </c>
      <c r="O448" s="5" t="str">
        <f>IF(recruitment_data3[[#This Row],[HiringDecision]]=1,"Hired","Rejected")</f>
        <v>Rejected</v>
      </c>
      <c r="P448" s="6">
        <v>0</v>
      </c>
    </row>
    <row r="449" spans="1:16" x14ac:dyDescent="0.25">
      <c r="A449" s="4" t="str">
        <f t="shared" si="6"/>
        <v>C0448</v>
      </c>
      <c r="B449" s="4">
        <v>34</v>
      </c>
      <c r="C449" s="5" t="str">
        <f>IF(recruitment_data3[[#This Row],[Gender]]=1,"Female","Male")</f>
        <v>Male</v>
      </c>
      <c r="D449" s="5">
        <v>0</v>
      </c>
      <c r="E449" s="5" t="str">
        <f>_xlfn.SWITCH(recruitment_data3[[#This Row],[EducationLevel]], 1,"Bachelor Type 1", 2,"Bachelor Type 2", 3,"Masters", 4,"PhD")</f>
        <v>PhD</v>
      </c>
      <c r="F449" s="5">
        <v>4</v>
      </c>
      <c r="G449" s="5">
        <v>15</v>
      </c>
      <c r="H449" s="5">
        <v>5</v>
      </c>
      <c r="I449" s="5">
        <v>16.483443520064625</v>
      </c>
      <c r="J449" s="5">
        <v>35</v>
      </c>
      <c r="K449" s="5">
        <v>96</v>
      </c>
      <c r="L449" s="5">
        <v>43</v>
      </c>
      <c r="M449" s="5" t="str">
        <f>_xlfn.SWITCH(recruitment_data3[[#This Row],[RecruitmentStrategy]], 1,"Aggressive", 2,"Moderate", 3,"Conservative")</f>
        <v>Aggressive</v>
      </c>
      <c r="N449" s="5">
        <v>1</v>
      </c>
      <c r="O449" s="5" t="str">
        <f>IF(recruitment_data3[[#This Row],[HiringDecision]]=1,"Hired","Rejected")</f>
        <v>Hired</v>
      </c>
      <c r="P449" s="6">
        <v>1</v>
      </c>
    </row>
    <row r="450" spans="1:16" x14ac:dyDescent="0.25">
      <c r="A450" s="4" t="str">
        <f t="shared" ref="A450:A513" si="7">"C"&amp;TEXT(ROW()-1,"0000")</f>
        <v>C0449</v>
      </c>
      <c r="B450" s="4">
        <v>20</v>
      </c>
      <c r="C450" s="5" t="str">
        <f>IF(recruitment_data3[[#This Row],[Gender]]=1,"Female","Male")</f>
        <v>Female</v>
      </c>
      <c r="D450" s="5">
        <v>1</v>
      </c>
      <c r="E450" s="5" t="str">
        <f>_xlfn.SWITCH(recruitment_data3[[#This Row],[EducationLevel]], 1,"Bachelor Type 1", 2,"Bachelor Type 2", 3,"Masters", 4,"PhD")</f>
        <v>Masters</v>
      </c>
      <c r="F450" s="5">
        <v>3</v>
      </c>
      <c r="G450" s="5">
        <v>14</v>
      </c>
      <c r="H450" s="5">
        <v>5</v>
      </c>
      <c r="I450" s="5">
        <v>47.891289999253353</v>
      </c>
      <c r="J450" s="5">
        <v>78</v>
      </c>
      <c r="K450" s="5">
        <v>40</v>
      </c>
      <c r="L450" s="5">
        <v>57</v>
      </c>
      <c r="M450" s="5" t="str">
        <f>_xlfn.SWITCH(recruitment_data3[[#This Row],[RecruitmentStrategy]], 1,"Aggressive", 2,"Moderate", 3,"Conservative")</f>
        <v>Moderate</v>
      </c>
      <c r="N450" s="5">
        <v>2</v>
      </c>
      <c r="O450" s="5" t="str">
        <f>IF(recruitment_data3[[#This Row],[HiringDecision]]=1,"Hired","Rejected")</f>
        <v>Rejected</v>
      </c>
      <c r="P450" s="6">
        <v>0</v>
      </c>
    </row>
    <row r="451" spans="1:16" x14ac:dyDescent="0.25">
      <c r="A451" s="4" t="str">
        <f t="shared" si="7"/>
        <v>C0450</v>
      </c>
      <c r="B451" s="4">
        <v>24</v>
      </c>
      <c r="C451" s="5" t="str">
        <f>IF(recruitment_data3[[#This Row],[Gender]]=1,"Female","Male")</f>
        <v>Female</v>
      </c>
      <c r="D451" s="5">
        <v>1</v>
      </c>
      <c r="E451" s="5" t="str">
        <f>_xlfn.SWITCH(recruitment_data3[[#This Row],[EducationLevel]], 1,"Bachelor Type 1", 2,"Bachelor Type 2", 3,"Masters", 4,"PhD")</f>
        <v>Bachelor Type 1</v>
      </c>
      <c r="F451" s="5">
        <v>1</v>
      </c>
      <c r="G451" s="5">
        <v>12</v>
      </c>
      <c r="H451" s="5">
        <v>3</v>
      </c>
      <c r="I451" s="5">
        <v>34.857248333583463</v>
      </c>
      <c r="J451" s="5">
        <v>7</v>
      </c>
      <c r="K451" s="5">
        <v>89</v>
      </c>
      <c r="L451" s="5">
        <v>43</v>
      </c>
      <c r="M451" s="5" t="str">
        <f>_xlfn.SWITCH(recruitment_data3[[#This Row],[RecruitmentStrategy]], 1,"Aggressive", 2,"Moderate", 3,"Conservative")</f>
        <v>Aggressive</v>
      </c>
      <c r="N451" s="5">
        <v>1</v>
      </c>
      <c r="O451" s="5" t="str">
        <f>IF(recruitment_data3[[#This Row],[HiringDecision]]=1,"Hired","Rejected")</f>
        <v>Hired</v>
      </c>
      <c r="P451" s="6">
        <v>1</v>
      </c>
    </row>
    <row r="452" spans="1:16" x14ac:dyDescent="0.25">
      <c r="A452" s="4" t="str">
        <f t="shared" si="7"/>
        <v>C0451</v>
      </c>
      <c r="B452" s="4">
        <v>47</v>
      </c>
      <c r="C452" s="5" t="str">
        <f>IF(recruitment_data3[[#This Row],[Gender]]=1,"Female","Male")</f>
        <v>Female</v>
      </c>
      <c r="D452" s="5">
        <v>1</v>
      </c>
      <c r="E452" s="5" t="str">
        <f>_xlfn.SWITCH(recruitment_data3[[#This Row],[EducationLevel]], 1,"Bachelor Type 1", 2,"Bachelor Type 2", 3,"Masters", 4,"PhD")</f>
        <v>Masters</v>
      </c>
      <c r="F452" s="5">
        <v>3</v>
      </c>
      <c r="G452" s="5">
        <v>15</v>
      </c>
      <c r="H452" s="5">
        <v>4</v>
      </c>
      <c r="I452" s="5">
        <v>6.9510652246570537</v>
      </c>
      <c r="J452" s="5">
        <v>25</v>
      </c>
      <c r="K452" s="5">
        <v>79</v>
      </c>
      <c r="L452" s="5">
        <v>77</v>
      </c>
      <c r="M452" s="5" t="str">
        <f>_xlfn.SWITCH(recruitment_data3[[#This Row],[RecruitmentStrategy]], 1,"Aggressive", 2,"Moderate", 3,"Conservative")</f>
        <v>Moderate</v>
      </c>
      <c r="N452" s="5">
        <v>2</v>
      </c>
      <c r="O452" s="5" t="str">
        <f>IF(recruitment_data3[[#This Row],[HiringDecision]]=1,"Hired","Rejected")</f>
        <v>Hired</v>
      </c>
      <c r="P452" s="6">
        <v>1</v>
      </c>
    </row>
    <row r="453" spans="1:16" x14ac:dyDescent="0.25">
      <c r="A453" s="4" t="str">
        <f t="shared" si="7"/>
        <v>C0452</v>
      </c>
      <c r="B453" s="4">
        <v>48</v>
      </c>
      <c r="C453" s="5" t="str">
        <f>IF(recruitment_data3[[#This Row],[Gender]]=1,"Female","Male")</f>
        <v>Female</v>
      </c>
      <c r="D453" s="5">
        <v>1</v>
      </c>
      <c r="E453" s="5" t="str">
        <f>_xlfn.SWITCH(recruitment_data3[[#This Row],[EducationLevel]], 1,"Bachelor Type 1", 2,"Bachelor Type 2", 3,"Masters", 4,"PhD")</f>
        <v>Bachelor Type 2</v>
      </c>
      <c r="F453" s="5">
        <v>2</v>
      </c>
      <c r="G453" s="5">
        <v>0</v>
      </c>
      <c r="H453" s="5">
        <v>3</v>
      </c>
      <c r="I453" s="5">
        <v>4.446393906732431</v>
      </c>
      <c r="J453" s="5">
        <v>35</v>
      </c>
      <c r="K453" s="5">
        <v>35</v>
      </c>
      <c r="L453" s="5">
        <v>97</v>
      </c>
      <c r="M453" s="5" t="str">
        <f>_xlfn.SWITCH(recruitment_data3[[#This Row],[RecruitmentStrategy]], 1,"Aggressive", 2,"Moderate", 3,"Conservative")</f>
        <v>Conservative</v>
      </c>
      <c r="N453" s="5">
        <v>3</v>
      </c>
      <c r="O453" s="5" t="str">
        <f>IF(recruitment_data3[[#This Row],[HiringDecision]]=1,"Hired","Rejected")</f>
        <v>Rejected</v>
      </c>
      <c r="P453" s="6">
        <v>0</v>
      </c>
    </row>
    <row r="454" spans="1:16" x14ac:dyDescent="0.25">
      <c r="A454" s="4" t="str">
        <f t="shared" si="7"/>
        <v>C0453</v>
      </c>
      <c r="B454" s="4">
        <v>35</v>
      </c>
      <c r="C454" s="5" t="str">
        <f>IF(recruitment_data3[[#This Row],[Gender]]=1,"Female","Male")</f>
        <v>Male</v>
      </c>
      <c r="D454" s="5">
        <v>0</v>
      </c>
      <c r="E454" s="5" t="str">
        <f>_xlfn.SWITCH(recruitment_data3[[#This Row],[EducationLevel]], 1,"Bachelor Type 1", 2,"Bachelor Type 2", 3,"Masters", 4,"PhD")</f>
        <v>Bachelor Type 2</v>
      </c>
      <c r="F454" s="5">
        <v>2</v>
      </c>
      <c r="G454" s="5">
        <v>4</v>
      </c>
      <c r="H454" s="5">
        <v>3</v>
      </c>
      <c r="I454" s="5">
        <v>25.177492539518454</v>
      </c>
      <c r="J454" s="5">
        <v>47</v>
      </c>
      <c r="K454" s="5">
        <v>96</v>
      </c>
      <c r="L454" s="5">
        <v>33</v>
      </c>
      <c r="M454" s="5" t="str">
        <f>_xlfn.SWITCH(recruitment_data3[[#This Row],[RecruitmentStrategy]], 1,"Aggressive", 2,"Moderate", 3,"Conservative")</f>
        <v>Aggressive</v>
      </c>
      <c r="N454" s="5">
        <v>1</v>
      </c>
      <c r="O454" s="5" t="str">
        <f>IF(recruitment_data3[[#This Row],[HiringDecision]]=1,"Hired","Rejected")</f>
        <v>Rejected</v>
      </c>
      <c r="P454" s="6">
        <v>0</v>
      </c>
    </row>
    <row r="455" spans="1:16" x14ac:dyDescent="0.25">
      <c r="A455" s="4" t="str">
        <f t="shared" si="7"/>
        <v>C0454</v>
      </c>
      <c r="B455" s="4">
        <v>38</v>
      </c>
      <c r="C455" s="5" t="str">
        <f>IF(recruitment_data3[[#This Row],[Gender]]=1,"Female","Male")</f>
        <v>Female</v>
      </c>
      <c r="D455" s="5">
        <v>1</v>
      </c>
      <c r="E455" s="5" t="str">
        <f>_xlfn.SWITCH(recruitment_data3[[#This Row],[EducationLevel]], 1,"Bachelor Type 1", 2,"Bachelor Type 2", 3,"Masters", 4,"PhD")</f>
        <v>Bachelor Type 2</v>
      </c>
      <c r="F455" s="5">
        <v>2</v>
      </c>
      <c r="G455" s="5">
        <v>15</v>
      </c>
      <c r="H455" s="5">
        <v>1</v>
      </c>
      <c r="I455" s="5">
        <v>12.004503302363622</v>
      </c>
      <c r="J455" s="5">
        <v>84</v>
      </c>
      <c r="K455" s="5">
        <v>83</v>
      </c>
      <c r="L455" s="5">
        <v>24</v>
      </c>
      <c r="M455" s="5" t="str">
        <f>_xlfn.SWITCH(recruitment_data3[[#This Row],[RecruitmentStrategy]], 1,"Aggressive", 2,"Moderate", 3,"Conservative")</f>
        <v>Aggressive</v>
      </c>
      <c r="N455" s="5">
        <v>1</v>
      </c>
      <c r="O455" s="5" t="str">
        <f>IF(recruitment_data3[[#This Row],[HiringDecision]]=1,"Hired","Rejected")</f>
        <v>Hired</v>
      </c>
      <c r="P455" s="6">
        <v>1</v>
      </c>
    </row>
    <row r="456" spans="1:16" x14ac:dyDescent="0.25">
      <c r="A456" s="4" t="str">
        <f t="shared" si="7"/>
        <v>C0455</v>
      </c>
      <c r="B456" s="4">
        <v>23</v>
      </c>
      <c r="C456" s="5" t="str">
        <f>IF(recruitment_data3[[#This Row],[Gender]]=1,"Female","Male")</f>
        <v>Male</v>
      </c>
      <c r="D456" s="5">
        <v>0</v>
      </c>
      <c r="E456" s="5" t="str">
        <f>_xlfn.SWITCH(recruitment_data3[[#This Row],[EducationLevel]], 1,"Bachelor Type 1", 2,"Bachelor Type 2", 3,"Masters", 4,"PhD")</f>
        <v>Bachelor Type 2</v>
      </c>
      <c r="F456" s="5">
        <v>2</v>
      </c>
      <c r="G456" s="5">
        <v>12</v>
      </c>
      <c r="H456" s="5">
        <v>5</v>
      </c>
      <c r="I456" s="5">
        <v>13.699237668812675</v>
      </c>
      <c r="J456" s="5">
        <v>27</v>
      </c>
      <c r="K456" s="5">
        <v>76</v>
      </c>
      <c r="L456" s="5">
        <v>3</v>
      </c>
      <c r="M456" s="5" t="str">
        <f>_xlfn.SWITCH(recruitment_data3[[#This Row],[RecruitmentStrategy]], 1,"Aggressive", 2,"Moderate", 3,"Conservative")</f>
        <v>Moderate</v>
      </c>
      <c r="N456" s="5">
        <v>2</v>
      </c>
      <c r="O456" s="5" t="str">
        <f>IF(recruitment_data3[[#This Row],[HiringDecision]]=1,"Hired","Rejected")</f>
        <v>Rejected</v>
      </c>
      <c r="P456" s="6">
        <v>0</v>
      </c>
    </row>
    <row r="457" spans="1:16" x14ac:dyDescent="0.25">
      <c r="A457" s="4" t="str">
        <f t="shared" si="7"/>
        <v>C0456</v>
      </c>
      <c r="B457" s="4">
        <v>22</v>
      </c>
      <c r="C457" s="5" t="str">
        <f>IF(recruitment_data3[[#This Row],[Gender]]=1,"Female","Male")</f>
        <v>Male</v>
      </c>
      <c r="D457" s="5">
        <v>0</v>
      </c>
      <c r="E457" s="5" t="str">
        <f>_xlfn.SWITCH(recruitment_data3[[#This Row],[EducationLevel]], 1,"Bachelor Type 1", 2,"Bachelor Type 2", 3,"Masters", 4,"PhD")</f>
        <v>Bachelor Type 2</v>
      </c>
      <c r="F457" s="5">
        <v>2</v>
      </c>
      <c r="G457" s="5">
        <v>12</v>
      </c>
      <c r="H457" s="5">
        <v>3</v>
      </c>
      <c r="I457" s="5">
        <v>44.884608941392415</v>
      </c>
      <c r="J457" s="5">
        <v>67</v>
      </c>
      <c r="K457" s="5">
        <v>32</v>
      </c>
      <c r="L457" s="5">
        <v>63</v>
      </c>
      <c r="M457" s="5" t="str">
        <f>_xlfn.SWITCH(recruitment_data3[[#This Row],[RecruitmentStrategy]], 1,"Aggressive", 2,"Moderate", 3,"Conservative")</f>
        <v>Moderate</v>
      </c>
      <c r="N457" s="5">
        <v>2</v>
      </c>
      <c r="O457" s="5" t="str">
        <f>IF(recruitment_data3[[#This Row],[HiringDecision]]=1,"Hired","Rejected")</f>
        <v>Rejected</v>
      </c>
      <c r="P457" s="6">
        <v>0</v>
      </c>
    </row>
    <row r="458" spans="1:16" x14ac:dyDescent="0.25">
      <c r="A458" s="4" t="str">
        <f t="shared" si="7"/>
        <v>C0457</v>
      </c>
      <c r="B458" s="4">
        <v>36</v>
      </c>
      <c r="C458" s="5" t="str">
        <f>IF(recruitment_data3[[#This Row],[Gender]]=1,"Female","Male")</f>
        <v>Male</v>
      </c>
      <c r="D458" s="5">
        <v>0</v>
      </c>
      <c r="E458" s="5" t="str">
        <f>_xlfn.SWITCH(recruitment_data3[[#This Row],[EducationLevel]], 1,"Bachelor Type 1", 2,"Bachelor Type 2", 3,"Masters", 4,"PhD")</f>
        <v>PhD</v>
      </c>
      <c r="F458" s="5">
        <v>4</v>
      </c>
      <c r="G458" s="5">
        <v>6</v>
      </c>
      <c r="H458" s="5">
        <v>1</v>
      </c>
      <c r="I458" s="5">
        <v>5.4783012158155335</v>
      </c>
      <c r="J458" s="5">
        <v>61</v>
      </c>
      <c r="K458" s="5">
        <v>4</v>
      </c>
      <c r="L458" s="5">
        <v>89</v>
      </c>
      <c r="M458" s="5" t="str">
        <f>_xlfn.SWITCH(recruitment_data3[[#This Row],[RecruitmentStrategy]], 1,"Aggressive", 2,"Moderate", 3,"Conservative")</f>
        <v>Moderate</v>
      </c>
      <c r="N458" s="5">
        <v>2</v>
      </c>
      <c r="O458" s="5" t="str">
        <f>IF(recruitment_data3[[#This Row],[HiringDecision]]=1,"Hired","Rejected")</f>
        <v>Rejected</v>
      </c>
      <c r="P458" s="6">
        <v>0</v>
      </c>
    </row>
    <row r="459" spans="1:16" x14ac:dyDescent="0.25">
      <c r="A459" s="4" t="str">
        <f t="shared" si="7"/>
        <v>C0458</v>
      </c>
      <c r="B459" s="4">
        <v>36</v>
      </c>
      <c r="C459" s="5" t="str">
        <f>IF(recruitment_data3[[#This Row],[Gender]]=1,"Female","Male")</f>
        <v>Male</v>
      </c>
      <c r="D459" s="5">
        <v>0</v>
      </c>
      <c r="E459" s="5" t="str">
        <f>_xlfn.SWITCH(recruitment_data3[[#This Row],[EducationLevel]], 1,"Bachelor Type 1", 2,"Bachelor Type 2", 3,"Masters", 4,"PhD")</f>
        <v>Masters</v>
      </c>
      <c r="F459" s="5">
        <v>3</v>
      </c>
      <c r="G459" s="5">
        <v>15</v>
      </c>
      <c r="H459" s="5">
        <v>4</v>
      </c>
      <c r="I459" s="5">
        <v>36.768205761444484</v>
      </c>
      <c r="J459" s="5">
        <v>79</v>
      </c>
      <c r="K459" s="5">
        <v>100</v>
      </c>
      <c r="L459" s="5">
        <v>15</v>
      </c>
      <c r="M459" s="5" t="str">
        <f>_xlfn.SWITCH(recruitment_data3[[#This Row],[RecruitmentStrategy]], 1,"Aggressive", 2,"Moderate", 3,"Conservative")</f>
        <v>Aggressive</v>
      </c>
      <c r="N459" s="5">
        <v>1</v>
      </c>
      <c r="O459" s="5" t="str">
        <f>IF(recruitment_data3[[#This Row],[HiringDecision]]=1,"Hired","Rejected")</f>
        <v>Hired</v>
      </c>
      <c r="P459" s="6">
        <v>1</v>
      </c>
    </row>
    <row r="460" spans="1:16" x14ac:dyDescent="0.25">
      <c r="A460" s="4" t="str">
        <f t="shared" si="7"/>
        <v>C0459</v>
      </c>
      <c r="B460" s="4">
        <v>31</v>
      </c>
      <c r="C460" s="5" t="str">
        <f>IF(recruitment_data3[[#This Row],[Gender]]=1,"Female","Male")</f>
        <v>Male</v>
      </c>
      <c r="D460" s="5">
        <v>0</v>
      </c>
      <c r="E460" s="5" t="str">
        <f>_xlfn.SWITCH(recruitment_data3[[#This Row],[EducationLevel]], 1,"Bachelor Type 1", 2,"Bachelor Type 2", 3,"Masters", 4,"PhD")</f>
        <v>Bachelor Type 2</v>
      </c>
      <c r="F460" s="5">
        <v>2</v>
      </c>
      <c r="G460" s="5">
        <v>7</v>
      </c>
      <c r="H460" s="5">
        <v>3</v>
      </c>
      <c r="I460" s="5">
        <v>14.557112669029403</v>
      </c>
      <c r="J460" s="5">
        <v>85</v>
      </c>
      <c r="K460" s="5">
        <v>77</v>
      </c>
      <c r="L460" s="5">
        <v>9</v>
      </c>
      <c r="M460" s="5" t="str">
        <f>_xlfn.SWITCH(recruitment_data3[[#This Row],[RecruitmentStrategy]], 1,"Aggressive", 2,"Moderate", 3,"Conservative")</f>
        <v>Aggressive</v>
      </c>
      <c r="N460" s="5">
        <v>1</v>
      </c>
      <c r="O460" s="5" t="str">
        <f>IF(recruitment_data3[[#This Row],[HiringDecision]]=1,"Hired","Rejected")</f>
        <v>Hired</v>
      </c>
      <c r="P460" s="6">
        <v>1</v>
      </c>
    </row>
    <row r="461" spans="1:16" x14ac:dyDescent="0.25">
      <c r="A461" s="4" t="str">
        <f t="shared" si="7"/>
        <v>C0460</v>
      </c>
      <c r="B461" s="4">
        <v>47</v>
      </c>
      <c r="C461" s="5" t="str">
        <f>IF(recruitment_data3[[#This Row],[Gender]]=1,"Female","Male")</f>
        <v>Female</v>
      </c>
      <c r="D461" s="5">
        <v>1</v>
      </c>
      <c r="E461" s="5" t="str">
        <f>_xlfn.SWITCH(recruitment_data3[[#This Row],[EducationLevel]], 1,"Bachelor Type 1", 2,"Bachelor Type 2", 3,"Masters", 4,"PhD")</f>
        <v>Bachelor Type 1</v>
      </c>
      <c r="F461" s="5">
        <v>1</v>
      </c>
      <c r="G461" s="5">
        <v>9</v>
      </c>
      <c r="H461" s="5">
        <v>5</v>
      </c>
      <c r="I461" s="5">
        <v>39.016411070206885</v>
      </c>
      <c r="J461" s="5">
        <v>75</v>
      </c>
      <c r="K461" s="5">
        <v>90</v>
      </c>
      <c r="L461" s="5">
        <v>65</v>
      </c>
      <c r="M461" s="5" t="str">
        <f>_xlfn.SWITCH(recruitment_data3[[#This Row],[RecruitmentStrategy]], 1,"Aggressive", 2,"Moderate", 3,"Conservative")</f>
        <v>Moderate</v>
      </c>
      <c r="N461" s="5">
        <v>2</v>
      </c>
      <c r="O461" s="5" t="str">
        <f>IF(recruitment_data3[[#This Row],[HiringDecision]]=1,"Hired","Rejected")</f>
        <v>Hired</v>
      </c>
      <c r="P461" s="6">
        <v>1</v>
      </c>
    </row>
    <row r="462" spans="1:16" x14ac:dyDescent="0.25">
      <c r="A462" s="4" t="str">
        <f t="shared" si="7"/>
        <v>C0461</v>
      </c>
      <c r="B462" s="4">
        <v>49</v>
      </c>
      <c r="C462" s="5" t="str">
        <f>IF(recruitment_data3[[#This Row],[Gender]]=1,"Female","Male")</f>
        <v>Female</v>
      </c>
      <c r="D462" s="5">
        <v>1</v>
      </c>
      <c r="E462" s="5" t="str">
        <f>_xlfn.SWITCH(recruitment_data3[[#This Row],[EducationLevel]], 1,"Bachelor Type 1", 2,"Bachelor Type 2", 3,"Masters", 4,"PhD")</f>
        <v>PhD</v>
      </c>
      <c r="F462" s="5">
        <v>4</v>
      </c>
      <c r="G462" s="5">
        <v>0</v>
      </c>
      <c r="H462" s="5">
        <v>3</v>
      </c>
      <c r="I462" s="5">
        <v>37.120569223177228</v>
      </c>
      <c r="J462" s="5">
        <v>79</v>
      </c>
      <c r="K462" s="5">
        <v>86</v>
      </c>
      <c r="L462" s="5">
        <v>34</v>
      </c>
      <c r="M462" s="5" t="str">
        <f>_xlfn.SWITCH(recruitment_data3[[#This Row],[RecruitmentStrategy]], 1,"Aggressive", 2,"Moderate", 3,"Conservative")</f>
        <v>Aggressive</v>
      </c>
      <c r="N462" s="5">
        <v>1</v>
      </c>
      <c r="O462" s="5" t="str">
        <f>IF(recruitment_data3[[#This Row],[HiringDecision]]=1,"Hired","Rejected")</f>
        <v>Hired</v>
      </c>
      <c r="P462" s="6">
        <v>1</v>
      </c>
    </row>
    <row r="463" spans="1:16" x14ac:dyDescent="0.25">
      <c r="A463" s="4" t="str">
        <f t="shared" si="7"/>
        <v>C0462</v>
      </c>
      <c r="B463" s="4">
        <v>48</v>
      </c>
      <c r="C463" s="5" t="str">
        <f>IF(recruitment_data3[[#This Row],[Gender]]=1,"Female","Male")</f>
        <v>Female</v>
      </c>
      <c r="D463" s="5">
        <v>1</v>
      </c>
      <c r="E463" s="5" t="str">
        <f>_xlfn.SWITCH(recruitment_data3[[#This Row],[EducationLevel]], 1,"Bachelor Type 1", 2,"Bachelor Type 2", 3,"Masters", 4,"PhD")</f>
        <v>PhD</v>
      </c>
      <c r="F463" s="5">
        <v>4</v>
      </c>
      <c r="G463" s="5">
        <v>6</v>
      </c>
      <c r="H463" s="5">
        <v>4</v>
      </c>
      <c r="I463" s="5">
        <v>1.3695950722146513</v>
      </c>
      <c r="J463" s="5">
        <v>50</v>
      </c>
      <c r="K463" s="5">
        <v>13</v>
      </c>
      <c r="L463" s="5">
        <v>82</v>
      </c>
      <c r="M463" s="5" t="str">
        <f>_xlfn.SWITCH(recruitment_data3[[#This Row],[RecruitmentStrategy]], 1,"Aggressive", 2,"Moderate", 3,"Conservative")</f>
        <v>Conservative</v>
      </c>
      <c r="N463" s="5">
        <v>3</v>
      </c>
      <c r="O463" s="5" t="str">
        <f>IF(recruitment_data3[[#This Row],[HiringDecision]]=1,"Hired","Rejected")</f>
        <v>Rejected</v>
      </c>
      <c r="P463" s="6">
        <v>0</v>
      </c>
    </row>
    <row r="464" spans="1:16" x14ac:dyDescent="0.25">
      <c r="A464" s="4" t="str">
        <f t="shared" si="7"/>
        <v>C0463</v>
      </c>
      <c r="B464" s="4">
        <v>33</v>
      </c>
      <c r="C464" s="5" t="str">
        <f>IF(recruitment_data3[[#This Row],[Gender]]=1,"Female","Male")</f>
        <v>Female</v>
      </c>
      <c r="D464" s="5">
        <v>1</v>
      </c>
      <c r="E464" s="5" t="str">
        <f>_xlfn.SWITCH(recruitment_data3[[#This Row],[EducationLevel]], 1,"Bachelor Type 1", 2,"Bachelor Type 2", 3,"Masters", 4,"PhD")</f>
        <v>Masters</v>
      </c>
      <c r="F464" s="5">
        <v>3</v>
      </c>
      <c r="G464" s="5">
        <v>12</v>
      </c>
      <c r="H464" s="5">
        <v>3</v>
      </c>
      <c r="I464" s="5">
        <v>26.456770646079956</v>
      </c>
      <c r="J464" s="5">
        <v>41</v>
      </c>
      <c r="K464" s="5">
        <v>67</v>
      </c>
      <c r="L464" s="5">
        <v>5</v>
      </c>
      <c r="M464" s="5" t="str">
        <f>_xlfn.SWITCH(recruitment_data3[[#This Row],[RecruitmentStrategy]], 1,"Aggressive", 2,"Moderate", 3,"Conservative")</f>
        <v>Aggressive</v>
      </c>
      <c r="N464" s="5">
        <v>1</v>
      </c>
      <c r="O464" s="5" t="str">
        <f>IF(recruitment_data3[[#This Row],[HiringDecision]]=1,"Hired","Rejected")</f>
        <v>Hired</v>
      </c>
      <c r="P464" s="6">
        <v>1</v>
      </c>
    </row>
    <row r="465" spans="1:16" x14ac:dyDescent="0.25">
      <c r="A465" s="4" t="str">
        <f t="shared" si="7"/>
        <v>C0464</v>
      </c>
      <c r="B465" s="4">
        <v>40</v>
      </c>
      <c r="C465" s="5" t="str">
        <f>IF(recruitment_data3[[#This Row],[Gender]]=1,"Female","Male")</f>
        <v>Male</v>
      </c>
      <c r="D465" s="5">
        <v>0</v>
      </c>
      <c r="E465" s="5" t="str">
        <f>_xlfn.SWITCH(recruitment_data3[[#This Row],[EducationLevel]], 1,"Bachelor Type 1", 2,"Bachelor Type 2", 3,"Masters", 4,"PhD")</f>
        <v>Bachelor Type 1</v>
      </c>
      <c r="F465" s="5">
        <v>1</v>
      </c>
      <c r="G465" s="5">
        <v>4</v>
      </c>
      <c r="H465" s="5">
        <v>5</v>
      </c>
      <c r="I465" s="5">
        <v>7.9659741189023183</v>
      </c>
      <c r="J465" s="5">
        <v>100</v>
      </c>
      <c r="K465" s="5">
        <v>82</v>
      </c>
      <c r="L465" s="5">
        <v>18</v>
      </c>
      <c r="M465" s="5" t="str">
        <f>_xlfn.SWITCH(recruitment_data3[[#This Row],[RecruitmentStrategy]], 1,"Aggressive", 2,"Moderate", 3,"Conservative")</f>
        <v>Moderate</v>
      </c>
      <c r="N465" s="5">
        <v>2</v>
      </c>
      <c r="O465" s="5" t="str">
        <f>IF(recruitment_data3[[#This Row],[HiringDecision]]=1,"Hired","Rejected")</f>
        <v>Rejected</v>
      </c>
      <c r="P465" s="6">
        <v>0</v>
      </c>
    </row>
    <row r="466" spans="1:16" x14ac:dyDescent="0.25">
      <c r="A466" s="4" t="str">
        <f t="shared" si="7"/>
        <v>C0465</v>
      </c>
      <c r="B466" s="4">
        <v>25</v>
      </c>
      <c r="C466" s="5" t="str">
        <f>IF(recruitment_data3[[#This Row],[Gender]]=1,"Female","Male")</f>
        <v>Female</v>
      </c>
      <c r="D466" s="5">
        <v>1</v>
      </c>
      <c r="E466" s="5" t="str">
        <f>_xlfn.SWITCH(recruitment_data3[[#This Row],[EducationLevel]], 1,"Bachelor Type 1", 2,"Bachelor Type 2", 3,"Masters", 4,"PhD")</f>
        <v>Bachelor Type 1</v>
      </c>
      <c r="F466" s="5">
        <v>1</v>
      </c>
      <c r="G466" s="5">
        <v>9</v>
      </c>
      <c r="H466" s="5">
        <v>1</v>
      </c>
      <c r="I466" s="5">
        <v>44.311351528933841</v>
      </c>
      <c r="J466" s="5">
        <v>28</v>
      </c>
      <c r="K466" s="5">
        <v>46</v>
      </c>
      <c r="L466" s="5">
        <v>58</v>
      </c>
      <c r="M466" s="5" t="str">
        <f>_xlfn.SWITCH(recruitment_data3[[#This Row],[RecruitmentStrategy]], 1,"Aggressive", 2,"Moderate", 3,"Conservative")</f>
        <v>Aggressive</v>
      </c>
      <c r="N466" s="5">
        <v>1</v>
      </c>
      <c r="O466" s="5" t="str">
        <f>IF(recruitment_data3[[#This Row],[HiringDecision]]=1,"Hired","Rejected")</f>
        <v>Rejected</v>
      </c>
      <c r="P466" s="6">
        <v>0</v>
      </c>
    </row>
    <row r="467" spans="1:16" x14ac:dyDescent="0.25">
      <c r="A467" s="4" t="str">
        <f t="shared" si="7"/>
        <v>C0466</v>
      </c>
      <c r="B467" s="4">
        <v>22</v>
      </c>
      <c r="C467" s="5" t="str">
        <f>IF(recruitment_data3[[#This Row],[Gender]]=1,"Female","Male")</f>
        <v>Male</v>
      </c>
      <c r="D467" s="5">
        <v>0</v>
      </c>
      <c r="E467" s="5" t="str">
        <f>_xlfn.SWITCH(recruitment_data3[[#This Row],[EducationLevel]], 1,"Bachelor Type 1", 2,"Bachelor Type 2", 3,"Masters", 4,"PhD")</f>
        <v>Bachelor Type 2</v>
      </c>
      <c r="F467" s="5">
        <v>2</v>
      </c>
      <c r="G467" s="5">
        <v>0</v>
      </c>
      <c r="H467" s="5">
        <v>5</v>
      </c>
      <c r="I467" s="5">
        <v>44.579294143120329</v>
      </c>
      <c r="J467" s="5">
        <v>81</v>
      </c>
      <c r="K467" s="5">
        <v>53</v>
      </c>
      <c r="L467" s="5">
        <v>52</v>
      </c>
      <c r="M467" s="5" t="str">
        <f>_xlfn.SWITCH(recruitment_data3[[#This Row],[RecruitmentStrategy]], 1,"Aggressive", 2,"Moderate", 3,"Conservative")</f>
        <v>Aggressive</v>
      </c>
      <c r="N467" s="5">
        <v>1</v>
      </c>
      <c r="O467" s="5" t="str">
        <f>IF(recruitment_data3[[#This Row],[HiringDecision]]=1,"Hired","Rejected")</f>
        <v>Hired</v>
      </c>
      <c r="P467" s="6">
        <v>1</v>
      </c>
    </row>
    <row r="468" spans="1:16" x14ac:dyDescent="0.25">
      <c r="A468" s="4" t="str">
        <f t="shared" si="7"/>
        <v>C0467</v>
      </c>
      <c r="B468" s="4">
        <v>47</v>
      </c>
      <c r="C468" s="5" t="str">
        <f>IF(recruitment_data3[[#This Row],[Gender]]=1,"Female","Male")</f>
        <v>Female</v>
      </c>
      <c r="D468" s="5">
        <v>1</v>
      </c>
      <c r="E468" s="5" t="str">
        <f>_xlfn.SWITCH(recruitment_data3[[#This Row],[EducationLevel]], 1,"Bachelor Type 1", 2,"Bachelor Type 2", 3,"Masters", 4,"PhD")</f>
        <v>Bachelor Type 1</v>
      </c>
      <c r="F468" s="5">
        <v>1</v>
      </c>
      <c r="G468" s="5">
        <v>2</v>
      </c>
      <c r="H468" s="5">
        <v>1</v>
      </c>
      <c r="I468" s="5">
        <v>21.917290374687902</v>
      </c>
      <c r="J468" s="5">
        <v>9</v>
      </c>
      <c r="K468" s="5">
        <v>3</v>
      </c>
      <c r="L468" s="5">
        <v>7</v>
      </c>
      <c r="M468" s="5" t="str">
        <f>_xlfn.SWITCH(recruitment_data3[[#This Row],[RecruitmentStrategy]], 1,"Aggressive", 2,"Moderate", 3,"Conservative")</f>
        <v>Moderate</v>
      </c>
      <c r="N468" s="5">
        <v>2</v>
      </c>
      <c r="O468" s="5" t="str">
        <f>IF(recruitment_data3[[#This Row],[HiringDecision]]=1,"Hired","Rejected")</f>
        <v>Rejected</v>
      </c>
      <c r="P468" s="6">
        <v>0</v>
      </c>
    </row>
    <row r="469" spans="1:16" x14ac:dyDescent="0.25">
      <c r="A469" s="4" t="str">
        <f t="shared" si="7"/>
        <v>C0468</v>
      </c>
      <c r="B469" s="4">
        <v>28</v>
      </c>
      <c r="C469" s="5" t="str">
        <f>IF(recruitment_data3[[#This Row],[Gender]]=1,"Female","Male")</f>
        <v>Male</v>
      </c>
      <c r="D469" s="5">
        <v>0</v>
      </c>
      <c r="E469" s="5" t="str">
        <f>_xlfn.SWITCH(recruitment_data3[[#This Row],[EducationLevel]], 1,"Bachelor Type 1", 2,"Bachelor Type 2", 3,"Masters", 4,"PhD")</f>
        <v>Bachelor Type 2</v>
      </c>
      <c r="F469" s="5">
        <v>2</v>
      </c>
      <c r="G469" s="5">
        <v>6</v>
      </c>
      <c r="H469" s="5">
        <v>2</v>
      </c>
      <c r="I469" s="5">
        <v>23.219780922554026</v>
      </c>
      <c r="J469" s="5">
        <v>38</v>
      </c>
      <c r="K469" s="5">
        <v>93</v>
      </c>
      <c r="L469" s="5">
        <v>77</v>
      </c>
      <c r="M469" s="5" t="str">
        <f>_xlfn.SWITCH(recruitment_data3[[#This Row],[RecruitmentStrategy]], 1,"Aggressive", 2,"Moderate", 3,"Conservative")</f>
        <v>Moderate</v>
      </c>
      <c r="N469" s="5">
        <v>2</v>
      </c>
      <c r="O469" s="5" t="str">
        <f>IF(recruitment_data3[[#This Row],[HiringDecision]]=1,"Hired","Rejected")</f>
        <v>Rejected</v>
      </c>
      <c r="P469" s="6">
        <v>0</v>
      </c>
    </row>
    <row r="470" spans="1:16" x14ac:dyDescent="0.25">
      <c r="A470" s="4" t="str">
        <f t="shared" si="7"/>
        <v>C0469</v>
      </c>
      <c r="B470" s="4">
        <v>24</v>
      </c>
      <c r="C470" s="5" t="str">
        <f>IF(recruitment_data3[[#This Row],[Gender]]=1,"Female","Male")</f>
        <v>Male</v>
      </c>
      <c r="D470" s="5">
        <v>0</v>
      </c>
      <c r="E470" s="5" t="str">
        <f>_xlfn.SWITCH(recruitment_data3[[#This Row],[EducationLevel]], 1,"Bachelor Type 1", 2,"Bachelor Type 2", 3,"Masters", 4,"PhD")</f>
        <v>PhD</v>
      </c>
      <c r="F470" s="5">
        <v>4</v>
      </c>
      <c r="G470" s="5">
        <v>9</v>
      </c>
      <c r="H470" s="5">
        <v>5</v>
      </c>
      <c r="I470" s="5">
        <v>16.164146970226355</v>
      </c>
      <c r="J470" s="5">
        <v>81</v>
      </c>
      <c r="K470" s="5">
        <v>82</v>
      </c>
      <c r="L470" s="5">
        <v>9</v>
      </c>
      <c r="M470" s="5" t="str">
        <f>_xlfn.SWITCH(recruitment_data3[[#This Row],[RecruitmentStrategy]], 1,"Aggressive", 2,"Moderate", 3,"Conservative")</f>
        <v>Aggressive</v>
      </c>
      <c r="N470" s="5">
        <v>1</v>
      </c>
      <c r="O470" s="5" t="str">
        <f>IF(recruitment_data3[[#This Row],[HiringDecision]]=1,"Hired","Rejected")</f>
        <v>Hired</v>
      </c>
      <c r="P470" s="6">
        <v>1</v>
      </c>
    </row>
    <row r="471" spans="1:16" x14ac:dyDescent="0.25">
      <c r="A471" s="4" t="str">
        <f t="shared" si="7"/>
        <v>C0470</v>
      </c>
      <c r="B471" s="4">
        <v>43</v>
      </c>
      <c r="C471" s="5" t="str">
        <f>IF(recruitment_data3[[#This Row],[Gender]]=1,"Female","Male")</f>
        <v>Female</v>
      </c>
      <c r="D471" s="5">
        <v>1</v>
      </c>
      <c r="E471" s="5" t="str">
        <f>_xlfn.SWITCH(recruitment_data3[[#This Row],[EducationLevel]], 1,"Bachelor Type 1", 2,"Bachelor Type 2", 3,"Masters", 4,"PhD")</f>
        <v>Bachelor Type 2</v>
      </c>
      <c r="F471" s="5">
        <v>2</v>
      </c>
      <c r="G471" s="5">
        <v>0</v>
      </c>
      <c r="H471" s="5">
        <v>5</v>
      </c>
      <c r="I471" s="5">
        <v>36.830314948001551</v>
      </c>
      <c r="J471" s="5">
        <v>0</v>
      </c>
      <c r="K471" s="5">
        <v>94</v>
      </c>
      <c r="L471" s="5">
        <v>66</v>
      </c>
      <c r="M471" s="5" t="str">
        <f>_xlfn.SWITCH(recruitment_data3[[#This Row],[RecruitmentStrategy]], 1,"Aggressive", 2,"Moderate", 3,"Conservative")</f>
        <v>Aggressive</v>
      </c>
      <c r="N471" s="5">
        <v>1</v>
      </c>
      <c r="O471" s="5" t="str">
        <f>IF(recruitment_data3[[#This Row],[HiringDecision]]=1,"Hired","Rejected")</f>
        <v>Hired</v>
      </c>
      <c r="P471" s="6">
        <v>1</v>
      </c>
    </row>
    <row r="472" spans="1:16" x14ac:dyDescent="0.25">
      <c r="A472" s="4" t="str">
        <f t="shared" si="7"/>
        <v>C0471</v>
      </c>
      <c r="B472" s="4">
        <v>48</v>
      </c>
      <c r="C472" s="5" t="str">
        <f>IF(recruitment_data3[[#This Row],[Gender]]=1,"Female","Male")</f>
        <v>Male</v>
      </c>
      <c r="D472" s="5">
        <v>0</v>
      </c>
      <c r="E472" s="5" t="str">
        <f>_xlfn.SWITCH(recruitment_data3[[#This Row],[EducationLevel]], 1,"Bachelor Type 1", 2,"Bachelor Type 2", 3,"Masters", 4,"PhD")</f>
        <v>Bachelor Type 1</v>
      </c>
      <c r="F472" s="5">
        <v>1</v>
      </c>
      <c r="G472" s="5">
        <v>6</v>
      </c>
      <c r="H472" s="5">
        <v>4</v>
      </c>
      <c r="I472" s="5">
        <v>18.933068151322956</v>
      </c>
      <c r="J472" s="5">
        <v>38</v>
      </c>
      <c r="K472" s="5">
        <v>94</v>
      </c>
      <c r="L472" s="5">
        <v>37</v>
      </c>
      <c r="M472" s="5" t="str">
        <f>_xlfn.SWITCH(recruitment_data3[[#This Row],[RecruitmentStrategy]], 1,"Aggressive", 2,"Moderate", 3,"Conservative")</f>
        <v>Aggressive</v>
      </c>
      <c r="N472" s="5">
        <v>1</v>
      </c>
      <c r="O472" s="5" t="str">
        <f>IF(recruitment_data3[[#This Row],[HiringDecision]]=1,"Hired","Rejected")</f>
        <v>Hired</v>
      </c>
      <c r="P472" s="6">
        <v>1</v>
      </c>
    </row>
    <row r="473" spans="1:16" x14ac:dyDescent="0.25">
      <c r="A473" s="4" t="str">
        <f t="shared" si="7"/>
        <v>C0472</v>
      </c>
      <c r="B473" s="4">
        <v>36</v>
      </c>
      <c r="C473" s="5" t="str">
        <f>IF(recruitment_data3[[#This Row],[Gender]]=1,"Female","Male")</f>
        <v>Male</v>
      </c>
      <c r="D473" s="5">
        <v>0</v>
      </c>
      <c r="E473" s="5" t="str">
        <f>_xlfn.SWITCH(recruitment_data3[[#This Row],[EducationLevel]], 1,"Bachelor Type 1", 2,"Bachelor Type 2", 3,"Masters", 4,"PhD")</f>
        <v>Bachelor Type 2</v>
      </c>
      <c r="F473" s="5">
        <v>2</v>
      </c>
      <c r="G473" s="5">
        <v>4</v>
      </c>
      <c r="H473" s="5">
        <v>3</v>
      </c>
      <c r="I473" s="5">
        <v>14.389623726131688</v>
      </c>
      <c r="J473" s="5">
        <v>20</v>
      </c>
      <c r="K473" s="5">
        <v>8</v>
      </c>
      <c r="L473" s="5">
        <v>28</v>
      </c>
      <c r="M473" s="5" t="str">
        <f>_xlfn.SWITCH(recruitment_data3[[#This Row],[RecruitmentStrategy]], 1,"Aggressive", 2,"Moderate", 3,"Conservative")</f>
        <v>Moderate</v>
      </c>
      <c r="N473" s="5">
        <v>2</v>
      </c>
      <c r="O473" s="5" t="str">
        <f>IF(recruitment_data3[[#This Row],[HiringDecision]]=1,"Hired","Rejected")</f>
        <v>Rejected</v>
      </c>
      <c r="P473" s="6">
        <v>0</v>
      </c>
    </row>
    <row r="474" spans="1:16" x14ac:dyDescent="0.25">
      <c r="A474" s="4" t="str">
        <f t="shared" si="7"/>
        <v>C0473</v>
      </c>
      <c r="B474" s="4">
        <v>33</v>
      </c>
      <c r="C474" s="5" t="str">
        <f>IF(recruitment_data3[[#This Row],[Gender]]=1,"Female","Male")</f>
        <v>Female</v>
      </c>
      <c r="D474" s="5">
        <v>1</v>
      </c>
      <c r="E474" s="5" t="str">
        <f>_xlfn.SWITCH(recruitment_data3[[#This Row],[EducationLevel]], 1,"Bachelor Type 1", 2,"Bachelor Type 2", 3,"Masters", 4,"PhD")</f>
        <v>Bachelor Type 1</v>
      </c>
      <c r="F474" s="5">
        <v>1</v>
      </c>
      <c r="G474" s="5">
        <v>0</v>
      </c>
      <c r="H474" s="5">
        <v>1</v>
      </c>
      <c r="I474" s="5">
        <v>22.611552975225411</v>
      </c>
      <c r="J474" s="5">
        <v>64</v>
      </c>
      <c r="K474" s="5">
        <v>52</v>
      </c>
      <c r="L474" s="5">
        <v>14</v>
      </c>
      <c r="M474" s="5" t="str">
        <f>_xlfn.SWITCH(recruitment_data3[[#This Row],[RecruitmentStrategy]], 1,"Aggressive", 2,"Moderate", 3,"Conservative")</f>
        <v>Moderate</v>
      </c>
      <c r="N474" s="5">
        <v>2</v>
      </c>
      <c r="O474" s="5" t="str">
        <f>IF(recruitment_data3[[#This Row],[HiringDecision]]=1,"Hired","Rejected")</f>
        <v>Rejected</v>
      </c>
      <c r="P474" s="6">
        <v>0</v>
      </c>
    </row>
    <row r="475" spans="1:16" x14ac:dyDescent="0.25">
      <c r="A475" s="4" t="str">
        <f t="shared" si="7"/>
        <v>C0474</v>
      </c>
      <c r="B475" s="4">
        <v>40</v>
      </c>
      <c r="C475" s="5" t="str">
        <f>IF(recruitment_data3[[#This Row],[Gender]]=1,"Female","Male")</f>
        <v>Male</v>
      </c>
      <c r="D475" s="5">
        <v>0</v>
      </c>
      <c r="E475" s="5" t="str">
        <f>_xlfn.SWITCH(recruitment_data3[[#This Row],[EducationLevel]], 1,"Bachelor Type 1", 2,"Bachelor Type 2", 3,"Masters", 4,"PhD")</f>
        <v>Bachelor Type 1</v>
      </c>
      <c r="F475" s="5">
        <v>1</v>
      </c>
      <c r="G475" s="5">
        <v>0</v>
      </c>
      <c r="H475" s="5">
        <v>1</v>
      </c>
      <c r="I475" s="5">
        <v>5.5743759193729359</v>
      </c>
      <c r="J475" s="5">
        <v>14</v>
      </c>
      <c r="K475" s="5">
        <v>76</v>
      </c>
      <c r="L475" s="5">
        <v>86</v>
      </c>
      <c r="M475" s="5" t="str">
        <f>_xlfn.SWITCH(recruitment_data3[[#This Row],[RecruitmentStrategy]], 1,"Aggressive", 2,"Moderate", 3,"Conservative")</f>
        <v>Aggressive</v>
      </c>
      <c r="N475" s="5">
        <v>1</v>
      </c>
      <c r="O475" s="5" t="str">
        <f>IF(recruitment_data3[[#This Row],[HiringDecision]]=1,"Hired","Rejected")</f>
        <v>Hired</v>
      </c>
      <c r="P475" s="6">
        <v>1</v>
      </c>
    </row>
    <row r="476" spans="1:16" x14ac:dyDescent="0.25">
      <c r="A476" s="4" t="str">
        <f t="shared" si="7"/>
        <v>C0475</v>
      </c>
      <c r="B476" s="4">
        <v>50</v>
      </c>
      <c r="C476" s="5" t="str">
        <f>IF(recruitment_data3[[#This Row],[Gender]]=1,"Female","Male")</f>
        <v>Female</v>
      </c>
      <c r="D476" s="5">
        <v>1</v>
      </c>
      <c r="E476" s="5" t="str">
        <f>_xlfn.SWITCH(recruitment_data3[[#This Row],[EducationLevel]], 1,"Bachelor Type 1", 2,"Bachelor Type 2", 3,"Masters", 4,"PhD")</f>
        <v>Bachelor Type 2</v>
      </c>
      <c r="F476" s="5">
        <v>2</v>
      </c>
      <c r="G476" s="5">
        <v>13</v>
      </c>
      <c r="H476" s="5">
        <v>4</v>
      </c>
      <c r="I476" s="5">
        <v>38.33016023221019</v>
      </c>
      <c r="J476" s="5">
        <v>3</v>
      </c>
      <c r="K476" s="5">
        <v>77</v>
      </c>
      <c r="L476" s="5">
        <v>22</v>
      </c>
      <c r="M476" s="5" t="str">
        <f>_xlfn.SWITCH(recruitment_data3[[#This Row],[RecruitmentStrategy]], 1,"Aggressive", 2,"Moderate", 3,"Conservative")</f>
        <v>Moderate</v>
      </c>
      <c r="N476" s="5">
        <v>2</v>
      </c>
      <c r="O476" s="5" t="str">
        <f>IF(recruitment_data3[[#This Row],[HiringDecision]]=1,"Hired","Rejected")</f>
        <v>Rejected</v>
      </c>
      <c r="P476" s="6">
        <v>0</v>
      </c>
    </row>
    <row r="477" spans="1:16" x14ac:dyDescent="0.25">
      <c r="A477" s="4" t="str">
        <f t="shared" si="7"/>
        <v>C0476</v>
      </c>
      <c r="B477" s="4">
        <v>22</v>
      </c>
      <c r="C477" s="5" t="str">
        <f>IF(recruitment_data3[[#This Row],[Gender]]=1,"Female","Male")</f>
        <v>Female</v>
      </c>
      <c r="D477" s="5">
        <v>1</v>
      </c>
      <c r="E477" s="5" t="str">
        <f>_xlfn.SWITCH(recruitment_data3[[#This Row],[EducationLevel]], 1,"Bachelor Type 1", 2,"Bachelor Type 2", 3,"Masters", 4,"PhD")</f>
        <v>Bachelor Type 2</v>
      </c>
      <c r="F477" s="5">
        <v>2</v>
      </c>
      <c r="G477" s="5">
        <v>0</v>
      </c>
      <c r="H477" s="5">
        <v>4</v>
      </c>
      <c r="I477" s="5">
        <v>1.6298200635893481</v>
      </c>
      <c r="J477" s="5">
        <v>59</v>
      </c>
      <c r="K477" s="5">
        <v>59</v>
      </c>
      <c r="L477" s="5">
        <v>81</v>
      </c>
      <c r="M477" s="5" t="str">
        <f>_xlfn.SWITCH(recruitment_data3[[#This Row],[RecruitmentStrategy]], 1,"Aggressive", 2,"Moderate", 3,"Conservative")</f>
        <v>Moderate</v>
      </c>
      <c r="N477" s="5">
        <v>2</v>
      </c>
      <c r="O477" s="5" t="str">
        <f>IF(recruitment_data3[[#This Row],[HiringDecision]]=1,"Hired","Rejected")</f>
        <v>Rejected</v>
      </c>
      <c r="P477" s="6">
        <v>0</v>
      </c>
    </row>
    <row r="478" spans="1:16" x14ac:dyDescent="0.25">
      <c r="A478" s="4" t="str">
        <f t="shared" si="7"/>
        <v>C0477</v>
      </c>
      <c r="B478" s="4">
        <v>47</v>
      </c>
      <c r="C478" s="5" t="str">
        <f>IF(recruitment_data3[[#This Row],[Gender]]=1,"Female","Male")</f>
        <v>Female</v>
      </c>
      <c r="D478" s="5">
        <v>1</v>
      </c>
      <c r="E478" s="5" t="str">
        <f>_xlfn.SWITCH(recruitment_data3[[#This Row],[EducationLevel]], 1,"Bachelor Type 1", 2,"Bachelor Type 2", 3,"Masters", 4,"PhD")</f>
        <v>Masters</v>
      </c>
      <c r="F478" s="5">
        <v>3</v>
      </c>
      <c r="G478" s="5">
        <v>10</v>
      </c>
      <c r="H478" s="5">
        <v>3</v>
      </c>
      <c r="I478" s="5">
        <v>33.224253076029697</v>
      </c>
      <c r="J478" s="5">
        <v>60</v>
      </c>
      <c r="K478" s="5">
        <v>45</v>
      </c>
      <c r="L478" s="5">
        <v>45</v>
      </c>
      <c r="M478" s="5" t="str">
        <f>_xlfn.SWITCH(recruitment_data3[[#This Row],[RecruitmentStrategy]], 1,"Aggressive", 2,"Moderate", 3,"Conservative")</f>
        <v>Conservative</v>
      </c>
      <c r="N478" s="5">
        <v>3</v>
      </c>
      <c r="O478" s="5" t="str">
        <f>IF(recruitment_data3[[#This Row],[HiringDecision]]=1,"Hired","Rejected")</f>
        <v>Rejected</v>
      </c>
      <c r="P478" s="6">
        <v>0</v>
      </c>
    </row>
    <row r="479" spans="1:16" x14ac:dyDescent="0.25">
      <c r="A479" s="4" t="str">
        <f t="shared" si="7"/>
        <v>C0478</v>
      </c>
      <c r="B479" s="4">
        <v>20</v>
      </c>
      <c r="C479" s="5" t="str">
        <f>IF(recruitment_data3[[#This Row],[Gender]]=1,"Female","Male")</f>
        <v>Male</v>
      </c>
      <c r="D479" s="5">
        <v>0</v>
      </c>
      <c r="E479" s="5" t="str">
        <f>_xlfn.SWITCH(recruitment_data3[[#This Row],[EducationLevel]], 1,"Bachelor Type 1", 2,"Bachelor Type 2", 3,"Masters", 4,"PhD")</f>
        <v>PhD</v>
      </c>
      <c r="F479" s="5">
        <v>4</v>
      </c>
      <c r="G479" s="5">
        <v>8</v>
      </c>
      <c r="H479" s="5">
        <v>3</v>
      </c>
      <c r="I479" s="5">
        <v>10.14322633774362</v>
      </c>
      <c r="J479" s="5">
        <v>19</v>
      </c>
      <c r="K479" s="5">
        <v>53</v>
      </c>
      <c r="L479" s="5">
        <v>82</v>
      </c>
      <c r="M479" s="5" t="str">
        <f>_xlfn.SWITCH(recruitment_data3[[#This Row],[RecruitmentStrategy]], 1,"Aggressive", 2,"Moderate", 3,"Conservative")</f>
        <v>Conservative</v>
      </c>
      <c r="N479" s="5">
        <v>3</v>
      </c>
      <c r="O479" s="5" t="str">
        <f>IF(recruitment_data3[[#This Row],[HiringDecision]]=1,"Hired","Rejected")</f>
        <v>Hired</v>
      </c>
      <c r="P479" s="6">
        <v>1</v>
      </c>
    </row>
    <row r="480" spans="1:16" x14ac:dyDescent="0.25">
      <c r="A480" s="4" t="str">
        <f t="shared" si="7"/>
        <v>C0479</v>
      </c>
      <c r="B480" s="4">
        <v>39</v>
      </c>
      <c r="C480" s="5" t="str">
        <f>IF(recruitment_data3[[#This Row],[Gender]]=1,"Female","Male")</f>
        <v>Male</v>
      </c>
      <c r="D480" s="5">
        <v>0</v>
      </c>
      <c r="E480" s="5" t="str">
        <f>_xlfn.SWITCH(recruitment_data3[[#This Row],[EducationLevel]], 1,"Bachelor Type 1", 2,"Bachelor Type 2", 3,"Masters", 4,"PhD")</f>
        <v>Bachelor Type 2</v>
      </c>
      <c r="F480" s="5">
        <v>2</v>
      </c>
      <c r="G480" s="5">
        <v>10</v>
      </c>
      <c r="H480" s="5">
        <v>5</v>
      </c>
      <c r="I480" s="5">
        <v>12.620202310720657</v>
      </c>
      <c r="J480" s="5">
        <v>9</v>
      </c>
      <c r="K480" s="5">
        <v>73</v>
      </c>
      <c r="L480" s="5">
        <v>27</v>
      </c>
      <c r="M480" s="5" t="str">
        <f>_xlfn.SWITCH(recruitment_data3[[#This Row],[RecruitmentStrategy]], 1,"Aggressive", 2,"Moderate", 3,"Conservative")</f>
        <v>Moderate</v>
      </c>
      <c r="N480" s="5">
        <v>2</v>
      </c>
      <c r="O480" s="5" t="str">
        <f>IF(recruitment_data3[[#This Row],[HiringDecision]]=1,"Hired","Rejected")</f>
        <v>Rejected</v>
      </c>
      <c r="P480" s="6">
        <v>0</v>
      </c>
    </row>
    <row r="481" spans="1:16" x14ac:dyDescent="0.25">
      <c r="A481" s="4" t="str">
        <f t="shared" si="7"/>
        <v>C0480</v>
      </c>
      <c r="B481" s="4">
        <v>50</v>
      </c>
      <c r="C481" s="5" t="str">
        <f>IF(recruitment_data3[[#This Row],[Gender]]=1,"Female","Male")</f>
        <v>Male</v>
      </c>
      <c r="D481" s="5">
        <v>0</v>
      </c>
      <c r="E481" s="5" t="str">
        <f>_xlfn.SWITCH(recruitment_data3[[#This Row],[EducationLevel]], 1,"Bachelor Type 1", 2,"Bachelor Type 2", 3,"Masters", 4,"PhD")</f>
        <v>Bachelor Type 2</v>
      </c>
      <c r="F481" s="5">
        <v>2</v>
      </c>
      <c r="G481" s="5">
        <v>12</v>
      </c>
      <c r="H481" s="5">
        <v>2</v>
      </c>
      <c r="I481" s="5">
        <v>32.781599932001996</v>
      </c>
      <c r="J481" s="5">
        <v>86</v>
      </c>
      <c r="K481" s="5">
        <v>94</v>
      </c>
      <c r="L481" s="5">
        <v>25</v>
      </c>
      <c r="M481" s="5" t="str">
        <f>_xlfn.SWITCH(recruitment_data3[[#This Row],[RecruitmentStrategy]], 1,"Aggressive", 2,"Moderate", 3,"Conservative")</f>
        <v>Aggressive</v>
      </c>
      <c r="N481" s="5">
        <v>1</v>
      </c>
      <c r="O481" s="5" t="str">
        <f>IF(recruitment_data3[[#This Row],[HiringDecision]]=1,"Hired","Rejected")</f>
        <v>Hired</v>
      </c>
      <c r="P481" s="6">
        <v>1</v>
      </c>
    </row>
    <row r="482" spans="1:16" x14ac:dyDescent="0.25">
      <c r="A482" s="4" t="str">
        <f t="shared" si="7"/>
        <v>C0481</v>
      </c>
      <c r="B482" s="4">
        <v>48</v>
      </c>
      <c r="C482" s="5" t="str">
        <f>IF(recruitment_data3[[#This Row],[Gender]]=1,"Female","Male")</f>
        <v>Female</v>
      </c>
      <c r="D482" s="5">
        <v>1</v>
      </c>
      <c r="E482" s="5" t="str">
        <f>_xlfn.SWITCH(recruitment_data3[[#This Row],[EducationLevel]], 1,"Bachelor Type 1", 2,"Bachelor Type 2", 3,"Masters", 4,"PhD")</f>
        <v>Masters</v>
      </c>
      <c r="F482" s="5">
        <v>3</v>
      </c>
      <c r="G482" s="5">
        <v>2</v>
      </c>
      <c r="H482" s="5">
        <v>3</v>
      </c>
      <c r="I482" s="5">
        <v>50.647173289145357</v>
      </c>
      <c r="J482" s="5">
        <v>33</v>
      </c>
      <c r="K482" s="5">
        <v>36</v>
      </c>
      <c r="L482" s="5">
        <v>9</v>
      </c>
      <c r="M482" s="5" t="str">
        <f>_xlfn.SWITCH(recruitment_data3[[#This Row],[RecruitmentStrategy]], 1,"Aggressive", 2,"Moderate", 3,"Conservative")</f>
        <v>Aggressive</v>
      </c>
      <c r="N482" s="5">
        <v>1</v>
      </c>
      <c r="O482" s="5" t="str">
        <f>IF(recruitment_data3[[#This Row],[HiringDecision]]=1,"Hired","Rejected")</f>
        <v>Rejected</v>
      </c>
      <c r="P482" s="6">
        <v>0</v>
      </c>
    </row>
    <row r="483" spans="1:16" x14ac:dyDescent="0.25">
      <c r="A483" s="4" t="str">
        <f t="shared" si="7"/>
        <v>C0482</v>
      </c>
      <c r="B483" s="4">
        <v>40</v>
      </c>
      <c r="C483" s="5" t="str">
        <f>IF(recruitment_data3[[#This Row],[Gender]]=1,"Female","Male")</f>
        <v>Male</v>
      </c>
      <c r="D483" s="5">
        <v>0</v>
      </c>
      <c r="E483" s="5" t="str">
        <f>_xlfn.SWITCH(recruitment_data3[[#This Row],[EducationLevel]], 1,"Bachelor Type 1", 2,"Bachelor Type 2", 3,"Masters", 4,"PhD")</f>
        <v>Bachelor Type 2</v>
      </c>
      <c r="F483" s="5">
        <v>2</v>
      </c>
      <c r="G483" s="5">
        <v>14</v>
      </c>
      <c r="H483" s="5">
        <v>4</v>
      </c>
      <c r="I483" s="5">
        <v>39.885874453627537</v>
      </c>
      <c r="J483" s="5">
        <v>47</v>
      </c>
      <c r="K483" s="5">
        <v>22</v>
      </c>
      <c r="L483" s="5">
        <v>46</v>
      </c>
      <c r="M483" s="5" t="str">
        <f>_xlfn.SWITCH(recruitment_data3[[#This Row],[RecruitmentStrategy]], 1,"Aggressive", 2,"Moderate", 3,"Conservative")</f>
        <v>Moderate</v>
      </c>
      <c r="N483" s="5">
        <v>2</v>
      </c>
      <c r="O483" s="5" t="str">
        <f>IF(recruitment_data3[[#This Row],[HiringDecision]]=1,"Hired","Rejected")</f>
        <v>Rejected</v>
      </c>
      <c r="P483" s="6">
        <v>0</v>
      </c>
    </row>
    <row r="484" spans="1:16" x14ac:dyDescent="0.25">
      <c r="A484" s="4" t="str">
        <f t="shared" si="7"/>
        <v>C0483</v>
      </c>
      <c r="B484" s="4">
        <v>42</v>
      </c>
      <c r="C484" s="5" t="str">
        <f>IF(recruitment_data3[[#This Row],[Gender]]=1,"Female","Male")</f>
        <v>Female</v>
      </c>
      <c r="D484" s="5">
        <v>1</v>
      </c>
      <c r="E484" s="5" t="str">
        <f>_xlfn.SWITCH(recruitment_data3[[#This Row],[EducationLevel]], 1,"Bachelor Type 1", 2,"Bachelor Type 2", 3,"Masters", 4,"PhD")</f>
        <v>Bachelor Type 1</v>
      </c>
      <c r="F484" s="5">
        <v>1</v>
      </c>
      <c r="G484" s="5">
        <v>12</v>
      </c>
      <c r="H484" s="5">
        <v>3</v>
      </c>
      <c r="I484" s="5">
        <v>12.2919816111696</v>
      </c>
      <c r="J484" s="5">
        <v>32</v>
      </c>
      <c r="K484" s="5">
        <v>26</v>
      </c>
      <c r="L484" s="5">
        <v>3</v>
      </c>
      <c r="M484" s="5" t="str">
        <f>_xlfn.SWITCH(recruitment_data3[[#This Row],[RecruitmentStrategy]], 1,"Aggressive", 2,"Moderate", 3,"Conservative")</f>
        <v>Conservative</v>
      </c>
      <c r="N484" s="5">
        <v>3</v>
      </c>
      <c r="O484" s="5" t="str">
        <f>IF(recruitment_data3[[#This Row],[HiringDecision]]=1,"Hired","Rejected")</f>
        <v>Rejected</v>
      </c>
      <c r="P484" s="6">
        <v>0</v>
      </c>
    </row>
    <row r="485" spans="1:16" x14ac:dyDescent="0.25">
      <c r="A485" s="4" t="str">
        <f t="shared" si="7"/>
        <v>C0484</v>
      </c>
      <c r="B485" s="4">
        <v>20</v>
      </c>
      <c r="C485" s="5" t="str">
        <f>IF(recruitment_data3[[#This Row],[Gender]]=1,"Female","Male")</f>
        <v>Female</v>
      </c>
      <c r="D485" s="5">
        <v>1</v>
      </c>
      <c r="E485" s="5" t="str">
        <f>_xlfn.SWITCH(recruitment_data3[[#This Row],[EducationLevel]], 1,"Bachelor Type 1", 2,"Bachelor Type 2", 3,"Masters", 4,"PhD")</f>
        <v>Masters</v>
      </c>
      <c r="F485" s="5">
        <v>3</v>
      </c>
      <c r="G485" s="5">
        <v>4</v>
      </c>
      <c r="H485" s="5">
        <v>1</v>
      </c>
      <c r="I485" s="5">
        <v>9.8012377520566893</v>
      </c>
      <c r="J485" s="5">
        <v>97</v>
      </c>
      <c r="K485" s="5">
        <v>69</v>
      </c>
      <c r="L485" s="5">
        <v>54</v>
      </c>
      <c r="M485" s="5" t="str">
        <f>_xlfn.SWITCH(recruitment_data3[[#This Row],[RecruitmentStrategy]], 1,"Aggressive", 2,"Moderate", 3,"Conservative")</f>
        <v>Moderate</v>
      </c>
      <c r="N485" s="5">
        <v>2</v>
      </c>
      <c r="O485" s="5" t="str">
        <f>IF(recruitment_data3[[#This Row],[HiringDecision]]=1,"Hired","Rejected")</f>
        <v>Rejected</v>
      </c>
      <c r="P485" s="6">
        <v>0</v>
      </c>
    </row>
    <row r="486" spans="1:16" x14ac:dyDescent="0.25">
      <c r="A486" s="4" t="str">
        <f t="shared" si="7"/>
        <v>C0485</v>
      </c>
      <c r="B486" s="4">
        <v>22</v>
      </c>
      <c r="C486" s="5" t="str">
        <f>IF(recruitment_data3[[#This Row],[Gender]]=1,"Female","Male")</f>
        <v>Male</v>
      </c>
      <c r="D486" s="5">
        <v>0</v>
      </c>
      <c r="E486" s="5" t="str">
        <f>_xlfn.SWITCH(recruitment_data3[[#This Row],[EducationLevel]], 1,"Bachelor Type 1", 2,"Bachelor Type 2", 3,"Masters", 4,"PhD")</f>
        <v>Bachelor Type 1</v>
      </c>
      <c r="F486" s="5">
        <v>1</v>
      </c>
      <c r="G486" s="5">
        <v>10</v>
      </c>
      <c r="H486" s="5">
        <v>2</v>
      </c>
      <c r="I486" s="5">
        <v>44.311643513383515</v>
      </c>
      <c r="J486" s="5">
        <v>60</v>
      </c>
      <c r="K486" s="5">
        <v>89</v>
      </c>
      <c r="L486" s="5">
        <v>65</v>
      </c>
      <c r="M486" s="5" t="str">
        <f>_xlfn.SWITCH(recruitment_data3[[#This Row],[RecruitmentStrategy]], 1,"Aggressive", 2,"Moderate", 3,"Conservative")</f>
        <v>Moderate</v>
      </c>
      <c r="N486" s="5">
        <v>2</v>
      </c>
      <c r="O486" s="5" t="str">
        <f>IF(recruitment_data3[[#This Row],[HiringDecision]]=1,"Hired","Rejected")</f>
        <v>Rejected</v>
      </c>
      <c r="P486" s="6">
        <v>0</v>
      </c>
    </row>
    <row r="487" spans="1:16" x14ac:dyDescent="0.25">
      <c r="A487" s="4" t="str">
        <f t="shared" si="7"/>
        <v>C0486</v>
      </c>
      <c r="B487" s="4">
        <v>37</v>
      </c>
      <c r="C487" s="5" t="str">
        <f>IF(recruitment_data3[[#This Row],[Gender]]=1,"Female","Male")</f>
        <v>Female</v>
      </c>
      <c r="D487" s="5">
        <v>1</v>
      </c>
      <c r="E487" s="5" t="str">
        <f>_xlfn.SWITCH(recruitment_data3[[#This Row],[EducationLevel]], 1,"Bachelor Type 1", 2,"Bachelor Type 2", 3,"Masters", 4,"PhD")</f>
        <v>Bachelor Type 2</v>
      </c>
      <c r="F487" s="5">
        <v>2</v>
      </c>
      <c r="G487" s="5">
        <v>15</v>
      </c>
      <c r="H487" s="5">
        <v>5</v>
      </c>
      <c r="I487" s="5">
        <v>23.209197396075215</v>
      </c>
      <c r="J487" s="5">
        <v>9</v>
      </c>
      <c r="K487" s="5">
        <v>65</v>
      </c>
      <c r="L487" s="5">
        <v>66</v>
      </c>
      <c r="M487" s="5" t="str">
        <f>_xlfn.SWITCH(recruitment_data3[[#This Row],[RecruitmentStrategy]], 1,"Aggressive", 2,"Moderate", 3,"Conservative")</f>
        <v>Moderate</v>
      </c>
      <c r="N487" s="5">
        <v>2</v>
      </c>
      <c r="O487" s="5" t="str">
        <f>IF(recruitment_data3[[#This Row],[HiringDecision]]=1,"Hired","Rejected")</f>
        <v>Rejected</v>
      </c>
      <c r="P487" s="6">
        <v>0</v>
      </c>
    </row>
    <row r="488" spans="1:16" x14ac:dyDescent="0.25">
      <c r="A488" s="4" t="str">
        <f t="shared" si="7"/>
        <v>C0487</v>
      </c>
      <c r="B488" s="4">
        <v>44</v>
      </c>
      <c r="C488" s="5" t="str">
        <f>IF(recruitment_data3[[#This Row],[Gender]]=1,"Female","Male")</f>
        <v>Male</v>
      </c>
      <c r="D488" s="5">
        <v>0</v>
      </c>
      <c r="E488" s="5" t="str">
        <f>_xlfn.SWITCH(recruitment_data3[[#This Row],[EducationLevel]], 1,"Bachelor Type 1", 2,"Bachelor Type 2", 3,"Masters", 4,"PhD")</f>
        <v>Bachelor Type 2</v>
      </c>
      <c r="F488" s="5">
        <v>2</v>
      </c>
      <c r="G488" s="5">
        <v>9</v>
      </c>
      <c r="H488" s="5">
        <v>1</v>
      </c>
      <c r="I488" s="5">
        <v>7.8526401414077736</v>
      </c>
      <c r="J488" s="5">
        <v>53</v>
      </c>
      <c r="K488" s="5">
        <v>60</v>
      </c>
      <c r="L488" s="5">
        <v>6</v>
      </c>
      <c r="M488" s="5" t="str">
        <f>_xlfn.SWITCH(recruitment_data3[[#This Row],[RecruitmentStrategy]], 1,"Aggressive", 2,"Moderate", 3,"Conservative")</f>
        <v>Moderate</v>
      </c>
      <c r="N488" s="5">
        <v>2</v>
      </c>
      <c r="O488" s="5" t="str">
        <f>IF(recruitment_data3[[#This Row],[HiringDecision]]=1,"Hired","Rejected")</f>
        <v>Rejected</v>
      </c>
      <c r="P488" s="6">
        <v>0</v>
      </c>
    </row>
    <row r="489" spans="1:16" x14ac:dyDescent="0.25">
      <c r="A489" s="4" t="str">
        <f t="shared" si="7"/>
        <v>C0488</v>
      </c>
      <c r="B489" s="4">
        <v>29</v>
      </c>
      <c r="C489" s="5" t="str">
        <f>IF(recruitment_data3[[#This Row],[Gender]]=1,"Female","Male")</f>
        <v>Male</v>
      </c>
      <c r="D489" s="5">
        <v>0</v>
      </c>
      <c r="E489" s="5" t="str">
        <f>_xlfn.SWITCH(recruitment_data3[[#This Row],[EducationLevel]], 1,"Bachelor Type 1", 2,"Bachelor Type 2", 3,"Masters", 4,"PhD")</f>
        <v>Bachelor Type 2</v>
      </c>
      <c r="F489" s="5">
        <v>2</v>
      </c>
      <c r="G489" s="5">
        <v>11</v>
      </c>
      <c r="H489" s="5">
        <v>1</v>
      </c>
      <c r="I489" s="5">
        <v>44.110571166096904</v>
      </c>
      <c r="J489" s="5">
        <v>83</v>
      </c>
      <c r="K489" s="5">
        <v>76</v>
      </c>
      <c r="L489" s="5">
        <v>54</v>
      </c>
      <c r="M489" s="5" t="str">
        <f>_xlfn.SWITCH(recruitment_data3[[#This Row],[RecruitmentStrategy]], 1,"Aggressive", 2,"Moderate", 3,"Conservative")</f>
        <v>Aggressive</v>
      </c>
      <c r="N489" s="5">
        <v>1</v>
      </c>
      <c r="O489" s="5" t="str">
        <f>IF(recruitment_data3[[#This Row],[HiringDecision]]=1,"Hired","Rejected")</f>
        <v>Hired</v>
      </c>
      <c r="P489" s="6">
        <v>1</v>
      </c>
    </row>
    <row r="490" spans="1:16" x14ac:dyDescent="0.25">
      <c r="A490" s="4" t="str">
        <f t="shared" si="7"/>
        <v>C0489</v>
      </c>
      <c r="B490" s="4">
        <v>50</v>
      </c>
      <c r="C490" s="5" t="str">
        <f>IF(recruitment_data3[[#This Row],[Gender]]=1,"Female","Male")</f>
        <v>Male</v>
      </c>
      <c r="D490" s="5">
        <v>0</v>
      </c>
      <c r="E490" s="5" t="str">
        <f>_xlfn.SWITCH(recruitment_data3[[#This Row],[EducationLevel]], 1,"Bachelor Type 1", 2,"Bachelor Type 2", 3,"Masters", 4,"PhD")</f>
        <v>Bachelor Type 2</v>
      </c>
      <c r="F490" s="5">
        <v>2</v>
      </c>
      <c r="G490" s="5">
        <v>15</v>
      </c>
      <c r="H490" s="5">
        <v>2</v>
      </c>
      <c r="I490" s="5">
        <v>41.804617645713073</v>
      </c>
      <c r="J490" s="5">
        <v>64</v>
      </c>
      <c r="K490" s="5">
        <v>50</v>
      </c>
      <c r="L490" s="5">
        <v>79</v>
      </c>
      <c r="M490" s="5" t="str">
        <f>_xlfn.SWITCH(recruitment_data3[[#This Row],[RecruitmentStrategy]], 1,"Aggressive", 2,"Moderate", 3,"Conservative")</f>
        <v>Moderate</v>
      </c>
      <c r="N490" s="5">
        <v>2</v>
      </c>
      <c r="O490" s="5" t="str">
        <f>IF(recruitment_data3[[#This Row],[HiringDecision]]=1,"Hired","Rejected")</f>
        <v>Rejected</v>
      </c>
      <c r="P490" s="6">
        <v>0</v>
      </c>
    </row>
    <row r="491" spans="1:16" x14ac:dyDescent="0.25">
      <c r="A491" s="4" t="str">
        <f t="shared" si="7"/>
        <v>C0490</v>
      </c>
      <c r="B491" s="4">
        <v>41</v>
      </c>
      <c r="C491" s="5" t="str">
        <f>IF(recruitment_data3[[#This Row],[Gender]]=1,"Female","Male")</f>
        <v>Male</v>
      </c>
      <c r="D491" s="5">
        <v>0</v>
      </c>
      <c r="E491" s="5" t="str">
        <f>_xlfn.SWITCH(recruitment_data3[[#This Row],[EducationLevel]], 1,"Bachelor Type 1", 2,"Bachelor Type 2", 3,"Masters", 4,"PhD")</f>
        <v>Masters</v>
      </c>
      <c r="F491" s="5">
        <v>3</v>
      </c>
      <c r="G491" s="5">
        <v>8</v>
      </c>
      <c r="H491" s="5">
        <v>5</v>
      </c>
      <c r="I491" s="5">
        <v>50.195318194858181</v>
      </c>
      <c r="J491" s="5">
        <v>76</v>
      </c>
      <c r="K491" s="5">
        <v>49</v>
      </c>
      <c r="L491" s="5">
        <v>30</v>
      </c>
      <c r="M491" s="5" t="str">
        <f>_xlfn.SWITCH(recruitment_data3[[#This Row],[RecruitmentStrategy]], 1,"Aggressive", 2,"Moderate", 3,"Conservative")</f>
        <v>Aggressive</v>
      </c>
      <c r="N491" s="5">
        <v>1</v>
      </c>
      <c r="O491" s="5" t="str">
        <f>IF(recruitment_data3[[#This Row],[HiringDecision]]=1,"Hired","Rejected")</f>
        <v>Hired</v>
      </c>
      <c r="P491" s="6">
        <v>1</v>
      </c>
    </row>
    <row r="492" spans="1:16" x14ac:dyDescent="0.25">
      <c r="A492" s="4" t="str">
        <f t="shared" si="7"/>
        <v>C0491</v>
      </c>
      <c r="B492" s="4">
        <v>45</v>
      </c>
      <c r="C492" s="5" t="str">
        <f>IF(recruitment_data3[[#This Row],[Gender]]=1,"Female","Male")</f>
        <v>Male</v>
      </c>
      <c r="D492" s="5">
        <v>0</v>
      </c>
      <c r="E492" s="5" t="str">
        <f>_xlfn.SWITCH(recruitment_data3[[#This Row],[EducationLevel]], 1,"Bachelor Type 1", 2,"Bachelor Type 2", 3,"Masters", 4,"PhD")</f>
        <v>Bachelor Type 1</v>
      </c>
      <c r="F492" s="5">
        <v>1</v>
      </c>
      <c r="G492" s="5">
        <v>5</v>
      </c>
      <c r="H492" s="5">
        <v>4</v>
      </c>
      <c r="I492" s="5">
        <v>46.487184335634197</v>
      </c>
      <c r="J492" s="5">
        <v>0</v>
      </c>
      <c r="K492" s="5">
        <v>18</v>
      </c>
      <c r="L492" s="5">
        <v>73</v>
      </c>
      <c r="M492" s="5" t="str">
        <f>_xlfn.SWITCH(recruitment_data3[[#This Row],[RecruitmentStrategy]], 1,"Aggressive", 2,"Moderate", 3,"Conservative")</f>
        <v>Aggressive</v>
      </c>
      <c r="N492" s="5">
        <v>1</v>
      </c>
      <c r="O492" s="5" t="str">
        <f>IF(recruitment_data3[[#This Row],[HiringDecision]]=1,"Hired","Rejected")</f>
        <v>Rejected</v>
      </c>
      <c r="P492" s="6">
        <v>0</v>
      </c>
    </row>
    <row r="493" spans="1:16" x14ac:dyDescent="0.25">
      <c r="A493" s="4" t="str">
        <f t="shared" si="7"/>
        <v>C0492</v>
      </c>
      <c r="B493" s="4">
        <v>22</v>
      </c>
      <c r="C493" s="5" t="str">
        <f>IF(recruitment_data3[[#This Row],[Gender]]=1,"Female","Male")</f>
        <v>Female</v>
      </c>
      <c r="D493" s="5">
        <v>1</v>
      </c>
      <c r="E493" s="5" t="str">
        <f>_xlfn.SWITCH(recruitment_data3[[#This Row],[EducationLevel]], 1,"Bachelor Type 1", 2,"Bachelor Type 2", 3,"Masters", 4,"PhD")</f>
        <v>Bachelor Type 2</v>
      </c>
      <c r="F493" s="5">
        <v>2</v>
      </c>
      <c r="G493" s="5">
        <v>11</v>
      </c>
      <c r="H493" s="5">
        <v>5</v>
      </c>
      <c r="I493" s="5">
        <v>43.589516933027085</v>
      </c>
      <c r="J493" s="5">
        <v>4</v>
      </c>
      <c r="K493" s="5">
        <v>0</v>
      </c>
      <c r="L493" s="5">
        <v>18</v>
      </c>
      <c r="M493" s="5" t="str">
        <f>_xlfn.SWITCH(recruitment_data3[[#This Row],[RecruitmentStrategy]], 1,"Aggressive", 2,"Moderate", 3,"Conservative")</f>
        <v>Moderate</v>
      </c>
      <c r="N493" s="5">
        <v>2</v>
      </c>
      <c r="O493" s="5" t="str">
        <f>IF(recruitment_data3[[#This Row],[HiringDecision]]=1,"Hired","Rejected")</f>
        <v>Rejected</v>
      </c>
      <c r="P493" s="6">
        <v>0</v>
      </c>
    </row>
    <row r="494" spans="1:16" x14ac:dyDescent="0.25">
      <c r="A494" s="4" t="str">
        <f t="shared" si="7"/>
        <v>C0493</v>
      </c>
      <c r="B494" s="4">
        <v>27</v>
      </c>
      <c r="C494" s="5" t="str">
        <f>IF(recruitment_data3[[#This Row],[Gender]]=1,"Female","Male")</f>
        <v>Female</v>
      </c>
      <c r="D494" s="5">
        <v>1</v>
      </c>
      <c r="E494" s="5" t="str">
        <f>_xlfn.SWITCH(recruitment_data3[[#This Row],[EducationLevel]], 1,"Bachelor Type 1", 2,"Bachelor Type 2", 3,"Masters", 4,"PhD")</f>
        <v>Masters</v>
      </c>
      <c r="F494" s="5">
        <v>3</v>
      </c>
      <c r="G494" s="5">
        <v>8</v>
      </c>
      <c r="H494" s="5">
        <v>3</v>
      </c>
      <c r="I494" s="5">
        <v>3.6287198905501574</v>
      </c>
      <c r="J494" s="5">
        <v>79</v>
      </c>
      <c r="K494" s="5">
        <v>39</v>
      </c>
      <c r="L494" s="5">
        <v>27</v>
      </c>
      <c r="M494" s="5" t="str">
        <f>_xlfn.SWITCH(recruitment_data3[[#This Row],[RecruitmentStrategy]], 1,"Aggressive", 2,"Moderate", 3,"Conservative")</f>
        <v>Aggressive</v>
      </c>
      <c r="N494" s="5">
        <v>1</v>
      </c>
      <c r="O494" s="5" t="str">
        <f>IF(recruitment_data3[[#This Row],[HiringDecision]]=1,"Hired","Rejected")</f>
        <v>Hired</v>
      </c>
      <c r="P494" s="6">
        <v>1</v>
      </c>
    </row>
    <row r="495" spans="1:16" x14ac:dyDescent="0.25">
      <c r="A495" s="4" t="str">
        <f t="shared" si="7"/>
        <v>C0494</v>
      </c>
      <c r="B495" s="4">
        <v>33</v>
      </c>
      <c r="C495" s="5" t="str">
        <f>IF(recruitment_data3[[#This Row],[Gender]]=1,"Female","Male")</f>
        <v>Female</v>
      </c>
      <c r="D495" s="5">
        <v>1</v>
      </c>
      <c r="E495" s="5" t="str">
        <f>_xlfn.SWITCH(recruitment_data3[[#This Row],[EducationLevel]], 1,"Bachelor Type 1", 2,"Bachelor Type 2", 3,"Masters", 4,"PhD")</f>
        <v>Bachelor Type 2</v>
      </c>
      <c r="F495" s="5">
        <v>2</v>
      </c>
      <c r="G495" s="5">
        <v>7</v>
      </c>
      <c r="H495" s="5">
        <v>1</v>
      </c>
      <c r="I495" s="5">
        <v>6.2207684749059009</v>
      </c>
      <c r="J495" s="5">
        <v>14</v>
      </c>
      <c r="K495" s="5">
        <v>31</v>
      </c>
      <c r="L495" s="5">
        <v>80</v>
      </c>
      <c r="M495" s="5" t="str">
        <f>_xlfn.SWITCH(recruitment_data3[[#This Row],[RecruitmentStrategy]], 1,"Aggressive", 2,"Moderate", 3,"Conservative")</f>
        <v>Aggressive</v>
      </c>
      <c r="N495" s="5">
        <v>1</v>
      </c>
      <c r="O495" s="5" t="str">
        <f>IF(recruitment_data3[[#This Row],[HiringDecision]]=1,"Hired","Rejected")</f>
        <v>Hired</v>
      </c>
      <c r="P495" s="6">
        <v>1</v>
      </c>
    </row>
    <row r="496" spans="1:16" x14ac:dyDescent="0.25">
      <c r="A496" s="4" t="str">
        <f t="shared" si="7"/>
        <v>C0495</v>
      </c>
      <c r="B496" s="4">
        <v>43</v>
      </c>
      <c r="C496" s="5" t="str">
        <f>IF(recruitment_data3[[#This Row],[Gender]]=1,"Female","Male")</f>
        <v>Male</v>
      </c>
      <c r="D496" s="5">
        <v>0</v>
      </c>
      <c r="E496" s="5" t="str">
        <f>_xlfn.SWITCH(recruitment_data3[[#This Row],[EducationLevel]], 1,"Bachelor Type 1", 2,"Bachelor Type 2", 3,"Masters", 4,"PhD")</f>
        <v>Bachelor Type 1</v>
      </c>
      <c r="F496" s="5">
        <v>1</v>
      </c>
      <c r="G496" s="5">
        <v>7</v>
      </c>
      <c r="H496" s="5">
        <v>3</v>
      </c>
      <c r="I496" s="5">
        <v>29.44915971520614</v>
      </c>
      <c r="J496" s="5">
        <v>27</v>
      </c>
      <c r="K496" s="5">
        <v>21</v>
      </c>
      <c r="L496" s="5">
        <v>27</v>
      </c>
      <c r="M496" s="5" t="str">
        <f>_xlfn.SWITCH(recruitment_data3[[#This Row],[RecruitmentStrategy]], 1,"Aggressive", 2,"Moderate", 3,"Conservative")</f>
        <v>Aggressive</v>
      </c>
      <c r="N496" s="5">
        <v>1</v>
      </c>
      <c r="O496" s="5" t="str">
        <f>IF(recruitment_data3[[#This Row],[HiringDecision]]=1,"Hired","Rejected")</f>
        <v>Rejected</v>
      </c>
      <c r="P496" s="6">
        <v>0</v>
      </c>
    </row>
    <row r="497" spans="1:16" x14ac:dyDescent="0.25">
      <c r="A497" s="4" t="str">
        <f t="shared" si="7"/>
        <v>C0496</v>
      </c>
      <c r="B497" s="4">
        <v>37</v>
      </c>
      <c r="C497" s="5" t="str">
        <f>IF(recruitment_data3[[#This Row],[Gender]]=1,"Female","Male")</f>
        <v>Male</v>
      </c>
      <c r="D497" s="5">
        <v>0</v>
      </c>
      <c r="E497" s="5" t="str">
        <f>_xlfn.SWITCH(recruitment_data3[[#This Row],[EducationLevel]], 1,"Bachelor Type 1", 2,"Bachelor Type 2", 3,"Masters", 4,"PhD")</f>
        <v>Masters</v>
      </c>
      <c r="F497" s="5">
        <v>3</v>
      </c>
      <c r="G497" s="5">
        <v>0</v>
      </c>
      <c r="H497" s="5">
        <v>4</v>
      </c>
      <c r="I497" s="5">
        <v>27.573962314091045</v>
      </c>
      <c r="J497" s="5">
        <v>94</v>
      </c>
      <c r="K497" s="5">
        <v>92</v>
      </c>
      <c r="L497" s="5">
        <v>18</v>
      </c>
      <c r="M497" s="5" t="str">
        <f>_xlfn.SWITCH(recruitment_data3[[#This Row],[RecruitmentStrategy]], 1,"Aggressive", 2,"Moderate", 3,"Conservative")</f>
        <v>Conservative</v>
      </c>
      <c r="N497" s="5">
        <v>3</v>
      </c>
      <c r="O497" s="5" t="str">
        <f>IF(recruitment_data3[[#This Row],[HiringDecision]]=1,"Hired","Rejected")</f>
        <v>Rejected</v>
      </c>
      <c r="P497" s="6">
        <v>0</v>
      </c>
    </row>
    <row r="498" spans="1:16" x14ac:dyDescent="0.25">
      <c r="A498" s="4" t="str">
        <f t="shared" si="7"/>
        <v>C0497</v>
      </c>
      <c r="B498" s="4">
        <v>34</v>
      </c>
      <c r="C498" s="5" t="str">
        <f>IF(recruitment_data3[[#This Row],[Gender]]=1,"Female","Male")</f>
        <v>Male</v>
      </c>
      <c r="D498" s="5">
        <v>0</v>
      </c>
      <c r="E498" s="5" t="str">
        <f>_xlfn.SWITCH(recruitment_data3[[#This Row],[EducationLevel]], 1,"Bachelor Type 1", 2,"Bachelor Type 2", 3,"Masters", 4,"PhD")</f>
        <v>Bachelor Type 2</v>
      </c>
      <c r="F498" s="5">
        <v>2</v>
      </c>
      <c r="G498" s="5">
        <v>12</v>
      </c>
      <c r="H498" s="5">
        <v>3</v>
      </c>
      <c r="I498" s="5">
        <v>23.898160724476774</v>
      </c>
      <c r="J498" s="5">
        <v>22</v>
      </c>
      <c r="K498" s="5">
        <v>65</v>
      </c>
      <c r="L498" s="5">
        <v>100</v>
      </c>
      <c r="M498" s="5" t="str">
        <f>_xlfn.SWITCH(recruitment_data3[[#This Row],[RecruitmentStrategy]], 1,"Aggressive", 2,"Moderate", 3,"Conservative")</f>
        <v>Moderate</v>
      </c>
      <c r="N498" s="5">
        <v>2</v>
      </c>
      <c r="O498" s="5" t="str">
        <f>IF(recruitment_data3[[#This Row],[HiringDecision]]=1,"Hired","Rejected")</f>
        <v>Rejected</v>
      </c>
      <c r="P498" s="6">
        <v>0</v>
      </c>
    </row>
    <row r="499" spans="1:16" x14ac:dyDescent="0.25">
      <c r="A499" s="4" t="str">
        <f t="shared" si="7"/>
        <v>C0498</v>
      </c>
      <c r="B499" s="4">
        <v>41</v>
      </c>
      <c r="C499" s="5" t="str">
        <f>IF(recruitment_data3[[#This Row],[Gender]]=1,"Female","Male")</f>
        <v>Female</v>
      </c>
      <c r="D499" s="5">
        <v>1</v>
      </c>
      <c r="E499" s="5" t="str">
        <f>_xlfn.SWITCH(recruitment_data3[[#This Row],[EducationLevel]], 1,"Bachelor Type 1", 2,"Bachelor Type 2", 3,"Masters", 4,"PhD")</f>
        <v>Masters</v>
      </c>
      <c r="F499" s="5">
        <v>3</v>
      </c>
      <c r="G499" s="5">
        <v>8</v>
      </c>
      <c r="H499" s="5">
        <v>5</v>
      </c>
      <c r="I499" s="5">
        <v>20.839466270729211</v>
      </c>
      <c r="J499" s="5">
        <v>16</v>
      </c>
      <c r="K499" s="5">
        <v>39</v>
      </c>
      <c r="L499" s="5">
        <v>86</v>
      </c>
      <c r="M499" s="5" t="str">
        <f>_xlfn.SWITCH(recruitment_data3[[#This Row],[RecruitmentStrategy]], 1,"Aggressive", 2,"Moderate", 3,"Conservative")</f>
        <v>Aggressive</v>
      </c>
      <c r="N499" s="5">
        <v>1</v>
      </c>
      <c r="O499" s="5" t="str">
        <f>IF(recruitment_data3[[#This Row],[HiringDecision]]=1,"Hired","Rejected")</f>
        <v>Hired</v>
      </c>
      <c r="P499" s="6">
        <v>1</v>
      </c>
    </row>
    <row r="500" spans="1:16" x14ac:dyDescent="0.25">
      <c r="A500" s="4" t="str">
        <f t="shared" si="7"/>
        <v>C0499</v>
      </c>
      <c r="B500" s="4">
        <v>42</v>
      </c>
      <c r="C500" s="5" t="str">
        <f>IF(recruitment_data3[[#This Row],[Gender]]=1,"Female","Male")</f>
        <v>Male</v>
      </c>
      <c r="D500" s="5">
        <v>0</v>
      </c>
      <c r="E500" s="5" t="str">
        <f>_xlfn.SWITCH(recruitment_data3[[#This Row],[EducationLevel]], 1,"Bachelor Type 1", 2,"Bachelor Type 2", 3,"Masters", 4,"PhD")</f>
        <v>Masters</v>
      </c>
      <c r="F500" s="5">
        <v>3</v>
      </c>
      <c r="G500" s="5">
        <v>5</v>
      </c>
      <c r="H500" s="5">
        <v>3</v>
      </c>
      <c r="I500" s="5">
        <v>22.560524243216445</v>
      </c>
      <c r="J500" s="5">
        <v>97</v>
      </c>
      <c r="K500" s="5">
        <v>37</v>
      </c>
      <c r="L500" s="5">
        <v>19</v>
      </c>
      <c r="M500" s="5" t="str">
        <f>_xlfn.SWITCH(recruitment_data3[[#This Row],[RecruitmentStrategy]], 1,"Aggressive", 2,"Moderate", 3,"Conservative")</f>
        <v>Moderate</v>
      </c>
      <c r="N500" s="5">
        <v>2</v>
      </c>
      <c r="O500" s="5" t="str">
        <f>IF(recruitment_data3[[#This Row],[HiringDecision]]=1,"Hired","Rejected")</f>
        <v>Rejected</v>
      </c>
      <c r="P500" s="6">
        <v>0</v>
      </c>
    </row>
    <row r="501" spans="1:16" x14ac:dyDescent="0.25">
      <c r="A501" s="4" t="str">
        <f t="shared" si="7"/>
        <v>C0500</v>
      </c>
      <c r="B501" s="4">
        <v>21</v>
      </c>
      <c r="C501" s="5" t="str">
        <f>IF(recruitment_data3[[#This Row],[Gender]]=1,"Female","Male")</f>
        <v>Female</v>
      </c>
      <c r="D501" s="5">
        <v>1</v>
      </c>
      <c r="E501" s="5" t="str">
        <f>_xlfn.SWITCH(recruitment_data3[[#This Row],[EducationLevel]], 1,"Bachelor Type 1", 2,"Bachelor Type 2", 3,"Masters", 4,"PhD")</f>
        <v>Bachelor Type 2</v>
      </c>
      <c r="F501" s="5">
        <v>2</v>
      </c>
      <c r="G501" s="5">
        <v>15</v>
      </c>
      <c r="H501" s="5">
        <v>4</v>
      </c>
      <c r="I501" s="5">
        <v>29.464896706739761</v>
      </c>
      <c r="J501" s="5">
        <v>12</v>
      </c>
      <c r="K501" s="5">
        <v>47</v>
      </c>
      <c r="L501" s="5">
        <v>12</v>
      </c>
      <c r="M501" s="5" t="str">
        <f>_xlfn.SWITCH(recruitment_data3[[#This Row],[RecruitmentStrategy]], 1,"Aggressive", 2,"Moderate", 3,"Conservative")</f>
        <v>Aggressive</v>
      </c>
      <c r="N501" s="5">
        <v>1</v>
      </c>
      <c r="O501" s="5" t="str">
        <f>IF(recruitment_data3[[#This Row],[HiringDecision]]=1,"Hired","Rejected")</f>
        <v>Rejected</v>
      </c>
      <c r="P501" s="6">
        <v>0</v>
      </c>
    </row>
    <row r="502" spans="1:16" x14ac:dyDescent="0.25">
      <c r="A502" s="4" t="str">
        <f t="shared" si="7"/>
        <v>C0501</v>
      </c>
      <c r="B502" s="4">
        <v>50</v>
      </c>
      <c r="C502" s="5" t="str">
        <f>IF(recruitment_data3[[#This Row],[Gender]]=1,"Female","Male")</f>
        <v>Female</v>
      </c>
      <c r="D502" s="5">
        <v>1</v>
      </c>
      <c r="E502" s="5" t="str">
        <f>_xlfn.SWITCH(recruitment_data3[[#This Row],[EducationLevel]], 1,"Bachelor Type 1", 2,"Bachelor Type 2", 3,"Masters", 4,"PhD")</f>
        <v>Bachelor Type 2</v>
      </c>
      <c r="F502" s="5">
        <v>2</v>
      </c>
      <c r="G502" s="5">
        <v>8</v>
      </c>
      <c r="H502" s="5">
        <v>4</v>
      </c>
      <c r="I502" s="5">
        <v>1.1038258800040603</v>
      </c>
      <c r="J502" s="5">
        <v>13</v>
      </c>
      <c r="K502" s="5">
        <v>54</v>
      </c>
      <c r="L502" s="5">
        <v>76</v>
      </c>
      <c r="M502" s="5" t="str">
        <f>_xlfn.SWITCH(recruitment_data3[[#This Row],[RecruitmentStrategy]], 1,"Aggressive", 2,"Moderate", 3,"Conservative")</f>
        <v>Moderate</v>
      </c>
      <c r="N502" s="5">
        <v>2</v>
      </c>
      <c r="O502" s="5" t="str">
        <f>IF(recruitment_data3[[#This Row],[HiringDecision]]=1,"Hired","Rejected")</f>
        <v>Rejected</v>
      </c>
      <c r="P502" s="6">
        <v>0</v>
      </c>
    </row>
    <row r="503" spans="1:16" x14ac:dyDescent="0.25">
      <c r="A503" s="4" t="str">
        <f t="shared" si="7"/>
        <v>C0502</v>
      </c>
      <c r="B503" s="4">
        <v>46</v>
      </c>
      <c r="C503" s="5" t="str">
        <f>IF(recruitment_data3[[#This Row],[Gender]]=1,"Female","Male")</f>
        <v>Male</v>
      </c>
      <c r="D503" s="5">
        <v>0</v>
      </c>
      <c r="E503" s="5" t="str">
        <f>_xlfn.SWITCH(recruitment_data3[[#This Row],[EducationLevel]], 1,"Bachelor Type 1", 2,"Bachelor Type 2", 3,"Masters", 4,"PhD")</f>
        <v>PhD</v>
      </c>
      <c r="F503" s="5">
        <v>4</v>
      </c>
      <c r="G503" s="5">
        <v>2</v>
      </c>
      <c r="H503" s="5">
        <v>4</v>
      </c>
      <c r="I503" s="5">
        <v>14.03543870664261</v>
      </c>
      <c r="J503" s="5">
        <v>10</v>
      </c>
      <c r="K503" s="5">
        <v>74</v>
      </c>
      <c r="L503" s="5">
        <v>42</v>
      </c>
      <c r="M503" s="5" t="str">
        <f>_xlfn.SWITCH(recruitment_data3[[#This Row],[RecruitmentStrategy]], 1,"Aggressive", 2,"Moderate", 3,"Conservative")</f>
        <v>Moderate</v>
      </c>
      <c r="N503" s="5">
        <v>2</v>
      </c>
      <c r="O503" s="5" t="str">
        <f>IF(recruitment_data3[[#This Row],[HiringDecision]]=1,"Hired","Rejected")</f>
        <v>Rejected</v>
      </c>
      <c r="P503" s="6">
        <v>0</v>
      </c>
    </row>
    <row r="504" spans="1:16" x14ac:dyDescent="0.25">
      <c r="A504" s="4" t="str">
        <f t="shared" si="7"/>
        <v>C0503</v>
      </c>
      <c r="B504" s="4">
        <v>29</v>
      </c>
      <c r="C504" s="5" t="str">
        <f>IF(recruitment_data3[[#This Row],[Gender]]=1,"Female","Male")</f>
        <v>Male</v>
      </c>
      <c r="D504" s="5">
        <v>0</v>
      </c>
      <c r="E504" s="5" t="str">
        <f>_xlfn.SWITCH(recruitment_data3[[#This Row],[EducationLevel]], 1,"Bachelor Type 1", 2,"Bachelor Type 2", 3,"Masters", 4,"PhD")</f>
        <v>Bachelor Type 1</v>
      </c>
      <c r="F504" s="5">
        <v>1</v>
      </c>
      <c r="G504" s="5">
        <v>11</v>
      </c>
      <c r="H504" s="5">
        <v>5</v>
      </c>
      <c r="I504" s="5">
        <v>26.913986034435553</v>
      </c>
      <c r="J504" s="5">
        <v>27</v>
      </c>
      <c r="K504" s="5">
        <v>80</v>
      </c>
      <c r="L504" s="5">
        <v>10</v>
      </c>
      <c r="M504" s="5" t="str">
        <f>_xlfn.SWITCH(recruitment_data3[[#This Row],[RecruitmentStrategy]], 1,"Aggressive", 2,"Moderate", 3,"Conservative")</f>
        <v>Conservative</v>
      </c>
      <c r="N504" s="5">
        <v>3</v>
      </c>
      <c r="O504" s="5" t="str">
        <f>IF(recruitment_data3[[#This Row],[HiringDecision]]=1,"Hired","Rejected")</f>
        <v>Rejected</v>
      </c>
      <c r="P504" s="6">
        <v>0</v>
      </c>
    </row>
    <row r="505" spans="1:16" x14ac:dyDescent="0.25">
      <c r="A505" s="4" t="str">
        <f t="shared" si="7"/>
        <v>C0504</v>
      </c>
      <c r="B505" s="4">
        <v>21</v>
      </c>
      <c r="C505" s="5" t="str">
        <f>IF(recruitment_data3[[#This Row],[Gender]]=1,"Female","Male")</f>
        <v>Female</v>
      </c>
      <c r="D505" s="5">
        <v>1</v>
      </c>
      <c r="E505" s="5" t="str">
        <f>_xlfn.SWITCH(recruitment_data3[[#This Row],[EducationLevel]], 1,"Bachelor Type 1", 2,"Bachelor Type 2", 3,"Masters", 4,"PhD")</f>
        <v>Masters</v>
      </c>
      <c r="F505" s="5">
        <v>3</v>
      </c>
      <c r="G505" s="5">
        <v>2</v>
      </c>
      <c r="H505" s="5">
        <v>4</v>
      </c>
      <c r="I505" s="5">
        <v>37.11080493368231</v>
      </c>
      <c r="J505" s="5">
        <v>41</v>
      </c>
      <c r="K505" s="5">
        <v>54</v>
      </c>
      <c r="L505" s="5">
        <v>47</v>
      </c>
      <c r="M505" s="5" t="str">
        <f>_xlfn.SWITCH(recruitment_data3[[#This Row],[RecruitmentStrategy]], 1,"Aggressive", 2,"Moderate", 3,"Conservative")</f>
        <v>Moderate</v>
      </c>
      <c r="N505" s="5">
        <v>2</v>
      </c>
      <c r="O505" s="5" t="str">
        <f>IF(recruitment_data3[[#This Row],[HiringDecision]]=1,"Hired","Rejected")</f>
        <v>Rejected</v>
      </c>
      <c r="P505" s="6">
        <v>0</v>
      </c>
    </row>
    <row r="506" spans="1:16" x14ac:dyDescent="0.25">
      <c r="A506" s="4" t="str">
        <f t="shared" si="7"/>
        <v>C0505</v>
      </c>
      <c r="B506" s="4">
        <v>45</v>
      </c>
      <c r="C506" s="5" t="str">
        <f>IF(recruitment_data3[[#This Row],[Gender]]=1,"Female","Male")</f>
        <v>Male</v>
      </c>
      <c r="D506" s="5">
        <v>0</v>
      </c>
      <c r="E506" s="5" t="str">
        <f>_xlfn.SWITCH(recruitment_data3[[#This Row],[EducationLevel]], 1,"Bachelor Type 1", 2,"Bachelor Type 2", 3,"Masters", 4,"PhD")</f>
        <v>Bachelor Type 1</v>
      </c>
      <c r="F506" s="5">
        <v>1</v>
      </c>
      <c r="G506" s="5">
        <v>5</v>
      </c>
      <c r="H506" s="5">
        <v>1</v>
      </c>
      <c r="I506" s="5">
        <v>9.707834619769816</v>
      </c>
      <c r="J506" s="5">
        <v>95</v>
      </c>
      <c r="K506" s="5">
        <v>50</v>
      </c>
      <c r="L506" s="5">
        <v>14</v>
      </c>
      <c r="M506" s="5" t="str">
        <f>_xlfn.SWITCH(recruitment_data3[[#This Row],[RecruitmentStrategy]], 1,"Aggressive", 2,"Moderate", 3,"Conservative")</f>
        <v>Conservative</v>
      </c>
      <c r="N506" s="5">
        <v>3</v>
      </c>
      <c r="O506" s="5" t="str">
        <f>IF(recruitment_data3[[#This Row],[HiringDecision]]=1,"Hired","Rejected")</f>
        <v>Rejected</v>
      </c>
      <c r="P506" s="6">
        <v>0</v>
      </c>
    </row>
    <row r="507" spans="1:16" x14ac:dyDescent="0.25">
      <c r="A507" s="4" t="str">
        <f t="shared" si="7"/>
        <v>C0506</v>
      </c>
      <c r="B507" s="4">
        <v>36</v>
      </c>
      <c r="C507" s="5" t="str">
        <f>IF(recruitment_data3[[#This Row],[Gender]]=1,"Female","Male")</f>
        <v>Female</v>
      </c>
      <c r="D507" s="5">
        <v>1</v>
      </c>
      <c r="E507" s="5" t="str">
        <f>_xlfn.SWITCH(recruitment_data3[[#This Row],[EducationLevel]], 1,"Bachelor Type 1", 2,"Bachelor Type 2", 3,"Masters", 4,"PhD")</f>
        <v>Bachelor Type 2</v>
      </c>
      <c r="F507" s="5">
        <v>2</v>
      </c>
      <c r="G507" s="5">
        <v>8</v>
      </c>
      <c r="H507" s="5">
        <v>4</v>
      </c>
      <c r="I507" s="5">
        <v>28.344058689371646</v>
      </c>
      <c r="J507" s="5">
        <v>98</v>
      </c>
      <c r="K507" s="5">
        <v>59</v>
      </c>
      <c r="L507" s="5">
        <v>16</v>
      </c>
      <c r="M507" s="5" t="str">
        <f>_xlfn.SWITCH(recruitment_data3[[#This Row],[RecruitmentStrategy]], 1,"Aggressive", 2,"Moderate", 3,"Conservative")</f>
        <v>Conservative</v>
      </c>
      <c r="N507" s="5">
        <v>3</v>
      </c>
      <c r="O507" s="5" t="str">
        <f>IF(recruitment_data3[[#This Row],[HiringDecision]]=1,"Hired","Rejected")</f>
        <v>Rejected</v>
      </c>
      <c r="P507" s="6">
        <v>0</v>
      </c>
    </row>
    <row r="508" spans="1:16" x14ac:dyDescent="0.25">
      <c r="A508" s="4" t="str">
        <f t="shared" si="7"/>
        <v>C0507</v>
      </c>
      <c r="B508" s="4">
        <v>27</v>
      </c>
      <c r="C508" s="5" t="str">
        <f>IF(recruitment_data3[[#This Row],[Gender]]=1,"Female","Male")</f>
        <v>Male</v>
      </c>
      <c r="D508" s="5">
        <v>0</v>
      </c>
      <c r="E508" s="5" t="str">
        <f>_xlfn.SWITCH(recruitment_data3[[#This Row],[EducationLevel]], 1,"Bachelor Type 1", 2,"Bachelor Type 2", 3,"Masters", 4,"PhD")</f>
        <v>Bachelor Type 2</v>
      </c>
      <c r="F508" s="5">
        <v>2</v>
      </c>
      <c r="G508" s="5">
        <v>6</v>
      </c>
      <c r="H508" s="5">
        <v>3</v>
      </c>
      <c r="I508" s="5">
        <v>36.72298419428909</v>
      </c>
      <c r="J508" s="5">
        <v>60</v>
      </c>
      <c r="K508" s="5">
        <v>7</v>
      </c>
      <c r="L508" s="5">
        <v>53</v>
      </c>
      <c r="M508" s="5" t="str">
        <f>_xlfn.SWITCH(recruitment_data3[[#This Row],[RecruitmentStrategy]], 1,"Aggressive", 2,"Moderate", 3,"Conservative")</f>
        <v>Conservative</v>
      </c>
      <c r="N508" s="5">
        <v>3</v>
      </c>
      <c r="O508" s="5" t="str">
        <f>IF(recruitment_data3[[#This Row],[HiringDecision]]=1,"Hired","Rejected")</f>
        <v>Rejected</v>
      </c>
      <c r="P508" s="6">
        <v>0</v>
      </c>
    </row>
    <row r="509" spans="1:16" x14ac:dyDescent="0.25">
      <c r="A509" s="4" t="str">
        <f t="shared" si="7"/>
        <v>C0508</v>
      </c>
      <c r="B509" s="4">
        <v>20</v>
      </c>
      <c r="C509" s="5" t="str">
        <f>IF(recruitment_data3[[#This Row],[Gender]]=1,"Female","Male")</f>
        <v>Male</v>
      </c>
      <c r="D509" s="5">
        <v>0</v>
      </c>
      <c r="E509" s="5" t="str">
        <f>_xlfn.SWITCH(recruitment_data3[[#This Row],[EducationLevel]], 1,"Bachelor Type 1", 2,"Bachelor Type 2", 3,"Masters", 4,"PhD")</f>
        <v>PhD</v>
      </c>
      <c r="F509" s="5">
        <v>4</v>
      </c>
      <c r="G509" s="5">
        <v>13</v>
      </c>
      <c r="H509" s="5">
        <v>3</v>
      </c>
      <c r="I509" s="5">
        <v>23.231382895695234</v>
      </c>
      <c r="J509" s="5">
        <v>63</v>
      </c>
      <c r="K509" s="5">
        <v>85</v>
      </c>
      <c r="L509" s="5">
        <v>49</v>
      </c>
      <c r="M509" s="5" t="str">
        <f>_xlfn.SWITCH(recruitment_data3[[#This Row],[RecruitmentStrategy]], 1,"Aggressive", 2,"Moderate", 3,"Conservative")</f>
        <v>Moderate</v>
      </c>
      <c r="N509" s="5">
        <v>2</v>
      </c>
      <c r="O509" s="5" t="str">
        <f>IF(recruitment_data3[[#This Row],[HiringDecision]]=1,"Hired","Rejected")</f>
        <v>Rejected</v>
      </c>
      <c r="P509" s="6">
        <v>0</v>
      </c>
    </row>
    <row r="510" spans="1:16" x14ac:dyDescent="0.25">
      <c r="A510" s="4" t="str">
        <f t="shared" si="7"/>
        <v>C0509</v>
      </c>
      <c r="B510" s="4">
        <v>28</v>
      </c>
      <c r="C510" s="5" t="str">
        <f>IF(recruitment_data3[[#This Row],[Gender]]=1,"Female","Male")</f>
        <v>Female</v>
      </c>
      <c r="D510" s="5">
        <v>1</v>
      </c>
      <c r="E510" s="5" t="str">
        <f>_xlfn.SWITCH(recruitment_data3[[#This Row],[EducationLevel]], 1,"Bachelor Type 1", 2,"Bachelor Type 2", 3,"Masters", 4,"PhD")</f>
        <v>PhD</v>
      </c>
      <c r="F510" s="5">
        <v>4</v>
      </c>
      <c r="G510" s="5">
        <v>12</v>
      </c>
      <c r="H510" s="5">
        <v>3</v>
      </c>
      <c r="I510" s="5">
        <v>2.3540566835025523</v>
      </c>
      <c r="J510" s="5">
        <v>30</v>
      </c>
      <c r="K510" s="5">
        <v>67</v>
      </c>
      <c r="L510" s="5">
        <v>27</v>
      </c>
      <c r="M510" s="5" t="str">
        <f>_xlfn.SWITCH(recruitment_data3[[#This Row],[RecruitmentStrategy]], 1,"Aggressive", 2,"Moderate", 3,"Conservative")</f>
        <v>Moderate</v>
      </c>
      <c r="N510" s="5">
        <v>2</v>
      </c>
      <c r="O510" s="5" t="str">
        <f>IF(recruitment_data3[[#This Row],[HiringDecision]]=1,"Hired","Rejected")</f>
        <v>Rejected</v>
      </c>
      <c r="P510" s="6">
        <v>0</v>
      </c>
    </row>
    <row r="511" spans="1:16" x14ac:dyDescent="0.25">
      <c r="A511" s="4" t="str">
        <f t="shared" si="7"/>
        <v>C0510</v>
      </c>
      <c r="B511" s="4">
        <v>30</v>
      </c>
      <c r="C511" s="5" t="str">
        <f>IF(recruitment_data3[[#This Row],[Gender]]=1,"Female","Male")</f>
        <v>Male</v>
      </c>
      <c r="D511" s="5">
        <v>0</v>
      </c>
      <c r="E511" s="5" t="str">
        <f>_xlfn.SWITCH(recruitment_data3[[#This Row],[EducationLevel]], 1,"Bachelor Type 1", 2,"Bachelor Type 2", 3,"Masters", 4,"PhD")</f>
        <v>Bachelor Type 1</v>
      </c>
      <c r="F511" s="5">
        <v>1</v>
      </c>
      <c r="G511" s="5">
        <v>2</v>
      </c>
      <c r="H511" s="5">
        <v>5</v>
      </c>
      <c r="I511" s="5">
        <v>23.463407923281835</v>
      </c>
      <c r="J511" s="5">
        <v>80</v>
      </c>
      <c r="K511" s="5">
        <v>74</v>
      </c>
      <c r="L511" s="5">
        <v>82</v>
      </c>
      <c r="M511" s="5" t="str">
        <f>_xlfn.SWITCH(recruitment_data3[[#This Row],[RecruitmentStrategy]], 1,"Aggressive", 2,"Moderate", 3,"Conservative")</f>
        <v>Moderate</v>
      </c>
      <c r="N511" s="5">
        <v>2</v>
      </c>
      <c r="O511" s="5" t="str">
        <f>IF(recruitment_data3[[#This Row],[HiringDecision]]=1,"Hired","Rejected")</f>
        <v>Rejected</v>
      </c>
      <c r="P511" s="6">
        <v>0</v>
      </c>
    </row>
    <row r="512" spans="1:16" x14ac:dyDescent="0.25">
      <c r="A512" s="4" t="str">
        <f t="shared" si="7"/>
        <v>C0511</v>
      </c>
      <c r="B512" s="4">
        <v>41</v>
      </c>
      <c r="C512" s="5" t="str">
        <f>IF(recruitment_data3[[#This Row],[Gender]]=1,"Female","Male")</f>
        <v>Female</v>
      </c>
      <c r="D512" s="5">
        <v>1</v>
      </c>
      <c r="E512" s="5" t="str">
        <f>_xlfn.SWITCH(recruitment_data3[[#This Row],[EducationLevel]], 1,"Bachelor Type 1", 2,"Bachelor Type 2", 3,"Masters", 4,"PhD")</f>
        <v>Bachelor Type 1</v>
      </c>
      <c r="F512" s="5">
        <v>1</v>
      </c>
      <c r="G512" s="5">
        <v>2</v>
      </c>
      <c r="H512" s="5">
        <v>3</v>
      </c>
      <c r="I512" s="5">
        <v>15.822244387207656</v>
      </c>
      <c r="J512" s="5">
        <v>72</v>
      </c>
      <c r="K512" s="5">
        <v>71</v>
      </c>
      <c r="L512" s="5">
        <v>3</v>
      </c>
      <c r="M512" s="5" t="str">
        <f>_xlfn.SWITCH(recruitment_data3[[#This Row],[RecruitmentStrategy]], 1,"Aggressive", 2,"Moderate", 3,"Conservative")</f>
        <v>Aggressive</v>
      </c>
      <c r="N512" s="5">
        <v>1</v>
      </c>
      <c r="O512" s="5" t="str">
        <f>IF(recruitment_data3[[#This Row],[HiringDecision]]=1,"Hired","Rejected")</f>
        <v>Hired</v>
      </c>
      <c r="P512" s="6">
        <v>1</v>
      </c>
    </row>
    <row r="513" spans="1:16" x14ac:dyDescent="0.25">
      <c r="A513" s="4" t="str">
        <f t="shared" si="7"/>
        <v>C0512</v>
      </c>
      <c r="B513" s="4">
        <v>35</v>
      </c>
      <c r="C513" s="5" t="str">
        <f>IF(recruitment_data3[[#This Row],[Gender]]=1,"Female","Male")</f>
        <v>Male</v>
      </c>
      <c r="D513" s="5">
        <v>0</v>
      </c>
      <c r="E513" s="5" t="str">
        <f>_xlfn.SWITCH(recruitment_data3[[#This Row],[EducationLevel]], 1,"Bachelor Type 1", 2,"Bachelor Type 2", 3,"Masters", 4,"PhD")</f>
        <v>Masters</v>
      </c>
      <c r="F513" s="5">
        <v>3</v>
      </c>
      <c r="G513" s="5">
        <v>1</v>
      </c>
      <c r="H513" s="5">
        <v>5</v>
      </c>
      <c r="I513" s="5">
        <v>47.482480385066417</v>
      </c>
      <c r="J513" s="5">
        <v>9</v>
      </c>
      <c r="K513" s="5">
        <v>8</v>
      </c>
      <c r="L513" s="5">
        <v>21</v>
      </c>
      <c r="M513" s="5" t="str">
        <f>_xlfn.SWITCH(recruitment_data3[[#This Row],[RecruitmentStrategy]], 1,"Aggressive", 2,"Moderate", 3,"Conservative")</f>
        <v>Aggressive</v>
      </c>
      <c r="N513" s="5">
        <v>1</v>
      </c>
      <c r="O513" s="5" t="str">
        <f>IF(recruitment_data3[[#This Row],[HiringDecision]]=1,"Hired","Rejected")</f>
        <v>Rejected</v>
      </c>
      <c r="P513" s="6">
        <v>0</v>
      </c>
    </row>
    <row r="514" spans="1:16" x14ac:dyDescent="0.25">
      <c r="A514" s="4" t="str">
        <f t="shared" ref="A514:A577" si="8">"C"&amp;TEXT(ROW()-1,"0000")</f>
        <v>C0513</v>
      </c>
      <c r="B514" s="4">
        <v>26</v>
      </c>
      <c r="C514" s="5" t="str">
        <f>IF(recruitment_data3[[#This Row],[Gender]]=1,"Female","Male")</f>
        <v>Female</v>
      </c>
      <c r="D514" s="5">
        <v>1</v>
      </c>
      <c r="E514" s="5" t="str">
        <f>_xlfn.SWITCH(recruitment_data3[[#This Row],[EducationLevel]], 1,"Bachelor Type 1", 2,"Bachelor Type 2", 3,"Masters", 4,"PhD")</f>
        <v>Bachelor Type 2</v>
      </c>
      <c r="F514" s="5">
        <v>2</v>
      </c>
      <c r="G514" s="5">
        <v>8</v>
      </c>
      <c r="H514" s="5">
        <v>5</v>
      </c>
      <c r="I514" s="5">
        <v>7.2306692839163684</v>
      </c>
      <c r="J514" s="5">
        <v>7</v>
      </c>
      <c r="K514" s="5">
        <v>89</v>
      </c>
      <c r="L514" s="5">
        <v>85</v>
      </c>
      <c r="M514" s="5" t="str">
        <f>_xlfn.SWITCH(recruitment_data3[[#This Row],[RecruitmentStrategy]], 1,"Aggressive", 2,"Moderate", 3,"Conservative")</f>
        <v>Moderate</v>
      </c>
      <c r="N514" s="5">
        <v>2</v>
      </c>
      <c r="O514" s="5" t="str">
        <f>IF(recruitment_data3[[#This Row],[HiringDecision]]=1,"Hired","Rejected")</f>
        <v>Rejected</v>
      </c>
      <c r="P514" s="6">
        <v>0</v>
      </c>
    </row>
    <row r="515" spans="1:16" x14ac:dyDescent="0.25">
      <c r="A515" s="4" t="str">
        <f t="shared" si="8"/>
        <v>C0514</v>
      </c>
      <c r="B515" s="4">
        <v>48</v>
      </c>
      <c r="C515" s="5" t="str">
        <f>IF(recruitment_data3[[#This Row],[Gender]]=1,"Female","Male")</f>
        <v>Female</v>
      </c>
      <c r="D515" s="5">
        <v>1</v>
      </c>
      <c r="E515" s="5" t="str">
        <f>_xlfn.SWITCH(recruitment_data3[[#This Row],[EducationLevel]], 1,"Bachelor Type 1", 2,"Bachelor Type 2", 3,"Masters", 4,"PhD")</f>
        <v>Bachelor Type 1</v>
      </c>
      <c r="F515" s="5">
        <v>1</v>
      </c>
      <c r="G515" s="5">
        <v>12</v>
      </c>
      <c r="H515" s="5">
        <v>4</v>
      </c>
      <c r="I515" s="5">
        <v>33.623797775361609</v>
      </c>
      <c r="J515" s="5">
        <v>20</v>
      </c>
      <c r="K515" s="5">
        <v>1</v>
      </c>
      <c r="L515" s="5">
        <v>100</v>
      </c>
      <c r="M515" s="5" t="str">
        <f>_xlfn.SWITCH(recruitment_data3[[#This Row],[RecruitmentStrategy]], 1,"Aggressive", 2,"Moderate", 3,"Conservative")</f>
        <v>Moderate</v>
      </c>
      <c r="N515" s="5">
        <v>2</v>
      </c>
      <c r="O515" s="5" t="str">
        <f>IF(recruitment_data3[[#This Row],[HiringDecision]]=1,"Hired","Rejected")</f>
        <v>Rejected</v>
      </c>
      <c r="P515" s="6">
        <v>0</v>
      </c>
    </row>
    <row r="516" spans="1:16" x14ac:dyDescent="0.25">
      <c r="A516" s="4" t="str">
        <f t="shared" si="8"/>
        <v>C0515</v>
      </c>
      <c r="B516" s="4">
        <v>29</v>
      </c>
      <c r="C516" s="5" t="str">
        <f>IF(recruitment_data3[[#This Row],[Gender]]=1,"Female","Male")</f>
        <v>Male</v>
      </c>
      <c r="D516" s="5">
        <v>0</v>
      </c>
      <c r="E516" s="5" t="str">
        <f>_xlfn.SWITCH(recruitment_data3[[#This Row],[EducationLevel]], 1,"Bachelor Type 1", 2,"Bachelor Type 2", 3,"Masters", 4,"PhD")</f>
        <v>Bachelor Type 2</v>
      </c>
      <c r="F516" s="5">
        <v>2</v>
      </c>
      <c r="G516" s="5">
        <v>14</v>
      </c>
      <c r="H516" s="5">
        <v>1</v>
      </c>
      <c r="I516" s="5">
        <v>3.6359883167250575</v>
      </c>
      <c r="J516" s="5">
        <v>76</v>
      </c>
      <c r="K516" s="5">
        <v>79</v>
      </c>
      <c r="L516" s="5">
        <v>38</v>
      </c>
      <c r="M516" s="5" t="str">
        <f>_xlfn.SWITCH(recruitment_data3[[#This Row],[RecruitmentStrategy]], 1,"Aggressive", 2,"Moderate", 3,"Conservative")</f>
        <v>Conservative</v>
      </c>
      <c r="N516" s="5">
        <v>3</v>
      </c>
      <c r="O516" s="5" t="str">
        <f>IF(recruitment_data3[[#This Row],[HiringDecision]]=1,"Hired","Rejected")</f>
        <v>Rejected</v>
      </c>
      <c r="P516" s="6">
        <v>0</v>
      </c>
    </row>
    <row r="517" spans="1:16" x14ac:dyDescent="0.25">
      <c r="A517" s="4" t="str">
        <f t="shared" si="8"/>
        <v>C0516</v>
      </c>
      <c r="B517" s="4">
        <v>42</v>
      </c>
      <c r="C517" s="5" t="str">
        <f>IF(recruitment_data3[[#This Row],[Gender]]=1,"Female","Male")</f>
        <v>Female</v>
      </c>
      <c r="D517" s="5">
        <v>1</v>
      </c>
      <c r="E517" s="5" t="str">
        <f>_xlfn.SWITCH(recruitment_data3[[#This Row],[EducationLevel]], 1,"Bachelor Type 1", 2,"Bachelor Type 2", 3,"Masters", 4,"PhD")</f>
        <v>Bachelor Type 2</v>
      </c>
      <c r="F517" s="5">
        <v>2</v>
      </c>
      <c r="G517" s="5">
        <v>2</v>
      </c>
      <c r="H517" s="5">
        <v>4</v>
      </c>
      <c r="I517" s="5">
        <v>23.308521890634825</v>
      </c>
      <c r="J517" s="5">
        <v>58</v>
      </c>
      <c r="K517" s="5">
        <v>94</v>
      </c>
      <c r="L517" s="5">
        <v>33</v>
      </c>
      <c r="M517" s="5" t="str">
        <f>_xlfn.SWITCH(recruitment_data3[[#This Row],[RecruitmentStrategy]], 1,"Aggressive", 2,"Moderate", 3,"Conservative")</f>
        <v>Aggressive</v>
      </c>
      <c r="N517" s="5">
        <v>1</v>
      </c>
      <c r="O517" s="5" t="str">
        <f>IF(recruitment_data3[[#This Row],[HiringDecision]]=1,"Hired","Rejected")</f>
        <v>Rejected</v>
      </c>
      <c r="P517" s="6">
        <v>0</v>
      </c>
    </row>
    <row r="518" spans="1:16" x14ac:dyDescent="0.25">
      <c r="A518" s="4" t="str">
        <f t="shared" si="8"/>
        <v>C0517</v>
      </c>
      <c r="B518" s="4">
        <v>45</v>
      </c>
      <c r="C518" s="5" t="str">
        <f>IF(recruitment_data3[[#This Row],[Gender]]=1,"Female","Male")</f>
        <v>Male</v>
      </c>
      <c r="D518" s="5">
        <v>0</v>
      </c>
      <c r="E518" s="5" t="str">
        <f>_xlfn.SWITCH(recruitment_data3[[#This Row],[EducationLevel]], 1,"Bachelor Type 1", 2,"Bachelor Type 2", 3,"Masters", 4,"PhD")</f>
        <v>PhD</v>
      </c>
      <c r="F518" s="5">
        <v>4</v>
      </c>
      <c r="G518" s="5">
        <v>10</v>
      </c>
      <c r="H518" s="5">
        <v>4</v>
      </c>
      <c r="I518" s="5">
        <v>28.69897436100403</v>
      </c>
      <c r="J518" s="5">
        <v>49</v>
      </c>
      <c r="K518" s="5">
        <v>69</v>
      </c>
      <c r="L518" s="5">
        <v>96</v>
      </c>
      <c r="M518" s="5" t="str">
        <f>_xlfn.SWITCH(recruitment_data3[[#This Row],[RecruitmentStrategy]], 1,"Aggressive", 2,"Moderate", 3,"Conservative")</f>
        <v>Aggressive</v>
      </c>
      <c r="N518" s="5">
        <v>1</v>
      </c>
      <c r="O518" s="5" t="str">
        <f>IF(recruitment_data3[[#This Row],[HiringDecision]]=1,"Hired","Rejected")</f>
        <v>Hired</v>
      </c>
      <c r="P518" s="6">
        <v>1</v>
      </c>
    </row>
    <row r="519" spans="1:16" x14ac:dyDescent="0.25">
      <c r="A519" s="4" t="str">
        <f t="shared" si="8"/>
        <v>C0518</v>
      </c>
      <c r="B519" s="4">
        <v>22</v>
      </c>
      <c r="C519" s="5" t="str">
        <f>IF(recruitment_data3[[#This Row],[Gender]]=1,"Female","Male")</f>
        <v>Male</v>
      </c>
      <c r="D519" s="5">
        <v>0</v>
      </c>
      <c r="E519" s="5" t="str">
        <f>_xlfn.SWITCH(recruitment_data3[[#This Row],[EducationLevel]], 1,"Bachelor Type 1", 2,"Bachelor Type 2", 3,"Masters", 4,"PhD")</f>
        <v>Bachelor Type 2</v>
      </c>
      <c r="F519" s="5">
        <v>2</v>
      </c>
      <c r="G519" s="5">
        <v>4</v>
      </c>
      <c r="H519" s="5">
        <v>5</v>
      </c>
      <c r="I519" s="5">
        <v>15.897746565843272</v>
      </c>
      <c r="J519" s="5">
        <v>68</v>
      </c>
      <c r="K519" s="5">
        <v>84</v>
      </c>
      <c r="L519" s="5">
        <v>43</v>
      </c>
      <c r="M519" s="5" t="str">
        <f>_xlfn.SWITCH(recruitment_data3[[#This Row],[RecruitmentStrategy]], 1,"Aggressive", 2,"Moderate", 3,"Conservative")</f>
        <v>Moderate</v>
      </c>
      <c r="N519" s="5">
        <v>2</v>
      </c>
      <c r="O519" s="5" t="str">
        <f>IF(recruitment_data3[[#This Row],[HiringDecision]]=1,"Hired","Rejected")</f>
        <v>Rejected</v>
      </c>
      <c r="P519" s="6">
        <v>0</v>
      </c>
    </row>
    <row r="520" spans="1:16" x14ac:dyDescent="0.25">
      <c r="A520" s="4" t="str">
        <f t="shared" si="8"/>
        <v>C0519</v>
      </c>
      <c r="B520" s="4">
        <v>37</v>
      </c>
      <c r="C520" s="5" t="str">
        <f>IF(recruitment_data3[[#This Row],[Gender]]=1,"Female","Male")</f>
        <v>Male</v>
      </c>
      <c r="D520" s="5">
        <v>0</v>
      </c>
      <c r="E520" s="5" t="str">
        <f>_xlfn.SWITCH(recruitment_data3[[#This Row],[EducationLevel]], 1,"Bachelor Type 1", 2,"Bachelor Type 2", 3,"Masters", 4,"PhD")</f>
        <v>Bachelor Type 2</v>
      </c>
      <c r="F520" s="5">
        <v>2</v>
      </c>
      <c r="G520" s="5">
        <v>13</v>
      </c>
      <c r="H520" s="5">
        <v>5</v>
      </c>
      <c r="I520" s="5">
        <v>23.75378177601922</v>
      </c>
      <c r="J520" s="5">
        <v>69</v>
      </c>
      <c r="K520" s="5">
        <v>89</v>
      </c>
      <c r="L520" s="5">
        <v>41</v>
      </c>
      <c r="M520" s="5" t="str">
        <f>_xlfn.SWITCH(recruitment_data3[[#This Row],[RecruitmentStrategy]], 1,"Aggressive", 2,"Moderate", 3,"Conservative")</f>
        <v>Moderate</v>
      </c>
      <c r="N520" s="5">
        <v>2</v>
      </c>
      <c r="O520" s="5" t="str">
        <f>IF(recruitment_data3[[#This Row],[HiringDecision]]=1,"Hired","Rejected")</f>
        <v>Rejected</v>
      </c>
      <c r="P520" s="6">
        <v>0</v>
      </c>
    </row>
    <row r="521" spans="1:16" x14ac:dyDescent="0.25">
      <c r="A521" s="4" t="str">
        <f t="shared" si="8"/>
        <v>C0520</v>
      </c>
      <c r="B521" s="4">
        <v>44</v>
      </c>
      <c r="C521" s="5" t="str">
        <f>IF(recruitment_data3[[#This Row],[Gender]]=1,"Female","Male")</f>
        <v>Female</v>
      </c>
      <c r="D521" s="5">
        <v>1</v>
      </c>
      <c r="E521" s="5" t="str">
        <f>_xlfn.SWITCH(recruitment_data3[[#This Row],[EducationLevel]], 1,"Bachelor Type 1", 2,"Bachelor Type 2", 3,"Masters", 4,"PhD")</f>
        <v>Bachelor Type 2</v>
      </c>
      <c r="F521" s="5">
        <v>2</v>
      </c>
      <c r="G521" s="5">
        <v>13</v>
      </c>
      <c r="H521" s="5">
        <v>3</v>
      </c>
      <c r="I521" s="5">
        <v>9.1776897265093691</v>
      </c>
      <c r="J521" s="5">
        <v>29</v>
      </c>
      <c r="K521" s="5">
        <v>58</v>
      </c>
      <c r="L521" s="5">
        <v>39</v>
      </c>
      <c r="M521" s="5" t="str">
        <f>_xlfn.SWITCH(recruitment_data3[[#This Row],[RecruitmentStrategy]], 1,"Aggressive", 2,"Moderate", 3,"Conservative")</f>
        <v>Aggressive</v>
      </c>
      <c r="N521" s="5">
        <v>1</v>
      </c>
      <c r="O521" s="5" t="str">
        <f>IF(recruitment_data3[[#This Row],[HiringDecision]]=1,"Hired","Rejected")</f>
        <v>Hired</v>
      </c>
      <c r="P521" s="6">
        <v>1</v>
      </c>
    </row>
    <row r="522" spans="1:16" x14ac:dyDescent="0.25">
      <c r="A522" s="4" t="str">
        <f t="shared" si="8"/>
        <v>C0521</v>
      </c>
      <c r="B522" s="4">
        <v>43</v>
      </c>
      <c r="C522" s="5" t="str">
        <f>IF(recruitment_data3[[#This Row],[Gender]]=1,"Female","Male")</f>
        <v>Female</v>
      </c>
      <c r="D522" s="5">
        <v>1</v>
      </c>
      <c r="E522" s="5" t="str">
        <f>_xlfn.SWITCH(recruitment_data3[[#This Row],[EducationLevel]], 1,"Bachelor Type 1", 2,"Bachelor Type 2", 3,"Masters", 4,"PhD")</f>
        <v>Masters</v>
      </c>
      <c r="F522" s="5">
        <v>3</v>
      </c>
      <c r="G522" s="5">
        <v>8</v>
      </c>
      <c r="H522" s="5">
        <v>3</v>
      </c>
      <c r="I522" s="5">
        <v>16.206192473401806</v>
      </c>
      <c r="J522" s="5">
        <v>94</v>
      </c>
      <c r="K522" s="5">
        <v>18</v>
      </c>
      <c r="L522" s="5">
        <v>96</v>
      </c>
      <c r="M522" s="5" t="str">
        <f>_xlfn.SWITCH(recruitment_data3[[#This Row],[RecruitmentStrategy]], 1,"Aggressive", 2,"Moderate", 3,"Conservative")</f>
        <v>Conservative</v>
      </c>
      <c r="N522" s="5">
        <v>3</v>
      </c>
      <c r="O522" s="5" t="str">
        <f>IF(recruitment_data3[[#This Row],[HiringDecision]]=1,"Hired","Rejected")</f>
        <v>Hired</v>
      </c>
      <c r="P522" s="6">
        <v>1</v>
      </c>
    </row>
    <row r="523" spans="1:16" x14ac:dyDescent="0.25">
      <c r="A523" s="4" t="str">
        <f t="shared" si="8"/>
        <v>C0522</v>
      </c>
      <c r="B523" s="4">
        <v>32</v>
      </c>
      <c r="C523" s="5" t="str">
        <f>IF(recruitment_data3[[#This Row],[Gender]]=1,"Female","Male")</f>
        <v>Male</v>
      </c>
      <c r="D523" s="5">
        <v>0</v>
      </c>
      <c r="E523" s="5" t="str">
        <f>_xlfn.SWITCH(recruitment_data3[[#This Row],[EducationLevel]], 1,"Bachelor Type 1", 2,"Bachelor Type 2", 3,"Masters", 4,"PhD")</f>
        <v>Bachelor Type 2</v>
      </c>
      <c r="F523" s="5">
        <v>2</v>
      </c>
      <c r="G523" s="5">
        <v>7</v>
      </c>
      <c r="H523" s="5">
        <v>4</v>
      </c>
      <c r="I523" s="5">
        <v>32.055316245510156</v>
      </c>
      <c r="J523" s="5">
        <v>16</v>
      </c>
      <c r="K523" s="5">
        <v>27</v>
      </c>
      <c r="L523" s="5">
        <v>11</v>
      </c>
      <c r="M523" s="5" t="str">
        <f>_xlfn.SWITCH(recruitment_data3[[#This Row],[RecruitmentStrategy]], 1,"Aggressive", 2,"Moderate", 3,"Conservative")</f>
        <v>Moderate</v>
      </c>
      <c r="N523" s="5">
        <v>2</v>
      </c>
      <c r="O523" s="5" t="str">
        <f>IF(recruitment_data3[[#This Row],[HiringDecision]]=1,"Hired","Rejected")</f>
        <v>Rejected</v>
      </c>
      <c r="P523" s="6">
        <v>0</v>
      </c>
    </row>
    <row r="524" spans="1:16" x14ac:dyDescent="0.25">
      <c r="A524" s="4" t="str">
        <f t="shared" si="8"/>
        <v>C0523</v>
      </c>
      <c r="B524" s="4">
        <v>47</v>
      </c>
      <c r="C524" s="5" t="str">
        <f>IF(recruitment_data3[[#This Row],[Gender]]=1,"Female","Male")</f>
        <v>Male</v>
      </c>
      <c r="D524" s="5">
        <v>0</v>
      </c>
      <c r="E524" s="5" t="str">
        <f>_xlfn.SWITCH(recruitment_data3[[#This Row],[EducationLevel]], 1,"Bachelor Type 1", 2,"Bachelor Type 2", 3,"Masters", 4,"PhD")</f>
        <v>Bachelor Type 2</v>
      </c>
      <c r="F524" s="5">
        <v>2</v>
      </c>
      <c r="G524" s="5">
        <v>1</v>
      </c>
      <c r="H524" s="5">
        <v>2</v>
      </c>
      <c r="I524" s="5">
        <v>16.090002793057756</v>
      </c>
      <c r="J524" s="5">
        <v>74</v>
      </c>
      <c r="K524" s="5">
        <v>71</v>
      </c>
      <c r="L524" s="5">
        <v>1</v>
      </c>
      <c r="M524" s="5" t="str">
        <f>_xlfn.SWITCH(recruitment_data3[[#This Row],[RecruitmentStrategy]], 1,"Aggressive", 2,"Moderate", 3,"Conservative")</f>
        <v>Moderate</v>
      </c>
      <c r="N524" s="5">
        <v>2</v>
      </c>
      <c r="O524" s="5" t="str">
        <f>IF(recruitment_data3[[#This Row],[HiringDecision]]=1,"Hired","Rejected")</f>
        <v>Rejected</v>
      </c>
      <c r="P524" s="6">
        <v>0</v>
      </c>
    </row>
    <row r="525" spans="1:16" x14ac:dyDescent="0.25">
      <c r="A525" s="4" t="str">
        <f t="shared" si="8"/>
        <v>C0524</v>
      </c>
      <c r="B525" s="4">
        <v>45</v>
      </c>
      <c r="C525" s="5" t="str">
        <f>IF(recruitment_data3[[#This Row],[Gender]]=1,"Female","Male")</f>
        <v>Female</v>
      </c>
      <c r="D525" s="5">
        <v>1</v>
      </c>
      <c r="E525" s="5" t="str">
        <f>_xlfn.SWITCH(recruitment_data3[[#This Row],[EducationLevel]], 1,"Bachelor Type 1", 2,"Bachelor Type 2", 3,"Masters", 4,"PhD")</f>
        <v>Bachelor Type 2</v>
      </c>
      <c r="F525" s="5">
        <v>2</v>
      </c>
      <c r="G525" s="5">
        <v>2</v>
      </c>
      <c r="H525" s="5">
        <v>2</v>
      </c>
      <c r="I525" s="5">
        <v>45.987153920443582</v>
      </c>
      <c r="J525" s="5">
        <v>19</v>
      </c>
      <c r="K525" s="5">
        <v>13</v>
      </c>
      <c r="L525" s="5">
        <v>27</v>
      </c>
      <c r="M525" s="5" t="str">
        <f>_xlfn.SWITCH(recruitment_data3[[#This Row],[RecruitmentStrategy]], 1,"Aggressive", 2,"Moderate", 3,"Conservative")</f>
        <v>Conservative</v>
      </c>
      <c r="N525" s="5">
        <v>3</v>
      </c>
      <c r="O525" s="5" t="str">
        <f>IF(recruitment_data3[[#This Row],[HiringDecision]]=1,"Hired","Rejected")</f>
        <v>Rejected</v>
      </c>
      <c r="P525" s="6">
        <v>0</v>
      </c>
    </row>
    <row r="526" spans="1:16" x14ac:dyDescent="0.25">
      <c r="A526" s="4" t="str">
        <f t="shared" si="8"/>
        <v>C0525</v>
      </c>
      <c r="B526" s="4">
        <v>26</v>
      </c>
      <c r="C526" s="5" t="str">
        <f>IF(recruitment_data3[[#This Row],[Gender]]=1,"Female","Male")</f>
        <v>Male</v>
      </c>
      <c r="D526" s="5">
        <v>0</v>
      </c>
      <c r="E526" s="5" t="str">
        <f>_xlfn.SWITCH(recruitment_data3[[#This Row],[EducationLevel]], 1,"Bachelor Type 1", 2,"Bachelor Type 2", 3,"Masters", 4,"PhD")</f>
        <v>Masters</v>
      </c>
      <c r="F526" s="5">
        <v>3</v>
      </c>
      <c r="G526" s="5">
        <v>15</v>
      </c>
      <c r="H526" s="5">
        <v>3</v>
      </c>
      <c r="I526" s="5">
        <v>32.420347882049484</v>
      </c>
      <c r="J526" s="5">
        <v>47</v>
      </c>
      <c r="K526" s="5">
        <v>23</v>
      </c>
      <c r="L526" s="5">
        <v>73</v>
      </c>
      <c r="M526" s="5" t="str">
        <f>_xlfn.SWITCH(recruitment_data3[[#This Row],[RecruitmentStrategy]], 1,"Aggressive", 2,"Moderate", 3,"Conservative")</f>
        <v>Moderate</v>
      </c>
      <c r="N526" s="5">
        <v>2</v>
      </c>
      <c r="O526" s="5" t="str">
        <f>IF(recruitment_data3[[#This Row],[HiringDecision]]=1,"Hired","Rejected")</f>
        <v>Rejected</v>
      </c>
      <c r="P526" s="6">
        <v>0</v>
      </c>
    </row>
    <row r="527" spans="1:16" x14ac:dyDescent="0.25">
      <c r="A527" s="4" t="str">
        <f t="shared" si="8"/>
        <v>C0526</v>
      </c>
      <c r="B527" s="4">
        <v>44</v>
      </c>
      <c r="C527" s="5" t="str">
        <f>IF(recruitment_data3[[#This Row],[Gender]]=1,"Female","Male")</f>
        <v>Male</v>
      </c>
      <c r="D527" s="5">
        <v>0</v>
      </c>
      <c r="E527" s="5" t="str">
        <f>_xlfn.SWITCH(recruitment_data3[[#This Row],[EducationLevel]], 1,"Bachelor Type 1", 2,"Bachelor Type 2", 3,"Masters", 4,"PhD")</f>
        <v>Bachelor Type 2</v>
      </c>
      <c r="F527" s="5">
        <v>2</v>
      </c>
      <c r="G527" s="5">
        <v>15</v>
      </c>
      <c r="H527" s="5">
        <v>2</v>
      </c>
      <c r="I527" s="5">
        <v>22.932450921799223</v>
      </c>
      <c r="J527" s="5">
        <v>72</v>
      </c>
      <c r="K527" s="5">
        <v>43</v>
      </c>
      <c r="L527" s="5">
        <v>85</v>
      </c>
      <c r="M527" s="5" t="str">
        <f>_xlfn.SWITCH(recruitment_data3[[#This Row],[RecruitmentStrategy]], 1,"Aggressive", 2,"Moderate", 3,"Conservative")</f>
        <v>Moderate</v>
      </c>
      <c r="N527" s="5">
        <v>2</v>
      </c>
      <c r="O527" s="5" t="str">
        <f>IF(recruitment_data3[[#This Row],[HiringDecision]]=1,"Hired","Rejected")</f>
        <v>Rejected</v>
      </c>
      <c r="P527" s="6">
        <v>0</v>
      </c>
    </row>
    <row r="528" spans="1:16" x14ac:dyDescent="0.25">
      <c r="A528" s="4" t="str">
        <f t="shared" si="8"/>
        <v>C0527</v>
      </c>
      <c r="B528" s="4">
        <v>23</v>
      </c>
      <c r="C528" s="5" t="str">
        <f>IF(recruitment_data3[[#This Row],[Gender]]=1,"Female","Male")</f>
        <v>Female</v>
      </c>
      <c r="D528" s="5">
        <v>1</v>
      </c>
      <c r="E528" s="5" t="str">
        <f>_xlfn.SWITCH(recruitment_data3[[#This Row],[EducationLevel]], 1,"Bachelor Type 1", 2,"Bachelor Type 2", 3,"Masters", 4,"PhD")</f>
        <v>Bachelor Type 1</v>
      </c>
      <c r="F528" s="5">
        <v>1</v>
      </c>
      <c r="G528" s="5">
        <v>1</v>
      </c>
      <c r="H528" s="5">
        <v>3</v>
      </c>
      <c r="I528" s="5">
        <v>2.9378467777091233</v>
      </c>
      <c r="J528" s="5">
        <v>1</v>
      </c>
      <c r="K528" s="5">
        <v>100</v>
      </c>
      <c r="L528" s="5">
        <v>80</v>
      </c>
      <c r="M528" s="5" t="str">
        <f>_xlfn.SWITCH(recruitment_data3[[#This Row],[RecruitmentStrategy]], 1,"Aggressive", 2,"Moderate", 3,"Conservative")</f>
        <v>Conservative</v>
      </c>
      <c r="N528" s="5">
        <v>3</v>
      </c>
      <c r="O528" s="5" t="str">
        <f>IF(recruitment_data3[[#This Row],[HiringDecision]]=1,"Hired","Rejected")</f>
        <v>Rejected</v>
      </c>
      <c r="P528" s="6">
        <v>0</v>
      </c>
    </row>
    <row r="529" spans="1:16" x14ac:dyDescent="0.25">
      <c r="A529" s="4" t="str">
        <f t="shared" si="8"/>
        <v>C0528</v>
      </c>
      <c r="B529" s="4">
        <v>32</v>
      </c>
      <c r="C529" s="5" t="str">
        <f>IF(recruitment_data3[[#This Row],[Gender]]=1,"Female","Male")</f>
        <v>Male</v>
      </c>
      <c r="D529" s="5">
        <v>0</v>
      </c>
      <c r="E529" s="5" t="str">
        <f>_xlfn.SWITCH(recruitment_data3[[#This Row],[EducationLevel]], 1,"Bachelor Type 1", 2,"Bachelor Type 2", 3,"Masters", 4,"PhD")</f>
        <v>Bachelor Type 2</v>
      </c>
      <c r="F529" s="5">
        <v>2</v>
      </c>
      <c r="G529" s="5">
        <v>15</v>
      </c>
      <c r="H529" s="5">
        <v>5</v>
      </c>
      <c r="I529" s="5">
        <v>25.977416760233563</v>
      </c>
      <c r="J529" s="5">
        <v>36</v>
      </c>
      <c r="K529" s="5">
        <v>55</v>
      </c>
      <c r="L529" s="5">
        <v>89</v>
      </c>
      <c r="M529" s="5" t="str">
        <f>_xlfn.SWITCH(recruitment_data3[[#This Row],[RecruitmentStrategy]], 1,"Aggressive", 2,"Moderate", 3,"Conservative")</f>
        <v>Aggressive</v>
      </c>
      <c r="N529" s="5">
        <v>1</v>
      </c>
      <c r="O529" s="5" t="str">
        <f>IF(recruitment_data3[[#This Row],[HiringDecision]]=1,"Hired","Rejected")</f>
        <v>Hired</v>
      </c>
      <c r="P529" s="6">
        <v>1</v>
      </c>
    </row>
    <row r="530" spans="1:16" x14ac:dyDescent="0.25">
      <c r="A530" s="4" t="str">
        <f t="shared" si="8"/>
        <v>C0529</v>
      </c>
      <c r="B530" s="4">
        <v>39</v>
      </c>
      <c r="C530" s="5" t="str">
        <f>IF(recruitment_data3[[#This Row],[Gender]]=1,"Female","Male")</f>
        <v>Female</v>
      </c>
      <c r="D530" s="5">
        <v>1</v>
      </c>
      <c r="E530" s="5" t="str">
        <f>_xlfn.SWITCH(recruitment_data3[[#This Row],[EducationLevel]], 1,"Bachelor Type 1", 2,"Bachelor Type 2", 3,"Masters", 4,"PhD")</f>
        <v>Bachelor Type 2</v>
      </c>
      <c r="F530" s="5">
        <v>2</v>
      </c>
      <c r="G530" s="5">
        <v>7</v>
      </c>
      <c r="H530" s="5">
        <v>4</v>
      </c>
      <c r="I530" s="5">
        <v>39.238812106254457</v>
      </c>
      <c r="J530" s="5">
        <v>0</v>
      </c>
      <c r="K530" s="5">
        <v>89</v>
      </c>
      <c r="L530" s="5">
        <v>66</v>
      </c>
      <c r="M530" s="5" t="str">
        <f>_xlfn.SWITCH(recruitment_data3[[#This Row],[RecruitmentStrategy]], 1,"Aggressive", 2,"Moderate", 3,"Conservative")</f>
        <v>Moderate</v>
      </c>
      <c r="N530" s="5">
        <v>2</v>
      </c>
      <c r="O530" s="5" t="str">
        <f>IF(recruitment_data3[[#This Row],[HiringDecision]]=1,"Hired","Rejected")</f>
        <v>Rejected</v>
      </c>
      <c r="P530" s="6">
        <v>0</v>
      </c>
    </row>
    <row r="531" spans="1:16" x14ac:dyDescent="0.25">
      <c r="A531" s="4" t="str">
        <f t="shared" si="8"/>
        <v>C0530</v>
      </c>
      <c r="B531" s="4">
        <v>20</v>
      </c>
      <c r="C531" s="5" t="str">
        <f>IF(recruitment_data3[[#This Row],[Gender]]=1,"Female","Male")</f>
        <v>Male</v>
      </c>
      <c r="D531" s="5">
        <v>0</v>
      </c>
      <c r="E531" s="5" t="str">
        <f>_xlfn.SWITCH(recruitment_data3[[#This Row],[EducationLevel]], 1,"Bachelor Type 1", 2,"Bachelor Type 2", 3,"Masters", 4,"PhD")</f>
        <v>Bachelor Type 1</v>
      </c>
      <c r="F531" s="5">
        <v>1</v>
      </c>
      <c r="G531" s="5">
        <v>5</v>
      </c>
      <c r="H531" s="5">
        <v>1</v>
      </c>
      <c r="I531" s="5">
        <v>14.277879900620682</v>
      </c>
      <c r="J531" s="5">
        <v>3</v>
      </c>
      <c r="K531" s="5">
        <v>94</v>
      </c>
      <c r="L531" s="5">
        <v>70</v>
      </c>
      <c r="M531" s="5" t="str">
        <f>_xlfn.SWITCH(recruitment_data3[[#This Row],[RecruitmentStrategy]], 1,"Aggressive", 2,"Moderate", 3,"Conservative")</f>
        <v>Aggressive</v>
      </c>
      <c r="N531" s="5">
        <v>1</v>
      </c>
      <c r="O531" s="5" t="str">
        <f>IF(recruitment_data3[[#This Row],[HiringDecision]]=1,"Hired","Rejected")</f>
        <v>Hired</v>
      </c>
      <c r="P531" s="6">
        <v>1</v>
      </c>
    </row>
    <row r="532" spans="1:16" x14ac:dyDescent="0.25">
      <c r="A532" s="4" t="str">
        <f t="shared" si="8"/>
        <v>C0531</v>
      </c>
      <c r="B532" s="4">
        <v>27</v>
      </c>
      <c r="C532" s="5" t="str">
        <f>IF(recruitment_data3[[#This Row],[Gender]]=1,"Female","Male")</f>
        <v>Female</v>
      </c>
      <c r="D532" s="5">
        <v>1</v>
      </c>
      <c r="E532" s="5" t="str">
        <f>_xlfn.SWITCH(recruitment_data3[[#This Row],[EducationLevel]], 1,"Bachelor Type 1", 2,"Bachelor Type 2", 3,"Masters", 4,"PhD")</f>
        <v>Masters</v>
      </c>
      <c r="F532" s="5">
        <v>3</v>
      </c>
      <c r="G532" s="5">
        <v>5</v>
      </c>
      <c r="H532" s="5">
        <v>4</v>
      </c>
      <c r="I532" s="5">
        <v>41.338678482438368</v>
      </c>
      <c r="J532" s="5">
        <v>99</v>
      </c>
      <c r="K532" s="5">
        <v>50</v>
      </c>
      <c r="L532" s="5">
        <v>71</v>
      </c>
      <c r="M532" s="5" t="str">
        <f>_xlfn.SWITCH(recruitment_data3[[#This Row],[RecruitmentStrategy]], 1,"Aggressive", 2,"Moderate", 3,"Conservative")</f>
        <v>Aggressive</v>
      </c>
      <c r="N532" s="5">
        <v>1</v>
      </c>
      <c r="O532" s="5" t="str">
        <f>IF(recruitment_data3[[#This Row],[HiringDecision]]=1,"Hired","Rejected")</f>
        <v>Hired</v>
      </c>
      <c r="P532" s="6">
        <v>1</v>
      </c>
    </row>
    <row r="533" spans="1:16" x14ac:dyDescent="0.25">
      <c r="A533" s="4" t="str">
        <f t="shared" si="8"/>
        <v>C0532</v>
      </c>
      <c r="B533" s="4">
        <v>33</v>
      </c>
      <c r="C533" s="5" t="str">
        <f>IF(recruitment_data3[[#This Row],[Gender]]=1,"Female","Male")</f>
        <v>Male</v>
      </c>
      <c r="D533" s="5">
        <v>0</v>
      </c>
      <c r="E533" s="5" t="str">
        <f>_xlfn.SWITCH(recruitment_data3[[#This Row],[EducationLevel]], 1,"Bachelor Type 1", 2,"Bachelor Type 2", 3,"Masters", 4,"PhD")</f>
        <v>Bachelor Type 2</v>
      </c>
      <c r="F533" s="5">
        <v>2</v>
      </c>
      <c r="G533" s="5">
        <v>11</v>
      </c>
      <c r="H533" s="5">
        <v>3</v>
      </c>
      <c r="I533" s="5">
        <v>13.590338302544074</v>
      </c>
      <c r="J533" s="5">
        <v>53</v>
      </c>
      <c r="K533" s="5">
        <v>31</v>
      </c>
      <c r="L533" s="5">
        <v>83</v>
      </c>
      <c r="M533" s="5" t="str">
        <f>_xlfn.SWITCH(recruitment_data3[[#This Row],[RecruitmentStrategy]], 1,"Aggressive", 2,"Moderate", 3,"Conservative")</f>
        <v>Conservative</v>
      </c>
      <c r="N533" s="5">
        <v>3</v>
      </c>
      <c r="O533" s="5" t="str">
        <f>IF(recruitment_data3[[#This Row],[HiringDecision]]=1,"Hired","Rejected")</f>
        <v>Rejected</v>
      </c>
      <c r="P533" s="6">
        <v>0</v>
      </c>
    </row>
    <row r="534" spans="1:16" x14ac:dyDescent="0.25">
      <c r="A534" s="4" t="str">
        <f t="shared" si="8"/>
        <v>C0533</v>
      </c>
      <c r="B534" s="4">
        <v>35</v>
      </c>
      <c r="C534" s="5" t="str">
        <f>IF(recruitment_data3[[#This Row],[Gender]]=1,"Female","Male")</f>
        <v>Male</v>
      </c>
      <c r="D534" s="5">
        <v>0</v>
      </c>
      <c r="E534" s="5" t="str">
        <f>_xlfn.SWITCH(recruitment_data3[[#This Row],[EducationLevel]], 1,"Bachelor Type 1", 2,"Bachelor Type 2", 3,"Masters", 4,"PhD")</f>
        <v>Masters</v>
      </c>
      <c r="F534" s="5">
        <v>3</v>
      </c>
      <c r="G534" s="5">
        <v>14</v>
      </c>
      <c r="H534" s="5">
        <v>3</v>
      </c>
      <c r="I534" s="5">
        <v>42.187319397540023</v>
      </c>
      <c r="J534" s="5">
        <v>24</v>
      </c>
      <c r="K534" s="5">
        <v>49</v>
      </c>
      <c r="L534" s="5">
        <v>75</v>
      </c>
      <c r="M534" s="5" t="str">
        <f>_xlfn.SWITCH(recruitment_data3[[#This Row],[RecruitmentStrategy]], 1,"Aggressive", 2,"Moderate", 3,"Conservative")</f>
        <v>Moderate</v>
      </c>
      <c r="N534" s="5">
        <v>2</v>
      </c>
      <c r="O534" s="5" t="str">
        <f>IF(recruitment_data3[[#This Row],[HiringDecision]]=1,"Hired","Rejected")</f>
        <v>Rejected</v>
      </c>
      <c r="P534" s="6">
        <v>0</v>
      </c>
    </row>
    <row r="535" spans="1:16" x14ac:dyDescent="0.25">
      <c r="A535" s="4" t="str">
        <f t="shared" si="8"/>
        <v>C0534</v>
      </c>
      <c r="B535" s="4">
        <v>33</v>
      </c>
      <c r="C535" s="5" t="str">
        <f>IF(recruitment_data3[[#This Row],[Gender]]=1,"Female","Male")</f>
        <v>Female</v>
      </c>
      <c r="D535" s="5">
        <v>1</v>
      </c>
      <c r="E535" s="5" t="str">
        <f>_xlfn.SWITCH(recruitment_data3[[#This Row],[EducationLevel]], 1,"Bachelor Type 1", 2,"Bachelor Type 2", 3,"Masters", 4,"PhD")</f>
        <v>Bachelor Type 2</v>
      </c>
      <c r="F535" s="5">
        <v>2</v>
      </c>
      <c r="G535" s="5">
        <v>8</v>
      </c>
      <c r="H535" s="5">
        <v>4</v>
      </c>
      <c r="I535" s="5">
        <v>5.2634170805838698</v>
      </c>
      <c r="J535" s="5">
        <v>2</v>
      </c>
      <c r="K535" s="5">
        <v>40</v>
      </c>
      <c r="L535" s="5">
        <v>98</v>
      </c>
      <c r="M535" s="5" t="str">
        <f>_xlfn.SWITCH(recruitment_data3[[#This Row],[RecruitmentStrategy]], 1,"Aggressive", 2,"Moderate", 3,"Conservative")</f>
        <v>Moderate</v>
      </c>
      <c r="N535" s="5">
        <v>2</v>
      </c>
      <c r="O535" s="5" t="str">
        <f>IF(recruitment_data3[[#This Row],[HiringDecision]]=1,"Hired","Rejected")</f>
        <v>Rejected</v>
      </c>
      <c r="P535" s="6">
        <v>0</v>
      </c>
    </row>
    <row r="536" spans="1:16" x14ac:dyDescent="0.25">
      <c r="A536" s="4" t="str">
        <f t="shared" si="8"/>
        <v>C0535</v>
      </c>
      <c r="B536" s="4">
        <v>31</v>
      </c>
      <c r="C536" s="5" t="str">
        <f>IF(recruitment_data3[[#This Row],[Gender]]=1,"Female","Male")</f>
        <v>Male</v>
      </c>
      <c r="D536" s="5">
        <v>0</v>
      </c>
      <c r="E536" s="5" t="str">
        <f>_xlfn.SWITCH(recruitment_data3[[#This Row],[EducationLevel]], 1,"Bachelor Type 1", 2,"Bachelor Type 2", 3,"Masters", 4,"PhD")</f>
        <v>Masters</v>
      </c>
      <c r="F536" s="5">
        <v>3</v>
      </c>
      <c r="G536" s="5">
        <v>7</v>
      </c>
      <c r="H536" s="5">
        <v>3</v>
      </c>
      <c r="I536" s="5">
        <v>44.309185443451476</v>
      </c>
      <c r="J536" s="5">
        <v>8</v>
      </c>
      <c r="K536" s="5">
        <v>65</v>
      </c>
      <c r="L536" s="5">
        <v>80</v>
      </c>
      <c r="M536" s="5" t="str">
        <f>_xlfn.SWITCH(recruitment_data3[[#This Row],[RecruitmentStrategy]], 1,"Aggressive", 2,"Moderate", 3,"Conservative")</f>
        <v>Conservative</v>
      </c>
      <c r="N536" s="5">
        <v>3</v>
      </c>
      <c r="O536" s="5" t="str">
        <f>IF(recruitment_data3[[#This Row],[HiringDecision]]=1,"Hired","Rejected")</f>
        <v>Hired</v>
      </c>
      <c r="P536" s="6">
        <v>1</v>
      </c>
    </row>
    <row r="537" spans="1:16" x14ac:dyDescent="0.25">
      <c r="A537" s="4" t="str">
        <f t="shared" si="8"/>
        <v>C0536</v>
      </c>
      <c r="B537" s="4">
        <v>38</v>
      </c>
      <c r="C537" s="5" t="str">
        <f>IF(recruitment_data3[[#This Row],[Gender]]=1,"Female","Male")</f>
        <v>Female</v>
      </c>
      <c r="D537" s="5">
        <v>1</v>
      </c>
      <c r="E537" s="5" t="str">
        <f>_xlfn.SWITCH(recruitment_data3[[#This Row],[EducationLevel]], 1,"Bachelor Type 1", 2,"Bachelor Type 2", 3,"Masters", 4,"PhD")</f>
        <v>Bachelor Type 1</v>
      </c>
      <c r="F537" s="5">
        <v>1</v>
      </c>
      <c r="G537" s="5">
        <v>3</v>
      </c>
      <c r="H537" s="5">
        <v>2</v>
      </c>
      <c r="I537" s="5">
        <v>25.959322546666524</v>
      </c>
      <c r="J537" s="5">
        <v>85</v>
      </c>
      <c r="K537" s="5">
        <v>24</v>
      </c>
      <c r="L537" s="5">
        <v>91</v>
      </c>
      <c r="M537" s="5" t="str">
        <f>_xlfn.SWITCH(recruitment_data3[[#This Row],[RecruitmentStrategy]], 1,"Aggressive", 2,"Moderate", 3,"Conservative")</f>
        <v>Conservative</v>
      </c>
      <c r="N537" s="5">
        <v>3</v>
      </c>
      <c r="O537" s="5" t="str">
        <f>IF(recruitment_data3[[#This Row],[HiringDecision]]=1,"Hired","Rejected")</f>
        <v>Rejected</v>
      </c>
      <c r="P537" s="6">
        <v>0</v>
      </c>
    </row>
    <row r="538" spans="1:16" x14ac:dyDescent="0.25">
      <c r="A538" s="4" t="str">
        <f t="shared" si="8"/>
        <v>C0537</v>
      </c>
      <c r="B538" s="4">
        <v>42</v>
      </c>
      <c r="C538" s="5" t="str">
        <f>IF(recruitment_data3[[#This Row],[Gender]]=1,"Female","Male")</f>
        <v>Male</v>
      </c>
      <c r="D538" s="5">
        <v>0</v>
      </c>
      <c r="E538" s="5" t="str">
        <f>_xlfn.SWITCH(recruitment_data3[[#This Row],[EducationLevel]], 1,"Bachelor Type 1", 2,"Bachelor Type 2", 3,"Masters", 4,"PhD")</f>
        <v>Bachelor Type 2</v>
      </c>
      <c r="F538" s="5">
        <v>2</v>
      </c>
      <c r="G538" s="5">
        <v>14</v>
      </c>
      <c r="H538" s="5">
        <v>2</v>
      </c>
      <c r="I538" s="5">
        <v>15.826879481013099</v>
      </c>
      <c r="J538" s="5">
        <v>86</v>
      </c>
      <c r="K538" s="5">
        <v>60</v>
      </c>
      <c r="L538" s="5">
        <v>9</v>
      </c>
      <c r="M538" s="5" t="str">
        <f>_xlfn.SWITCH(recruitment_data3[[#This Row],[RecruitmentStrategy]], 1,"Aggressive", 2,"Moderate", 3,"Conservative")</f>
        <v>Conservative</v>
      </c>
      <c r="N538" s="5">
        <v>3</v>
      </c>
      <c r="O538" s="5" t="str">
        <f>IF(recruitment_data3[[#This Row],[HiringDecision]]=1,"Hired","Rejected")</f>
        <v>Rejected</v>
      </c>
      <c r="P538" s="6">
        <v>0</v>
      </c>
    </row>
    <row r="539" spans="1:16" x14ac:dyDescent="0.25">
      <c r="A539" s="4" t="str">
        <f t="shared" si="8"/>
        <v>C0538</v>
      </c>
      <c r="B539" s="4">
        <v>34</v>
      </c>
      <c r="C539" s="5" t="str">
        <f>IF(recruitment_data3[[#This Row],[Gender]]=1,"Female","Male")</f>
        <v>Female</v>
      </c>
      <c r="D539" s="5">
        <v>1</v>
      </c>
      <c r="E539" s="5" t="str">
        <f>_xlfn.SWITCH(recruitment_data3[[#This Row],[EducationLevel]], 1,"Bachelor Type 1", 2,"Bachelor Type 2", 3,"Masters", 4,"PhD")</f>
        <v>PhD</v>
      </c>
      <c r="F539" s="5">
        <v>4</v>
      </c>
      <c r="G539" s="5">
        <v>11</v>
      </c>
      <c r="H539" s="5">
        <v>3</v>
      </c>
      <c r="I539" s="5">
        <v>14.255662520757438</v>
      </c>
      <c r="J539" s="5">
        <v>75</v>
      </c>
      <c r="K539" s="5">
        <v>65</v>
      </c>
      <c r="L539" s="5">
        <v>85</v>
      </c>
      <c r="M539" s="5" t="str">
        <f>_xlfn.SWITCH(recruitment_data3[[#This Row],[RecruitmentStrategy]], 1,"Aggressive", 2,"Moderate", 3,"Conservative")</f>
        <v>Moderate</v>
      </c>
      <c r="N539" s="5">
        <v>2</v>
      </c>
      <c r="O539" s="5" t="str">
        <f>IF(recruitment_data3[[#This Row],[HiringDecision]]=1,"Hired","Rejected")</f>
        <v>Hired</v>
      </c>
      <c r="P539" s="6">
        <v>1</v>
      </c>
    </row>
    <row r="540" spans="1:16" x14ac:dyDescent="0.25">
      <c r="A540" s="4" t="str">
        <f t="shared" si="8"/>
        <v>C0539</v>
      </c>
      <c r="B540" s="4">
        <v>47</v>
      </c>
      <c r="C540" s="5" t="str">
        <f>IF(recruitment_data3[[#This Row],[Gender]]=1,"Female","Male")</f>
        <v>Female</v>
      </c>
      <c r="D540" s="5">
        <v>1</v>
      </c>
      <c r="E540" s="5" t="str">
        <f>_xlfn.SWITCH(recruitment_data3[[#This Row],[EducationLevel]], 1,"Bachelor Type 1", 2,"Bachelor Type 2", 3,"Masters", 4,"PhD")</f>
        <v>Masters</v>
      </c>
      <c r="F540" s="5">
        <v>3</v>
      </c>
      <c r="G540" s="5">
        <v>3</v>
      </c>
      <c r="H540" s="5">
        <v>3</v>
      </c>
      <c r="I540" s="5">
        <v>22.600527946518135</v>
      </c>
      <c r="J540" s="5">
        <v>73</v>
      </c>
      <c r="K540" s="5">
        <v>41</v>
      </c>
      <c r="L540" s="5">
        <v>56</v>
      </c>
      <c r="M540" s="5" t="str">
        <f>_xlfn.SWITCH(recruitment_data3[[#This Row],[RecruitmentStrategy]], 1,"Aggressive", 2,"Moderate", 3,"Conservative")</f>
        <v>Moderate</v>
      </c>
      <c r="N540" s="5">
        <v>2</v>
      </c>
      <c r="O540" s="5" t="str">
        <f>IF(recruitment_data3[[#This Row],[HiringDecision]]=1,"Hired","Rejected")</f>
        <v>Rejected</v>
      </c>
      <c r="P540" s="6">
        <v>0</v>
      </c>
    </row>
    <row r="541" spans="1:16" x14ac:dyDescent="0.25">
      <c r="A541" s="4" t="str">
        <f t="shared" si="8"/>
        <v>C0540</v>
      </c>
      <c r="B541" s="4">
        <v>21</v>
      </c>
      <c r="C541" s="5" t="str">
        <f>IF(recruitment_data3[[#This Row],[Gender]]=1,"Female","Male")</f>
        <v>Female</v>
      </c>
      <c r="D541" s="5">
        <v>1</v>
      </c>
      <c r="E541" s="5" t="str">
        <f>_xlfn.SWITCH(recruitment_data3[[#This Row],[EducationLevel]], 1,"Bachelor Type 1", 2,"Bachelor Type 2", 3,"Masters", 4,"PhD")</f>
        <v>Bachelor Type 2</v>
      </c>
      <c r="F541" s="5">
        <v>2</v>
      </c>
      <c r="G541" s="5">
        <v>8</v>
      </c>
      <c r="H541" s="5">
        <v>2</v>
      </c>
      <c r="I541" s="5">
        <v>50.95247490518225</v>
      </c>
      <c r="J541" s="5">
        <v>33</v>
      </c>
      <c r="K541" s="5">
        <v>64</v>
      </c>
      <c r="L541" s="5">
        <v>96</v>
      </c>
      <c r="M541" s="5" t="str">
        <f>_xlfn.SWITCH(recruitment_data3[[#This Row],[RecruitmentStrategy]], 1,"Aggressive", 2,"Moderate", 3,"Conservative")</f>
        <v>Aggressive</v>
      </c>
      <c r="N541" s="5">
        <v>1</v>
      </c>
      <c r="O541" s="5" t="str">
        <f>IF(recruitment_data3[[#This Row],[HiringDecision]]=1,"Hired","Rejected")</f>
        <v>Hired</v>
      </c>
      <c r="P541" s="6">
        <v>1</v>
      </c>
    </row>
    <row r="542" spans="1:16" x14ac:dyDescent="0.25">
      <c r="A542" s="4" t="str">
        <f t="shared" si="8"/>
        <v>C0541</v>
      </c>
      <c r="B542" s="4">
        <v>21</v>
      </c>
      <c r="C542" s="5" t="str">
        <f>IF(recruitment_data3[[#This Row],[Gender]]=1,"Female","Male")</f>
        <v>Female</v>
      </c>
      <c r="D542" s="5">
        <v>1</v>
      </c>
      <c r="E542" s="5" t="str">
        <f>_xlfn.SWITCH(recruitment_data3[[#This Row],[EducationLevel]], 1,"Bachelor Type 1", 2,"Bachelor Type 2", 3,"Masters", 4,"PhD")</f>
        <v>Bachelor Type 2</v>
      </c>
      <c r="F542" s="5">
        <v>2</v>
      </c>
      <c r="G542" s="5">
        <v>0</v>
      </c>
      <c r="H542" s="5">
        <v>3</v>
      </c>
      <c r="I542" s="5">
        <v>12.016369671879128</v>
      </c>
      <c r="J542" s="5">
        <v>42</v>
      </c>
      <c r="K542" s="5">
        <v>35</v>
      </c>
      <c r="L542" s="5">
        <v>85</v>
      </c>
      <c r="M542" s="5" t="str">
        <f>_xlfn.SWITCH(recruitment_data3[[#This Row],[RecruitmentStrategy]], 1,"Aggressive", 2,"Moderate", 3,"Conservative")</f>
        <v>Moderate</v>
      </c>
      <c r="N542" s="5">
        <v>2</v>
      </c>
      <c r="O542" s="5" t="str">
        <f>IF(recruitment_data3[[#This Row],[HiringDecision]]=1,"Hired","Rejected")</f>
        <v>Rejected</v>
      </c>
      <c r="P542" s="6">
        <v>0</v>
      </c>
    </row>
    <row r="543" spans="1:16" x14ac:dyDescent="0.25">
      <c r="A543" s="4" t="str">
        <f t="shared" si="8"/>
        <v>C0542</v>
      </c>
      <c r="B543" s="4">
        <v>42</v>
      </c>
      <c r="C543" s="5" t="str">
        <f>IF(recruitment_data3[[#This Row],[Gender]]=1,"Female","Male")</f>
        <v>Male</v>
      </c>
      <c r="D543" s="5">
        <v>0</v>
      </c>
      <c r="E543" s="5" t="str">
        <f>_xlfn.SWITCH(recruitment_data3[[#This Row],[EducationLevel]], 1,"Bachelor Type 1", 2,"Bachelor Type 2", 3,"Masters", 4,"PhD")</f>
        <v>Masters</v>
      </c>
      <c r="F543" s="5">
        <v>3</v>
      </c>
      <c r="G543" s="5">
        <v>12</v>
      </c>
      <c r="H543" s="5">
        <v>3</v>
      </c>
      <c r="I543" s="5">
        <v>6.1608324439499809</v>
      </c>
      <c r="J543" s="5">
        <v>73</v>
      </c>
      <c r="K543" s="5">
        <v>75</v>
      </c>
      <c r="L543" s="5">
        <v>36</v>
      </c>
      <c r="M543" s="5" t="str">
        <f>_xlfn.SWITCH(recruitment_data3[[#This Row],[RecruitmentStrategy]], 1,"Aggressive", 2,"Moderate", 3,"Conservative")</f>
        <v>Moderate</v>
      </c>
      <c r="N543" s="5">
        <v>2</v>
      </c>
      <c r="O543" s="5" t="str">
        <f>IF(recruitment_data3[[#This Row],[HiringDecision]]=1,"Hired","Rejected")</f>
        <v>Hired</v>
      </c>
      <c r="P543" s="6">
        <v>1</v>
      </c>
    </row>
    <row r="544" spans="1:16" x14ac:dyDescent="0.25">
      <c r="A544" s="4" t="str">
        <f t="shared" si="8"/>
        <v>C0543</v>
      </c>
      <c r="B544" s="4">
        <v>50</v>
      </c>
      <c r="C544" s="5" t="str">
        <f>IF(recruitment_data3[[#This Row],[Gender]]=1,"Female","Male")</f>
        <v>Male</v>
      </c>
      <c r="D544" s="5">
        <v>0</v>
      </c>
      <c r="E544" s="5" t="str">
        <f>_xlfn.SWITCH(recruitment_data3[[#This Row],[EducationLevel]], 1,"Bachelor Type 1", 2,"Bachelor Type 2", 3,"Masters", 4,"PhD")</f>
        <v>Bachelor Type 2</v>
      </c>
      <c r="F544" s="5">
        <v>2</v>
      </c>
      <c r="G544" s="5">
        <v>1</v>
      </c>
      <c r="H544" s="5">
        <v>4</v>
      </c>
      <c r="I544" s="5">
        <v>30.251758435933095</v>
      </c>
      <c r="J544" s="5">
        <v>93</v>
      </c>
      <c r="K544" s="5">
        <v>8</v>
      </c>
      <c r="L544" s="5">
        <v>76</v>
      </c>
      <c r="M544" s="5" t="str">
        <f>_xlfn.SWITCH(recruitment_data3[[#This Row],[RecruitmentStrategy]], 1,"Aggressive", 2,"Moderate", 3,"Conservative")</f>
        <v>Moderate</v>
      </c>
      <c r="N544" s="5">
        <v>2</v>
      </c>
      <c r="O544" s="5" t="str">
        <f>IF(recruitment_data3[[#This Row],[HiringDecision]]=1,"Hired","Rejected")</f>
        <v>Rejected</v>
      </c>
      <c r="P544" s="6">
        <v>0</v>
      </c>
    </row>
    <row r="545" spans="1:16" x14ac:dyDescent="0.25">
      <c r="A545" s="4" t="str">
        <f t="shared" si="8"/>
        <v>C0544</v>
      </c>
      <c r="B545" s="4">
        <v>41</v>
      </c>
      <c r="C545" s="5" t="str">
        <f>IF(recruitment_data3[[#This Row],[Gender]]=1,"Female","Male")</f>
        <v>Female</v>
      </c>
      <c r="D545" s="5">
        <v>1</v>
      </c>
      <c r="E545" s="5" t="str">
        <f>_xlfn.SWITCH(recruitment_data3[[#This Row],[EducationLevel]], 1,"Bachelor Type 1", 2,"Bachelor Type 2", 3,"Masters", 4,"PhD")</f>
        <v>Masters</v>
      </c>
      <c r="F545" s="5">
        <v>3</v>
      </c>
      <c r="G545" s="5">
        <v>1</v>
      </c>
      <c r="H545" s="5">
        <v>1</v>
      </c>
      <c r="I545" s="5">
        <v>25.427123322012857</v>
      </c>
      <c r="J545" s="5">
        <v>21</v>
      </c>
      <c r="K545" s="5">
        <v>35</v>
      </c>
      <c r="L545" s="5">
        <v>90</v>
      </c>
      <c r="M545" s="5" t="str">
        <f>_xlfn.SWITCH(recruitment_data3[[#This Row],[RecruitmentStrategy]], 1,"Aggressive", 2,"Moderate", 3,"Conservative")</f>
        <v>Moderate</v>
      </c>
      <c r="N545" s="5">
        <v>2</v>
      </c>
      <c r="O545" s="5" t="str">
        <f>IF(recruitment_data3[[#This Row],[HiringDecision]]=1,"Hired","Rejected")</f>
        <v>Rejected</v>
      </c>
      <c r="P545" s="6">
        <v>0</v>
      </c>
    </row>
    <row r="546" spans="1:16" x14ac:dyDescent="0.25">
      <c r="A546" s="4" t="str">
        <f t="shared" si="8"/>
        <v>C0545</v>
      </c>
      <c r="B546" s="4">
        <v>38</v>
      </c>
      <c r="C546" s="5" t="str">
        <f>IF(recruitment_data3[[#This Row],[Gender]]=1,"Female","Male")</f>
        <v>Female</v>
      </c>
      <c r="D546" s="5">
        <v>1</v>
      </c>
      <c r="E546" s="5" t="str">
        <f>_xlfn.SWITCH(recruitment_data3[[#This Row],[EducationLevel]], 1,"Bachelor Type 1", 2,"Bachelor Type 2", 3,"Masters", 4,"PhD")</f>
        <v>Masters</v>
      </c>
      <c r="F546" s="5">
        <v>3</v>
      </c>
      <c r="G546" s="5">
        <v>12</v>
      </c>
      <c r="H546" s="5">
        <v>2</v>
      </c>
      <c r="I546" s="5">
        <v>27.209813553165368</v>
      </c>
      <c r="J546" s="5">
        <v>69</v>
      </c>
      <c r="K546" s="5">
        <v>91</v>
      </c>
      <c r="L546" s="5">
        <v>63</v>
      </c>
      <c r="M546" s="5" t="str">
        <f>_xlfn.SWITCH(recruitment_data3[[#This Row],[RecruitmentStrategy]], 1,"Aggressive", 2,"Moderate", 3,"Conservative")</f>
        <v>Conservative</v>
      </c>
      <c r="N546" s="5">
        <v>3</v>
      </c>
      <c r="O546" s="5" t="str">
        <f>IF(recruitment_data3[[#This Row],[HiringDecision]]=1,"Hired","Rejected")</f>
        <v>Hired</v>
      </c>
      <c r="P546" s="6">
        <v>1</v>
      </c>
    </row>
    <row r="547" spans="1:16" x14ac:dyDescent="0.25">
      <c r="A547" s="4" t="str">
        <f t="shared" si="8"/>
        <v>C0546</v>
      </c>
      <c r="B547" s="4">
        <v>44</v>
      </c>
      <c r="C547" s="5" t="str">
        <f>IF(recruitment_data3[[#This Row],[Gender]]=1,"Female","Male")</f>
        <v>Female</v>
      </c>
      <c r="D547" s="5">
        <v>1</v>
      </c>
      <c r="E547" s="5" t="str">
        <f>_xlfn.SWITCH(recruitment_data3[[#This Row],[EducationLevel]], 1,"Bachelor Type 1", 2,"Bachelor Type 2", 3,"Masters", 4,"PhD")</f>
        <v>Bachelor Type 1</v>
      </c>
      <c r="F547" s="5">
        <v>1</v>
      </c>
      <c r="G547" s="5">
        <v>12</v>
      </c>
      <c r="H547" s="5">
        <v>4</v>
      </c>
      <c r="I547" s="5">
        <v>34.346770877860855</v>
      </c>
      <c r="J547" s="5">
        <v>1</v>
      </c>
      <c r="K547" s="5">
        <v>37</v>
      </c>
      <c r="L547" s="5">
        <v>78</v>
      </c>
      <c r="M547" s="5" t="str">
        <f>_xlfn.SWITCH(recruitment_data3[[#This Row],[RecruitmentStrategy]], 1,"Aggressive", 2,"Moderate", 3,"Conservative")</f>
        <v>Moderate</v>
      </c>
      <c r="N547" s="5">
        <v>2</v>
      </c>
      <c r="O547" s="5" t="str">
        <f>IF(recruitment_data3[[#This Row],[HiringDecision]]=1,"Hired","Rejected")</f>
        <v>Rejected</v>
      </c>
      <c r="P547" s="6">
        <v>0</v>
      </c>
    </row>
    <row r="548" spans="1:16" x14ac:dyDescent="0.25">
      <c r="A548" s="4" t="str">
        <f t="shared" si="8"/>
        <v>C0547</v>
      </c>
      <c r="B548" s="4">
        <v>45</v>
      </c>
      <c r="C548" s="5" t="str">
        <f>IF(recruitment_data3[[#This Row],[Gender]]=1,"Female","Male")</f>
        <v>Male</v>
      </c>
      <c r="D548" s="5">
        <v>0</v>
      </c>
      <c r="E548" s="5" t="str">
        <f>_xlfn.SWITCH(recruitment_data3[[#This Row],[EducationLevel]], 1,"Bachelor Type 1", 2,"Bachelor Type 2", 3,"Masters", 4,"PhD")</f>
        <v>Bachelor Type 1</v>
      </c>
      <c r="F548" s="5">
        <v>1</v>
      </c>
      <c r="G548" s="5">
        <v>5</v>
      </c>
      <c r="H548" s="5">
        <v>1</v>
      </c>
      <c r="I548" s="5">
        <v>14.357203493532467</v>
      </c>
      <c r="J548" s="5">
        <v>93</v>
      </c>
      <c r="K548" s="5">
        <v>32</v>
      </c>
      <c r="L548" s="5">
        <v>85</v>
      </c>
      <c r="M548" s="5" t="str">
        <f>_xlfn.SWITCH(recruitment_data3[[#This Row],[RecruitmentStrategy]], 1,"Aggressive", 2,"Moderate", 3,"Conservative")</f>
        <v>Moderate</v>
      </c>
      <c r="N548" s="5">
        <v>2</v>
      </c>
      <c r="O548" s="5" t="str">
        <f>IF(recruitment_data3[[#This Row],[HiringDecision]]=1,"Hired","Rejected")</f>
        <v>Rejected</v>
      </c>
      <c r="P548" s="6">
        <v>0</v>
      </c>
    </row>
    <row r="549" spans="1:16" x14ac:dyDescent="0.25">
      <c r="A549" s="4" t="str">
        <f t="shared" si="8"/>
        <v>C0548</v>
      </c>
      <c r="B549" s="4">
        <v>50</v>
      </c>
      <c r="C549" s="5" t="str">
        <f>IF(recruitment_data3[[#This Row],[Gender]]=1,"Female","Male")</f>
        <v>Male</v>
      </c>
      <c r="D549" s="5">
        <v>0</v>
      </c>
      <c r="E549" s="5" t="str">
        <f>_xlfn.SWITCH(recruitment_data3[[#This Row],[EducationLevel]], 1,"Bachelor Type 1", 2,"Bachelor Type 2", 3,"Masters", 4,"PhD")</f>
        <v>Bachelor Type 2</v>
      </c>
      <c r="F549" s="5">
        <v>2</v>
      </c>
      <c r="G549" s="5">
        <v>14</v>
      </c>
      <c r="H549" s="5">
        <v>3</v>
      </c>
      <c r="I549" s="5">
        <v>46.53324976919442</v>
      </c>
      <c r="J549" s="5">
        <v>65</v>
      </c>
      <c r="K549" s="5">
        <v>41</v>
      </c>
      <c r="L549" s="5">
        <v>93</v>
      </c>
      <c r="M549" s="5" t="str">
        <f>_xlfn.SWITCH(recruitment_data3[[#This Row],[RecruitmentStrategy]], 1,"Aggressive", 2,"Moderate", 3,"Conservative")</f>
        <v>Moderate</v>
      </c>
      <c r="N549" s="5">
        <v>2</v>
      </c>
      <c r="O549" s="5" t="str">
        <f>IF(recruitment_data3[[#This Row],[HiringDecision]]=1,"Hired","Rejected")</f>
        <v>Rejected</v>
      </c>
      <c r="P549" s="6">
        <v>0</v>
      </c>
    </row>
    <row r="550" spans="1:16" x14ac:dyDescent="0.25">
      <c r="A550" s="4" t="str">
        <f t="shared" si="8"/>
        <v>C0549</v>
      </c>
      <c r="B550" s="4">
        <v>49</v>
      </c>
      <c r="C550" s="5" t="str">
        <f>IF(recruitment_data3[[#This Row],[Gender]]=1,"Female","Male")</f>
        <v>Male</v>
      </c>
      <c r="D550" s="5">
        <v>0</v>
      </c>
      <c r="E550" s="5" t="str">
        <f>_xlfn.SWITCH(recruitment_data3[[#This Row],[EducationLevel]], 1,"Bachelor Type 1", 2,"Bachelor Type 2", 3,"Masters", 4,"PhD")</f>
        <v>Bachelor Type 1</v>
      </c>
      <c r="F550" s="5">
        <v>1</v>
      </c>
      <c r="G550" s="5">
        <v>3</v>
      </c>
      <c r="H550" s="5">
        <v>3</v>
      </c>
      <c r="I550" s="5">
        <v>22.783603306114518</v>
      </c>
      <c r="J550" s="5">
        <v>31</v>
      </c>
      <c r="K550" s="5">
        <v>60</v>
      </c>
      <c r="L550" s="5">
        <v>39</v>
      </c>
      <c r="M550" s="5" t="str">
        <f>_xlfn.SWITCH(recruitment_data3[[#This Row],[RecruitmentStrategy]], 1,"Aggressive", 2,"Moderate", 3,"Conservative")</f>
        <v>Aggressive</v>
      </c>
      <c r="N550" s="5">
        <v>1</v>
      </c>
      <c r="O550" s="5" t="str">
        <f>IF(recruitment_data3[[#This Row],[HiringDecision]]=1,"Hired","Rejected")</f>
        <v>Rejected</v>
      </c>
      <c r="P550" s="6">
        <v>0</v>
      </c>
    </row>
    <row r="551" spans="1:16" x14ac:dyDescent="0.25">
      <c r="A551" s="4" t="str">
        <f t="shared" si="8"/>
        <v>C0550</v>
      </c>
      <c r="B551" s="4">
        <v>48</v>
      </c>
      <c r="C551" s="5" t="str">
        <f>IF(recruitment_data3[[#This Row],[Gender]]=1,"Female","Male")</f>
        <v>Male</v>
      </c>
      <c r="D551" s="5">
        <v>0</v>
      </c>
      <c r="E551" s="5" t="str">
        <f>_xlfn.SWITCH(recruitment_data3[[#This Row],[EducationLevel]], 1,"Bachelor Type 1", 2,"Bachelor Type 2", 3,"Masters", 4,"PhD")</f>
        <v>Bachelor Type 2</v>
      </c>
      <c r="F551" s="5">
        <v>2</v>
      </c>
      <c r="G551" s="5">
        <v>15</v>
      </c>
      <c r="H551" s="5">
        <v>4</v>
      </c>
      <c r="I551" s="5">
        <v>7.454309757123089</v>
      </c>
      <c r="J551" s="5">
        <v>15</v>
      </c>
      <c r="K551" s="5">
        <v>45</v>
      </c>
      <c r="L551" s="5">
        <v>100</v>
      </c>
      <c r="M551" s="5" t="str">
        <f>_xlfn.SWITCH(recruitment_data3[[#This Row],[RecruitmentStrategy]], 1,"Aggressive", 2,"Moderate", 3,"Conservative")</f>
        <v>Aggressive</v>
      </c>
      <c r="N551" s="5">
        <v>1</v>
      </c>
      <c r="O551" s="5" t="str">
        <f>IF(recruitment_data3[[#This Row],[HiringDecision]]=1,"Hired","Rejected")</f>
        <v>Hired</v>
      </c>
      <c r="P551" s="6">
        <v>1</v>
      </c>
    </row>
    <row r="552" spans="1:16" x14ac:dyDescent="0.25">
      <c r="A552" s="4" t="str">
        <f t="shared" si="8"/>
        <v>C0551</v>
      </c>
      <c r="B552" s="4">
        <v>41</v>
      </c>
      <c r="C552" s="5" t="str">
        <f>IF(recruitment_data3[[#This Row],[Gender]]=1,"Female","Male")</f>
        <v>Female</v>
      </c>
      <c r="D552" s="5">
        <v>1</v>
      </c>
      <c r="E552" s="5" t="str">
        <f>_xlfn.SWITCH(recruitment_data3[[#This Row],[EducationLevel]], 1,"Bachelor Type 1", 2,"Bachelor Type 2", 3,"Masters", 4,"PhD")</f>
        <v>PhD</v>
      </c>
      <c r="F552" s="5">
        <v>4</v>
      </c>
      <c r="G552" s="5">
        <v>12</v>
      </c>
      <c r="H552" s="5">
        <v>3</v>
      </c>
      <c r="I552" s="5">
        <v>38.114937836697216</v>
      </c>
      <c r="J552" s="5">
        <v>75</v>
      </c>
      <c r="K552" s="5">
        <v>85</v>
      </c>
      <c r="L552" s="5">
        <v>97</v>
      </c>
      <c r="M552" s="5" t="str">
        <f>_xlfn.SWITCH(recruitment_data3[[#This Row],[RecruitmentStrategy]], 1,"Aggressive", 2,"Moderate", 3,"Conservative")</f>
        <v>Moderate</v>
      </c>
      <c r="N552" s="5">
        <v>2</v>
      </c>
      <c r="O552" s="5" t="str">
        <f>IF(recruitment_data3[[#This Row],[HiringDecision]]=1,"Hired","Rejected")</f>
        <v>Hired</v>
      </c>
      <c r="P552" s="6">
        <v>1</v>
      </c>
    </row>
    <row r="553" spans="1:16" x14ac:dyDescent="0.25">
      <c r="A553" s="4" t="str">
        <f t="shared" si="8"/>
        <v>C0552</v>
      </c>
      <c r="B553" s="4">
        <v>45</v>
      </c>
      <c r="C553" s="5" t="str">
        <f>IF(recruitment_data3[[#This Row],[Gender]]=1,"Female","Male")</f>
        <v>Female</v>
      </c>
      <c r="D553" s="5">
        <v>1</v>
      </c>
      <c r="E553" s="5" t="str">
        <f>_xlfn.SWITCH(recruitment_data3[[#This Row],[EducationLevel]], 1,"Bachelor Type 1", 2,"Bachelor Type 2", 3,"Masters", 4,"PhD")</f>
        <v>Bachelor Type 2</v>
      </c>
      <c r="F553" s="5">
        <v>2</v>
      </c>
      <c r="G553" s="5">
        <v>10</v>
      </c>
      <c r="H553" s="5">
        <v>5</v>
      </c>
      <c r="I553" s="5">
        <v>33.155217630892516</v>
      </c>
      <c r="J553" s="5">
        <v>0</v>
      </c>
      <c r="K553" s="5">
        <v>88</v>
      </c>
      <c r="L553" s="5">
        <v>59</v>
      </c>
      <c r="M553" s="5" t="str">
        <f>_xlfn.SWITCH(recruitment_data3[[#This Row],[RecruitmentStrategy]], 1,"Aggressive", 2,"Moderate", 3,"Conservative")</f>
        <v>Aggressive</v>
      </c>
      <c r="N553" s="5">
        <v>1</v>
      </c>
      <c r="O553" s="5" t="str">
        <f>IF(recruitment_data3[[#This Row],[HiringDecision]]=1,"Hired","Rejected")</f>
        <v>Hired</v>
      </c>
      <c r="P553" s="6">
        <v>1</v>
      </c>
    </row>
    <row r="554" spans="1:16" x14ac:dyDescent="0.25">
      <c r="A554" s="4" t="str">
        <f t="shared" si="8"/>
        <v>C0553</v>
      </c>
      <c r="B554" s="4">
        <v>45</v>
      </c>
      <c r="C554" s="5" t="str">
        <f>IF(recruitment_data3[[#This Row],[Gender]]=1,"Female","Male")</f>
        <v>Female</v>
      </c>
      <c r="D554" s="5">
        <v>1</v>
      </c>
      <c r="E554" s="5" t="str">
        <f>_xlfn.SWITCH(recruitment_data3[[#This Row],[EducationLevel]], 1,"Bachelor Type 1", 2,"Bachelor Type 2", 3,"Masters", 4,"PhD")</f>
        <v>Masters</v>
      </c>
      <c r="F554" s="5">
        <v>3</v>
      </c>
      <c r="G554" s="5">
        <v>9</v>
      </c>
      <c r="H554" s="5">
        <v>4</v>
      </c>
      <c r="I554" s="5">
        <v>16.787170124201854</v>
      </c>
      <c r="J554" s="5">
        <v>71</v>
      </c>
      <c r="K554" s="5">
        <v>60</v>
      </c>
      <c r="L554" s="5">
        <v>97</v>
      </c>
      <c r="M554" s="5" t="str">
        <f>_xlfn.SWITCH(recruitment_data3[[#This Row],[RecruitmentStrategy]], 1,"Aggressive", 2,"Moderate", 3,"Conservative")</f>
        <v>Moderate</v>
      </c>
      <c r="N554" s="5">
        <v>2</v>
      </c>
      <c r="O554" s="5" t="str">
        <f>IF(recruitment_data3[[#This Row],[HiringDecision]]=1,"Hired","Rejected")</f>
        <v>Hired</v>
      </c>
      <c r="P554" s="6">
        <v>1</v>
      </c>
    </row>
    <row r="555" spans="1:16" x14ac:dyDescent="0.25">
      <c r="A555" s="4" t="str">
        <f t="shared" si="8"/>
        <v>C0554</v>
      </c>
      <c r="B555" s="4">
        <v>41</v>
      </c>
      <c r="C555" s="5" t="str">
        <f>IF(recruitment_data3[[#This Row],[Gender]]=1,"Female","Male")</f>
        <v>Male</v>
      </c>
      <c r="D555" s="5">
        <v>0</v>
      </c>
      <c r="E555" s="5" t="str">
        <f>_xlfn.SWITCH(recruitment_data3[[#This Row],[EducationLevel]], 1,"Bachelor Type 1", 2,"Bachelor Type 2", 3,"Masters", 4,"PhD")</f>
        <v>Bachelor Type 2</v>
      </c>
      <c r="F555" s="5">
        <v>2</v>
      </c>
      <c r="G555" s="5">
        <v>12</v>
      </c>
      <c r="H555" s="5">
        <v>1</v>
      </c>
      <c r="I555" s="5">
        <v>32.075936201702426</v>
      </c>
      <c r="J555" s="5">
        <v>47</v>
      </c>
      <c r="K555" s="5">
        <v>17</v>
      </c>
      <c r="L555" s="5">
        <v>47</v>
      </c>
      <c r="M555" s="5" t="str">
        <f>_xlfn.SWITCH(recruitment_data3[[#This Row],[RecruitmentStrategy]], 1,"Aggressive", 2,"Moderate", 3,"Conservative")</f>
        <v>Moderate</v>
      </c>
      <c r="N555" s="5">
        <v>2</v>
      </c>
      <c r="O555" s="5" t="str">
        <f>IF(recruitment_data3[[#This Row],[HiringDecision]]=1,"Hired","Rejected")</f>
        <v>Rejected</v>
      </c>
      <c r="P555" s="6">
        <v>0</v>
      </c>
    </row>
    <row r="556" spans="1:16" x14ac:dyDescent="0.25">
      <c r="A556" s="4" t="str">
        <f t="shared" si="8"/>
        <v>C0555</v>
      </c>
      <c r="B556" s="4">
        <v>36</v>
      </c>
      <c r="C556" s="5" t="str">
        <f>IF(recruitment_data3[[#This Row],[Gender]]=1,"Female","Male")</f>
        <v>Male</v>
      </c>
      <c r="D556" s="5">
        <v>0</v>
      </c>
      <c r="E556" s="5" t="str">
        <f>_xlfn.SWITCH(recruitment_data3[[#This Row],[EducationLevel]], 1,"Bachelor Type 1", 2,"Bachelor Type 2", 3,"Masters", 4,"PhD")</f>
        <v>Bachelor Type 2</v>
      </c>
      <c r="F556" s="5">
        <v>2</v>
      </c>
      <c r="G556" s="5">
        <v>2</v>
      </c>
      <c r="H556" s="5">
        <v>4</v>
      </c>
      <c r="I556" s="5">
        <v>11.993097818448843</v>
      </c>
      <c r="J556" s="5">
        <v>49</v>
      </c>
      <c r="K556" s="5">
        <v>69</v>
      </c>
      <c r="L556" s="5">
        <v>98</v>
      </c>
      <c r="M556" s="5" t="str">
        <f>_xlfn.SWITCH(recruitment_data3[[#This Row],[RecruitmentStrategy]], 1,"Aggressive", 2,"Moderate", 3,"Conservative")</f>
        <v>Aggressive</v>
      </c>
      <c r="N556" s="5">
        <v>1</v>
      </c>
      <c r="O556" s="5" t="str">
        <f>IF(recruitment_data3[[#This Row],[HiringDecision]]=1,"Hired","Rejected")</f>
        <v>Hired</v>
      </c>
      <c r="P556" s="6">
        <v>1</v>
      </c>
    </row>
    <row r="557" spans="1:16" x14ac:dyDescent="0.25">
      <c r="A557" s="4" t="str">
        <f t="shared" si="8"/>
        <v>C0556</v>
      </c>
      <c r="B557" s="4">
        <v>39</v>
      </c>
      <c r="C557" s="5" t="str">
        <f>IF(recruitment_data3[[#This Row],[Gender]]=1,"Female","Male")</f>
        <v>Male</v>
      </c>
      <c r="D557" s="5">
        <v>0</v>
      </c>
      <c r="E557" s="5" t="str">
        <f>_xlfn.SWITCH(recruitment_data3[[#This Row],[EducationLevel]], 1,"Bachelor Type 1", 2,"Bachelor Type 2", 3,"Masters", 4,"PhD")</f>
        <v>Bachelor Type 1</v>
      </c>
      <c r="F557" s="5">
        <v>1</v>
      </c>
      <c r="G557" s="5">
        <v>2</v>
      </c>
      <c r="H557" s="5">
        <v>2</v>
      </c>
      <c r="I557" s="5">
        <v>23.241967967026476</v>
      </c>
      <c r="J557" s="5">
        <v>12</v>
      </c>
      <c r="K557" s="5">
        <v>81</v>
      </c>
      <c r="L557" s="5">
        <v>18</v>
      </c>
      <c r="M557" s="5" t="str">
        <f>_xlfn.SWITCH(recruitment_data3[[#This Row],[RecruitmentStrategy]], 1,"Aggressive", 2,"Moderate", 3,"Conservative")</f>
        <v>Aggressive</v>
      </c>
      <c r="N557" s="5">
        <v>1</v>
      </c>
      <c r="O557" s="5" t="str">
        <f>IF(recruitment_data3[[#This Row],[HiringDecision]]=1,"Hired","Rejected")</f>
        <v>Rejected</v>
      </c>
      <c r="P557" s="6">
        <v>0</v>
      </c>
    </row>
    <row r="558" spans="1:16" x14ac:dyDescent="0.25">
      <c r="A558" s="4" t="str">
        <f t="shared" si="8"/>
        <v>C0557</v>
      </c>
      <c r="B558" s="4">
        <v>29</v>
      </c>
      <c r="C558" s="5" t="str">
        <f>IF(recruitment_data3[[#This Row],[Gender]]=1,"Female","Male")</f>
        <v>Female</v>
      </c>
      <c r="D558" s="5">
        <v>1</v>
      </c>
      <c r="E558" s="5" t="str">
        <f>_xlfn.SWITCH(recruitment_data3[[#This Row],[EducationLevel]], 1,"Bachelor Type 1", 2,"Bachelor Type 2", 3,"Masters", 4,"PhD")</f>
        <v>Bachelor Type 2</v>
      </c>
      <c r="F558" s="5">
        <v>2</v>
      </c>
      <c r="G558" s="5">
        <v>2</v>
      </c>
      <c r="H558" s="5">
        <v>4</v>
      </c>
      <c r="I558" s="5">
        <v>45.970626108366261</v>
      </c>
      <c r="J558" s="5">
        <v>14</v>
      </c>
      <c r="K558" s="5">
        <v>79</v>
      </c>
      <c r="L558" s="5">
        <v>71</v>
      </c>
      <c r="M558" s="5" t="str">
        <f>_xlfn.SWITCH(recruitment_data3[[#This Row],[RecruitmentStrategy]], 1,"Aggressive", 2,"Moderate", 3,"Conservative")</f>
        <v>Moderate</v>
      </c>
      <c r="N558" s="5">
        <v>2</v>
      </c>
      <c r="O558" s="5" t="str">
        <f>IF(recruitment_data3[[#This Row],[HiringDecision]]=1,"Hired","Rejected")</f>
        <v>Rejected</v>
      </c>
      <c r="P558" s="6">
        <v>0</v>
      </c>
    </row>
    <row r="559" spans="1:16" x14ac:dyDescent="0.25">
      <c r="A559" s="4" t="str">
        <f t="shared" si="8"/>
        <v>C0558</v>
      </c>
      <c r="B559" s="4">
        <v>25</v>
      </c>
      <c r="C559" s="5" t="str">
        <f>IF(recruitment_data3[[#This Row],[Gender]]=1,"Female","Male")</f>
        <v>Female</v>
      </c>
      <c r="D559" s="5">
        <v>1</v>
      </c>
      <c r="E559" s="5" t="str">
        <f>_xlfn.SWITCH(recruitment_data3[[#This Row],[EducationLevel]], 1,"Bachelor Type 1", 2,"Bachelor Type 2", 3,"Masters", 4,"PhD")</f>
        <v>Bachelor Type 2</v>
      </c>
      <c r="F559" s="5">
        <v>2</v>
      </c>
      <c r="G559" s="5">
        <v>5</v>
      </c>
      <c r="H559" s="5">
        <v>3</v>
      </c>
      <c r="I559" s="5">
        <v>7.6767116580374708</v>
      </c>
      <c r="J559" s="5">
        <v>52</v>
      </c>
      <c r="K559" s="5">
        <v>14</v>
      </c>
      <c r="L559" s="5">
        <v>32</v>
      </c>
      <c r="M559" s="5" t="str">
        <f>_xlfn.SWITCH(recruitment_data3[[#This Row],[RecruitmentStrategy]], 1,"Aggressive", 2,"Moderate", 3,"Conservative")</f>
        <v>Moderate</v>
      </c>
      <c r="N559" s="5">
        <v>2</v>
      </c>
      <c r="O559" s="5" t="str">
        <f>IF(recruitment_data3[[#This Row],[HiringDecision]]=1,"Hired","Rejected")</f>
        <v>Rejected</v>
      </c>
      <c r="P559" s="6">
        <v>0</v>
      </c>
    </row>
    <row r="560" spans="1:16" x14ac:dyDescent="0.25">
      <c r="A560" s="4" t="str">
        <f t="shared" si="8"/>
        <v>C0559</v>
      </c>
      <c r="B560" s="4">
        <v>34</v>
      </c>
      <c r="C560" s="5" t="str">
        <f>IF(recruitment_data3[[#This Row],[Gender]]=1,"Female","Male")</f>
        <v>Male</v>
      </c>
      <c r="D560" s="5">
        <v>0</v>
      </c>
      <c r="E560" s="5" t="str">
        <f>_xlfn.SWITCH(recruitment_data3[[#This Row],[EducationLevel]], 1,"Bachelor Type 1", 2,"Bachelor Type 2", 3,"Masters", 4,"PhD")</f>
        <v>Bachelor Type 2</v>
      </c>
      <c r="F560" s="5">
        <v>2</v>
      </c>
      <c r="G560" s="5">
        <v>13</v>
      </c>
      <c r="H560" s="5">
        <v>3</v>
      </c>
      <c r="I560" s="5">
        <v>20.3348224993731</v>
      </c>
      <c r="J560" s="5">
        <v>43</v>
      </c>
      <c r="K560" s="5">
        <v>47</v>
      </c>
      <c r="L560" s="5">
        <v>43</v>
      </c>
      <c r="M560" s="5" t="str">
        <f>_xlfn.SWITCH(recruitment_data3[[#This Row],[RecruitmentStrategy]], 1,"Aggressive", 2,"Moderate", 3,"Conservative")</f>
        <v>Moderate</v>
      </c>
      <c r="N560" s="5">
        <v>2</v>
      </c>
      <c r="O560" s="5" t="str">
        <f>IF(recruitment_data3[[#This Row],[HiringDecision]]=1,"Hired","Rejected")</f>
        <v>Rejected</v>
      </c>
      <c r="P560" s="6">
        <v>0</v>
      </c>
    </row>
    <row r="561" spans="1:16" x14ac:dyDescent="0.25">
      <c r="A561" s="4" t="str">
        <f t="shared" si="8"/>
        <v>C0560</v>
      </c>
      <c r="B561" s="4">
        <v>41</v>
      </c>
      <c r="C561" s="5" t="str">
        <f>IF(recruitment_data3[[#This Row],[Gender]]=1,"Female","Male")</f>
        <v>Female</v>
      </c>
      <c r="D561" s="5">
        <v>1</v>
      </c>
      <c r="E561" s="5" t="str">
        <f>_xlfn.SWITCH(recruitment_data3[[#This Row],[EducationLevel]], 1,"Bachelor Type 1", 2,"Bachelor Type 2", 3,"Masters", 4,"PhD")</f>
        <v>Masters</v>
      </c>
      <c r="F561" s="5">
        <v>3</v>
      </c>
      <c r="G561" s="5">
        <v>15</v>
      </c>
      <c r="H561" s="5">
        <v>5</v>
      </c>
      <c r="I561" s="5">
        <v>42.057121236017366</v>
      </c>
      <c r="J561" s="5">
        <v>7</v>
      </c>
      <c r="K561" s="5">
        <v>71</v>
      </c>
      <c r="L561" s="5">
        <v>91</v>
      </c>
      <c r="M561" s="5" t="str">
        <f>_xlfn.SWITCH(recruitment_data3[[#This Row],[RecruitmentStrategy]], 1,"Aggressive", 2,"Moderate", 3,"Conservative")</f>
        <v>Moderate</v>
      </c>
      <c r="N561" s="5">
        <v>2</v>
      </c>
      <c r="O561" s="5" t="str">
        <f>IF(recruitment_data3[[#This Row],[HiringDecision]]=1,"Hired","Rejected")</f>
        <v>Hired</v>
      </c>
      <c r="P561" s="6">
        <v>1</v>
      </c>
    </row>
    <row r="562" spans="1:16" x14ac:dyDescent="0.25">
      <c r="A562" s="4" t="str">
        <f t="shared" si="8"/>
        <v>C0561</v>
      </c>
      <c r="B562" s="4">
        <v>30</v>
      </c>
      <c r="C562" s="5" t="str">
        <f>IF(recruitment_data3[[#This Row],[Gender]]=1,"Female","Male")</f>
        <v>Male</v>
      </c>
      <c r="D562" s="5">
        <v>0</v>
      </c>
      <c r="E562" s="5" t="str">
        <f>_xlfn.SWITCH(recruitment_data3[[#This Row],[EducationLevel]], 1,"Bachelor Type 1", 2,"Bachelor Type 2", 3,"Masters", 4,"PhD")</f>
        <v>Bachelor Type 2</v>
      </c>
      <c r="F562" s="5">
        <v>2</v>
      </c>
      <c r="G562" s="5">
        <v>7</v>
      </c>
      <c r="H562" s="5">
        <v>5</v>
      </c>
      <c r="I562" s="5">
        <v>49.474544970308905</v>
      </c>
      <c r="J562" s="5">
        <v>73</v>
      </c>
      <c r="K562" s="5">
        <v>12</v>
      </c>
      <c r="L562" s="5">
        <v>36</v>
      </c>
      <c r="M562" s="5" t="str">
        <f>_xlfn.SWITCH(recruitment_data3[[#This Row],[RecruitmentStrategy]], 1,"Aggressive", 2,"Moderate", 3,"Conservative")</f>
        <v>Moderate</v>
      </c>
      <c r="N562" s="5">
        <v>2</v>
      </c>
      <c r="O562" s="5" t="str">
        <f>IF(recruitment_data3[[#This Row],[HiringDecision]]=1,"Hired","Rejected")</f>
        <v>Rejected</v>
      </c>
      <c r="P562" s="6">
        <v>0</v>
      </c>
    </row>
    <row r="563" spans="1:16" x14ac:dyDescent="0.25">
      <c r="A563" s="4" t="str">
        <f t="shared" si="8"/>
        <v>C0562</v>
      </c>
      <c r="B563" s="4">
        <v>47</v>
      </c>
      <c r="C563" s="5" t="str">
        <f>IF(recruitment_data3[[#This Row],[Gender]]=1,"Female","Male")</f>
        <v>Male</v>
      </c>
      <c r="D563" s="5">
        <v>0</v>
      </c>
      <c r="E563" s="5" t="str">
        <f>_xlfn.SWITCH(recruitment_data3[[#This Row],[EducationLevel]], 1,"Bachelor Type 1", 2,"Bachelor Type 2", 3,"Masters", 4,"PhD")</f>
        <v>Bachelor Type 2</v>
      </c>
      <c r="F563" s="5">
        <v>2</v>
      </c>
      <c r="G563" s="5">
        <v>10</v>
      </c>
      <c r="H563" s="5">
        <v>5</v>
      </c>
      <c r="I563" s="5">
        <v>23.696306821089795</v>
      </c>
      <c r="J563" s="5">
        <v>45</v>
      </c>
      <c r="K563" s="5">
        <v>42</v>
      </c>
      <c r="L563" s="5">
        <v>88</v>
      </c>
      <c r="M563" s="5" t="str">
        <f>_xlfn.SWITCH(recruitment_data3[[#This Row],[RecruitmentStrategy]], 1,"Aggressive", 2,"Moderate", 3,"Conservative")</f>
        <v>Conservative</v>
      </c>
      <c r="N563" s="5">
        <v>3</v>
      </c>
      <c r="O563" s="5" t="str">
        <f>IF(recruitment_data3[[#This Row],[HiringDecision]]=1,"Hired","Rejected")</f>
        <v>Rejected</v>
      </c>
      <c r="P563" s="6">
        <v>0</v>
      </c>
    </row>
    <row r="564" spans="1:16" x14ac:dyDescent="0.25">
      <c r="A564" s="4" t="str">
        <f t="shared" si="8"/>
        <v>C0563</v>
      </c>
      <c r="B564" s="4">
        <v>24</v>
      </c>
      <c r="C564" s="5" t="str">
        <f>IF(recruitment_data3[[#This Row],[Gender]]=1,"Female","Male")</f>
        <v>Female</v>
      </c>
      <c r="D564" s="5">
        <v>1</v>
      </c>
      <c r="E564" s="5" t="str">
        <f>_xlfn.SWITCH(recruitment_data3[[#This Row],[EducationLevel]], 1,"Bachelor Type 1", 2,"Bachelor Type 2", 3,"Masters", 4,"PhD")</f>
        <v>Bachelor Type 2</v>
      </c>
      <c r="F564" s="5">
        <v>2</v>
      </c>
      <c r="G564" s="5">
        <v>6</v>
      </c>
      <c r="H564" s="5">
        <v>1</v>
      </c>
      <c r="I564" s="5">
        <v>26.349981007167372</v>
      </c>
      <c r="J564" s="5">
        <v>68</v>
      </c>
      <c r="K564" s="5">
        <v>59</v>
      </c>
      <c r="L564" s="5">
        <v>35</v>
      </c>
      <c r="M564" s="5" t="str">
        <f>_xlfn.SWITCH(recruitment_data3[[#This Row],[RecruitmentStrategy]], 1,"Aggressive", 2,"Moderate", 3,"Conservative")</f>
        <v>Moderate</v>
      </c>
      <c r="N564" s="5">
        <v>2</v>
      </c>
      <c r="O564" s="5" t="str">
        <f>IF(recruitment_data3[[#This Row],[HiringDecision]]=1,"Hired","Rejected")</f>
        <v>Rejected</v>
      </c>
      <c r="P564" s="6">
        <v>0</v>
      </c>
    </row>
    <row r="565" spans="1:16" x14ac:dyDescent="0.25">
      <c r="A565" s="4" t="str">
        <f t="shared" si="8"/>
        <v>C0564</v>
      </c>
      <c r="B565" s="4">
        <v>20</v>
      </c>
      <c r="C565" s="5" t="str">
        <f>IF(recruitment_data3[[#This Row],[Gender]]=1,"Female","Male")</f>
        <v>Male</v>
      </c>
      <c r="D565" s="5">
        <v>0</v>
      </c>
      <c r="E565" s="5" t="str">
        <f>_xlfn.SWITCH(recruitment_data3[[#This Row],[EducationLevel]], 1,"Bachelor Type 1", 2,"Bachelor Type 2", 3,"Masters", 4,"PhD")</f>
        <v>Bachelor Type 1</v>
      </c>
      <c r="F565" s="5">
        <v>1</v>
      </c>
      <c r="G565" s="5">
        <v>13</v>
      </c>
      <c r="H565" s="5">
        <v>5</v>
      </c>
      <c r="I565" s="5">
        <v>29.608598089188487</v>
      </c>
      <c r="J565" s="5">
        <v>18</v>
      </c>
      <c r="K565" s="5">
        <v>56</v>
      </c>
      <c r="L565" s="5">
        <v>80</v>
      </c>
      <c r="M565" s="5" t="str">
        <f>_xlfn.SWITCH(recruitment_data3[[#This Row],[RecruitmentStrategy]], 1,"Aggressive", 2,"Moderate", 3,"Conservative")</f>
        <v>Conservative</v>
      </c>
      <c r="N565" s="5">
        <v>3</v>
      </c>
      <c r="O565" s="5" t="str">
        <f>IF(recruitment_data3[[#This Row],[HiringDecision]]=1,"Hired","Rejected")</f>
        <v>Rejected</v>
      </c>
      <c r="P565" s="6">
        <v>0</v>
      </c>
    </row>
    <row r="566" spans="1:16" x14ac:dyDescent="0.25">
      <c r="A566" s="4" t="str">
        <f t="shared" si="8"/>
        <v>C0565</v>
      </c>
      <c r="B566" s="4">
        <v>27</v>
      </c>
      <c r="C566" s="5" t="str">
        <f>IF(recruitment_data3[[#This Row],[Gender]]=1,"Female","Male")</f>
        <v>Female</v>
      </c>
      <c r="D566" s="5">
        <v>1</v>
      </c>
      <c r="E566" s="5" t="str">
        <f>_xlfn.SWITCH(recruitment_data3[[#This Row],[EducationLevel]], 1,"Bachelor Type 1", 2,"Bachelor Type 2", 3,"Masters", 4,"PhD")</f>
        <v>Bachelor Type 2</v>
      </c>
      <c r="F566" s="5">
        <v>2</v>
      </c>
      <c r="G566" s="5">
        <v>3</v>
      </c>
      <c r="H566" s="5">
        <v>1</v>
      </c>
      <c r="I566" s="5">
        <v>47.617407081685542</v>
      </c>
      <c r="J566" s="5">
        <v>37</v>
      </c>
      <c r="K566" s="5">
        <v>70</v>
      </c>
      <c r="L566" s="5">
        <v>87</v>
      </c>
      <c r="M566" s="5" t="str">
        <f>_xlfn.SWITCH(recruitment_data3[[#This Row],[RecruitmentStrategy]], 1,"Aggressive", 2,"Moderate", 3,"Conservative")</f>
        <v>Aggressive</v>
      </c>
      <c r="N566" s="5">
        <v>1</v>
      </c>
      <c r="O566" s="5" t="str">
        <f>IF(recruitment_data3[[#This Row],[HiringDecision]]=1,"Hired","Rejected")</f>
        <v>Hired</v>
      </c>
      <c r="P566" s="6">
        <v>1</v>
      </c>
    </row>
    <row r="567" spans="1:16" x14ac:dyDescent="0.25">
      <c r="A567" s="4" t="str">
        <f t="shared" si="8"/>
        <v>C0566</v>
      </c>
      <c r="B567" s="4">
        <v>40</v>
      </c>
      <c r="C567" s="5" t="str">
        <f>IF(recruitment_data3[[#This Row],[Gender]]=1,"Female","Male")</f>
        <v>Male</v>
      </c>
      <c r="D567" s="5">
        <v>0</v>
      </c>
      <c r="E567" s="5" t="str">
        <f>_xlfn.SWITCH(recruitment_data3[[#This Row],[EducationLevel]], 1,"Bachelor Type 1", 2,"Bachelor Type 2", 3,"Masters", 4,"PhD")</f>
        <v>Bachelor Type 1</v>
      </c>
      <c r="F567" s="5">
        <v>1</v>
      </c>
      <c r="G567" s="5">
        <v>10</v>
      </c>
      <c r="H567" s="5">
        <v>5</v>
      </c>
      <c r="I567" s="5">
        <v>43.910339548851489</v>
      </c>
      <c r="J567" s="5">
        <v>10</v>
      </c>
      <c r="K567" s="5">
        <v>16</v>
      </c>
      <c r="L567" s="5">
        <v>20</v>
      </c>
      <c r="M567" s="5" t="str">
        <f>_xlfn.SWITCH(recruitment_data3[[#This Row],[RecruitmentStrategy]], 1,"Aggressive", 2,"Moderate", 3,"Conservative")</f>
        <v>Moderate</v>
      </c>
      <c r="N567" s="5">
        <v>2</v>
      </c>
      <c r="O567" s="5" t="str">
        <f>IF(recruitment_data3[[#This Row],[HiringDecision]]=1,"Hired","Rejected")</f>
        <v>Rejected</v>
      </c>
      <c r="P567" s="6">
        <v>0</v>
      </c>
    </row>
    <row r="568" spans="1:16" x14ac:dyDescent="0.25">
      <c r="A568" s="4" t="str">
        <f t="shared" si="8"/>
        <v>C0567</v>
      </c>
      <c r="B568" s="4">
        <v>47</v>
      </c>
      <c r="C568" s="5" t="str">
        <f>IF(recruitment_data3[[#This Row],[Gender]]=1,"Female","Male")</f>
        <v>Female</v>
      </c>
      <c r="D568" s="5">
        <v>1</v>
      </c>
      <c r="E568" s="5" t="str">
        <f>_xlfn.SWITCH(recruitment_data3[[#This Row],[EducationLevel]], 1,"Bachelor Type 1", 2,"Bachelor Type 2", 3,"Masters", 4,"PhD")</f>
        <v>Bachelor Type 1</v>
      </c>
      <c r="F568" s="5">
        <v>1</v>
      </c>
      <c r="G568" s="5">
        <v>11</v>
      </c>
      <c r="H568" s="5">
        <v>1</v>
      </c>
      <c r="I568" s="5">
        <v>9.5300562310822166</v>
      </c>
      <c r="J568" s="5">
        <v>42</v>
      </c>
      <c r="K568" s="5">
        <v>49</v>
      </c>
      <c r="L568" s="5">
        <v>1</v>
      </c>
      <c r="M568" s="5" t="str">
        <f>_xlfn.SWITCH(recruitment_data3[[#This Row],[RecruitmentStrategy]], 1,"Aggressive", 2,"Moderate", 3,"Conservative")</f>
        <v>Moderate</v>
      </c>
      <c r="N568" s="5">
        <v>2</v>
      </c>
      <c r="O568" s="5" t="str">
        <f>IF(recruitment_data3[[#This Row],[HiringDecision]]=1,"Hired","Rejected")</f>
        <v>Rejected</v>
      </c>
      <c r="P568" s="6">
        <v>0</v>
      </c>
    </row>
    <row r="569" spans="1:16" x14ac:dyDescent="0.25">
      <c r="A569" s="4" t="str">
        <f t="shared" si="8"/>
        <v>C0568</v>
      </c>
      <c r="B569" s="4">
        <v>31</v>
      </c>
      <c r="C569" s="5" t="str">
        <f>IF(recruitment_data3[[#This Row],[Gender]]=1,"Female","Male")</f>
        <v>Female</v>
      </c>
      <c r="D569" s="5">
        <v>1</v>
      </c>
      <c r="E569" s="5" t="str">
        <f>_xlfn.SWITCH(recruitment_data3[[#This Row],[EducationLevel]], 1,"Bachelor Type 1", 2,"Bachelor Type 2", 3,"Masters", 4,"PhD")</f>
        <v>Bachelor Type 1</v>
      </c>
      <c r="F569" s="5">
        <v>1</v>
      </c>
      <c r="G569" s="5">
        <v>3</v>
      </c>
      <c r="H569" s="5">
        <v>4</v>
      </c>
      <c r="I569" s="5">
        <v>22.837890892353752</v>
      </c>
      <c r="J569" s="5">
        <v>19</v>
      </c>
      <c r="K569" s="5">
        <v>31</v>
      </c>
      <c r="L569" s="5">
        <v>30</v>
      </c>
      <c r="M569" s="5" t="str">
        <f>_xlfn.SWITCH(recruitment_data3[[#This Row],[RecruitmentStrategy]], 1,"Aggressive", 2,"Moderate", 3,"Conservative")</f>
        <v>Aggressive</v>
      </c>
      <c r="N569" s="5">
        <v>1</v>
      </c>
      <c r="O569" s="5" t="str">
        <f>IF(recruitment_data3[[#This Row],[HiringDecision]]=1,"Hired","Rejected")</f>
        <v>Rejected</v>
      </c>
      <c r="P569" s="6">
        <v>0</v>
      </c>
    </row>
    <row r="570" spans="1:16" x14ac:dyDescent="0.25">
      <c r="A570" s="4" t="str">
        <f t="shared" si="8"/>
        <v>C0569</v>
      </c>
      <c r="B570" s="4">
        <v>31</v>
      </c>
      <c r="C570" s="5" t="str">
        <f>IF(recruitment_data3[[#This Row],[Gender]]=1,"Female","Male")</f>
        <v>Female</v>
      </c>
      <c r="D570" s="5">
        <v>1</v>
      </c>
      <c r="E570" s="5" t="str">
        <f>_xlfn.SWITCH(recruitment_data3[[#This Row],[EducationLevel]], 1,"Bachelor Type 1", 2,"Bachelor Type 2", 3,"Masters", 4,"PhD")</f>
        <v>Bachelor Type 2</v>
      </c>
      <c r="F570" s="5">
        <v>2</v>
      </c>
      <c r="G570" s="5">
        <v>10</v>
      </c>
      <c r="H570" s="5">
        <v>4</v>
      </c>
      <c r="I570" s="5">
        <v>24.200021409821314</v>
      </c>
      <c r="J570" s="5">
        <v>19</v>
      </c>
      <c r="K570" s="5">
        <v>21</v>
      </c>
      <c r="L570" s="5">
        <v>96</v>
      </c>
      <c r="M570" s="5" t="str">
        <f>_xlfn.SWITCH(recruitment_data3[[#This Row],[RecruitmentStrategy]], 1,"Aggressive", 2,"Moderate", 3,"Conservative")</f>
        <v>Aggressive</v>
      </c>
      <c r="N570" s="5">
        <v>1</v>
      </c>
      <c r="O570" s="5" t="str">
        <f>IF(recruitment_data3[[#This Row],[HiringDecision]]=1,"Hired","Rejected")</f>
        <v>Hired</v>
      </c>
      <c r="P570" s="6">
        <v>1</v>
      </c>
    </row>
    <row r="571" spans="1:16" x14ac:dyDescent="0.25">
      <c r="A571" s="4" t="str">
        <f t="shared" si="8"/>
        <v>C0570</v>
      </c>
      <c r="B571" s="4">
        <v>24</v>
      </c>
      <c r="C571" s="5" t="str">
        <f>IF(recruitment_data3[[#This Row],[Gender]]=1,"Female","Male")</f>
        <v>Male</v>
      </c>
      <c r="D571" s="5">
        <v>0</v>
      </c>
      <c r="E571" s="5" t="str">
        <f>_xlfn.SWITCH(recruitment_data3[[#This Row],[EducationLevel]], 1,"Bachelor Type 1", 2,"Bachelor Type 2", 3,"Masters", 4,"PhD")</f>
        <v>Masters</v>
      </c>
      <c r="F571" s="5">
        <v>3</v>
      </c>
      <c r="G571" s="5">
        <v>9</v>
      </c>
      <c r="H571" s="5">
        <v>3</v>
      </c>
      <c r="I571" s="5">
        <v>40.454805582437835</v>
      </c>
      <c r="J571" s="5">
        <v>20</v>
      </c>
      <c r="K571" s="5">
        <v>54</v>
      </c>
      <c r="L571" s="5">
        <v>29</v>
      </c>
      <c r="M571" s="5" t="str">
        <f>_xlfn.SWITCH(recruitment_data3[[#This Row],[RecruitmentStrategy]], 1,"Aggressive", 2,"Moderate", 3,"Conservative")</f>
        <v>Moderate</v>
      </c>
      <c r="N571" s="5">
        <v>2</v>
      </c>
      <c r="O571" s="5" t="str">
        <f>IF(recruitment_data3[[#This Row],[HiringDecision]]=1,"Hired","Rejected")</f>
        <v>Rejected</v>
      </c>
      <c r="P571" s="6">
        <v>0</v>
      </c>
    </row>
    <row r="572" spans="1:16" x14ac:dyDescent="0.25">
      <c r="A572" s="4" t="str">
        <f t="shared" si="8"/>
        <v>C0571</v>
      </c>
      <c r="B572" s="4">
        <v>26</v>
      </c>
      <c r="C572" s="5" t="str">
        <f>IF(recruitment_data3[[#This Row],[Gender]]=1,"Female","Male")</f>
        <v>Male</v>
      </c>
      <c r="D572" s="5">
        <v>0</v>
      </c>
      <c r="E572" s="5" t="str">
        <f>_xlfn.SWITCH(recruitment_data3[[#This Row],[EducationLevel]], 1,"Bachelor Type 1", 2,"Bachelor Type 2", 3,"Masters", 4,"PhD")</f>
        <v>Bachelor Type 2</v>
      </c>
      <c r="F572" s="5">
        <v>2</v>
      </c>
      <c r="G572" s="5">
        <v>14</v>
      </c>
      <c r="H572" s="5">
        <v>1</v>
      </c>
      <c r="I572" s="5">
        <v>31.144644130271764</v>
      </c>
      <c r="J572" s="5">
        <v>81</v>
      </c>
      <c r="K572" s="5">
        <v>56</v>
      </c>
      <c r="L572" s="5">
        <v>75</v>
      </c>
      <c r="M572" s="5" t="str">
        <f>_xlfn.SWITCH(recruitment_data3[[#This Row],[RecruitmentStrategy]], 1,"Aggressive", 2,"Moderate", 3,"Conservative")</f>
        <v>Aggressive</v>
      </c>
      <c r="N572" s="5">
        <v>1</v>
      </c>
      <c r="O572" s="5" t="str">
        <f>IF(recruitment_data3[[#This Row],[HiringDecision]]=1,"Hired","Rejected")</f>
        <v>Hired</v>
      </c>
      <c r="P572" s="6">
        <v>1</v>
      </c>
    </row>
    <row r="573" spans="1:16" x14ac:dyDescent="0.25">
      <c r="A573" s="4" t="str">
        <f t="shared" si="8"/>
        <v>C0572</v>
      </c>
      <c r="B573" s="4">
        <v>23</v>
      </c>
      <c r="C573" s="5" t="str">
        <f>IF(recruitment_data3[[#This Row],[Gender]]=1,"Female","Male")</f>
        <v>Female</v>
      </c>
      <c r="D573" s="5">
        <v>1</v>
      </c>
      <c r="E573" s="5" t="str">
        <f>_xlfn.SWITCH(recruitment_data3[[#This Row],[EducationLevel]], 1,"Bachelor Type 1", 2,"Bachelor Type 2", 3,"Masters", 4,"PhD")</f>
        <v>Bachelor Type 2</v>
      </c>
      <c r="F573" s="5">
        <v>2</v>
      </c>
      <c r="G573" s="5">
        <v>10</v>
      </c>
      <c r="H573" s="5">
        <v>2</v>
      </c>
      <c r="I573" s="5">
        <v>33.71102310145065</v>
      </c>
      <c r="J573" s="5">
        <v>56</v>
      </c>
      <c r="K573" s="5">
        <v>12</v>
      </c>
      <c r="L573" s="5">
        <v>43</v>
      </c>
      <c r="M573" s="5" t="str">
        <f>_xlfn.SWITCH(recruitment_data3[[#This Row],[RecruitmentStrategy]], 1,"Aggressive", 2,"Moderate", 3,"Conservative")</f>
        <v>Aggressive</v>
      </c>
      <c r="N573" s="5">
        <v>1</v>
      </c>
      <c r="O573" s="5" t="str">
        <f>IF(recruitment_data3[[#This Row],[HiringDecision]]=1,"Hired","Rejected")</f>
        <v>Rejected</v>
      </c>
      <c r="P573" s="6">
        <v>0</v>
      </c>
    </row>
    <row r="574" spans="1:16" x14ac:dyDescent="0.25">
      <c r="A574" s="4" t="str">
        <f t="shared" si="8"/>
        <v>C0573</v>
      </c>
      <c r="B574" s="4">
        <v>25</v>
      </c>
      <c r="C574" s="5" t="str">
        <f>IF(recruitment_data3[[#This Row],[Gender]]=1,"Female","Male")</f>
        <v>Female</v>
      </c>
      <c r="D574" s="5">
        <v>1</v>
      </c>
      <c r="E574" s="5" t="str">
        <f>_xlfn.SWITCH(recruitment_data3[[#This Row],[EducationLevel]], 1,"Bachelor Type 1", 2,"Bachelor Type 2", 3,"Masters", 4,"PhD")</f>
        <v>Bachelor Type 2</v>
      </c>
      <c r="F574" s="5">
        <v>2</v>
      </c>
      <c r="G574" s="5">
        <v>15</v>
      </c>
      <c r="H574" s="5">
        <v>3</v>
      </c>
      <c r="I574" s="5">
        <v>50.909995383280879</v>
      </c>
      <c r="J574" s="5">
        <v>49</v>
      </c>
      <c r="K574" s="5">
        <v>46</v>
      </c>
      <c r="L574" s="5">
        <v>11</v>
      </c>
      <c r="M574" s="5" t="str">
        <f>_xlfn.SWITCH(recruitment_data3[[#This Row],[RecruitmentStrategy]], 1,"Aggressive", 2,"Moderate", 3,"Conservative")</f>
        <v>Conservative</v>
      </c>
      <c r="N574" s="5">
        <v>3</v>
      </c>
      <c r="O574" s="5" t="str">
        <f>IF(recruitment_data3[[#This Row],[HiringDecision]]=1,"Hired","Rejected")</f>
        <v>Rejected</v>
      </c>
      <c r="P574" s="6">
        <v>0</v>
      </c>
    </row>
    <row r="575" spans="1:16" x14ac:dyDescent="0.25">
      <c r="A575" s="4" t="str">
        <f t="shared" si="8"/>
        <v>C0574</v>
      </c>
      <c r="B575" s="4">
        <v>32</v>
      </c>
      <c r="C575" s="5" t="str">
        <f>IF(recruitment_data3[[#This Row],[Gender]]=1,"Female","Male")</f>
        <v>Male</v>
      </c>
      <c r="D575" s="5">
        <v>0</v>
      </c>
      <c r="E575" s="5" t="str">
        <f>_xlfn.SWITCH(recruitment_data3[[#This Row],[EducationLevel]], 1,"Bachelor Type 1", 2,"Bachelor Type 2", 3,"Masters", 4,"PhD")</f>
        <v>Bachelor Type 1</v>
      </c>
      <c r="F575" s="5">
        <v>1</v>
      </c>
      <c r="G575" s="5">
        <v>10</v>
      </c>
      <c r="H575" s="5">
        <v>4</v>
      </c>
      <c r="I575" s="5">
        <v>4.7480021735006535</v>
      </c>
      <c r="J575" s="5">
        <v>73</v>
      </c>
      <c r="K575" s="5">
        <v>86</v>
      </c>
      <c r="L575" s="5">
        <v>50</v>
      </c>
      <c r="M575" s="5" t="str">
        <f>_xlfn.SWITCH(recruitment_data3[[#This Row],[RecruitmentStrategy]], 1,"Aggressive", 2,"Moderate", 3,"Conservative")</f>
        <v>Conservative</v>
      </c>
      <c r="N575" s="5">
        <v>3</v>
      </c>
      <c r="O575" s="5" t="str">
        <f>IF(recruitment_data3[[#This Row],[HiringDecision]]=1,"Hired","Rejected")</f>
        <v>Rejected</v>
      </c>
      <c r="P575" s="6">
        <v>0</v>
      </c>
    </row>
    <row r="576" spans="1:16" x14ac:dyDescent="0.25">
      <c r="A576" s="4" t="str">
        <f t="shared" si="8"/>
        <v>C0575</v>
      </c>
      <c r="B576" s="4">
        <v>39</v>
      </c>
      <c r="C576" s="5" t="str">
        <f>IF(recruitment_data3[[#This Row],[Gender]]=1,"Female","Male")</f>
        <v>Male</v>
      </c>
      <c r="D576" s="5">
        <v>0</v>
      </c>
      <c r="E576" s="5" t="str">
        <f>_xlfn.SWITCH(recruitment_data3[[#This Row],[EducationLevel]], 1,"Bachelor Type 1", 2,"Bachelor Type 2", 3,"Masters", 4,"PhD")</f>
        <v>Masters</v>
      </c>
      <c r="F576" s="5">
        <v>3</v>
      </c>
      <c r="G576" s="5">
        <v>13</v>
      </c>
      <c r="H576" s="5">
        <v>1</v>
      </c>
      <c r="I576" s="5">
        <v>12.15049117668665</v>
      </c>
      <c r="J576" s="5">
        <v>97</v>
      </c>
      <c r="K576" s="5">
        <v>61</v>
      </c>
      <c r="L576" s="5">
        <v>48</v>
      </c>
      <c r="M576" s="5" t="str">
        <f>_xlfn.SWITCH(recruitment_data3[[#This Row],[RecruitmentStrategy]], 1,"Aggressive", 2,"Moderate", 3,"Conservative")</f>
        <v>Moderate</v>
      </c>
      <c r="N576" s="5">
        <v>2</v>
      </c>
      <c r="O576" s="5" t="str">
        <f>IF(recruitment_data3[[#This Row],[HiringDecision]]=1,"Hired","Rejected")</f>
        <v>Hired</v>
      </c>
      <c r="P576" s="6">
        <v>1</v>
      </c>
    </row>
    <row r="577" spans="1:16" x14ac:dyDescent="0.25">
      <c r="A577" s="4" t="str">
        <f t="shared" si="8"/>
        <v>C0576</v>
      </c>
      <c r="B577" s="4">
        <v>49</v>
      </c>
      <c r="C577" s="5" t="str">
        <f>IF(recruitment_data3[[#This Row],[Gender]]=1,"Female","Male")</f>
        <v>Male</v>
      </c>
      <c r="D577" s="5">
        <v>0</v>
      </c>
      <c r="E577" s="5" t="str">
        <f>_xlfn.SWITCH(recruitment_data3[[#This Row],[EducationLevel]], 1,"Bachelor Type 1", 2,"Bachelor Type 2", 3,"Masters", 4,"PhD")</f>
        <v>Bachelor Type 2</v>
      </c>
      <c r="F577" s="5">
        <v>2</v>
      </c>
      <c r="G577" s="5">
        <v>10</v>
      </c>
      <c r="H577" s="5">
        <v>5</v>
      </c>
      <c r="I577" s="5">
        <v>21.394796868577341</v>
      </c>
      <c r="J577" s="5">
        <v>25</v>
      </c>
      <c r="K577" s="5">
        <v>53</v>
      </c>
      <c r="L577" s="5">
        <v>23</v>
      </c>
      <c r="M577" s="5" t="str">
        <f>_xlfn.SWITCH(recruitment_data3[[#This Row],[RecruitmentStrategy]], 1,"Aggressive", 2,"Moderate", 3,"Conservative")</f>
        <v>Moderate</v>
      </c>
      <c r="N577" s="5">
        <v>2</v>
      </c>
      <c r="O577" s="5" t="str">
        <f>IF(recruitment_data3[[#This Row],[HiringDecision]]=1,"Hired","Rejected")</f>
        <v>Rejected</v>
      </c>
      <c r="P577" s="6">
        <v>0</v>
      </c>
    </row>
    <row r="578" spans="1:16" x14ac:dyDescent="0.25">
      <c r="A578" s="4" t="str">
        <f t="shared" ref="A578:A641" si="9">"C"&amp;TEXT(ROW()-1,"0000")</f>
        <v>C0577</v>
      </c>
      <c r="B578" s="4">
        <v>34</v>
      </c>
      <c r="C578" s="5" t="str">
        <f>IF(recruitment_data3[[#This Row],[Gender]]=1,"Female","Male")</f>
        <v>Female</v>
      </c>
      <c r="D578" s="5">
        <v>1</v>
      </c>
      <c r="E578" s="5" t="str">
        <f>_xlfn.SWITCH(recruitment_data3[[#This Row],[EducationLevel]], 1,"Bachelor Type 1", 2,"Bachelor Type 2", 3,"Masters", 4,"PhD")</f>
        <v>Bachelor Type 2</v>
      </c>
      <c r="F578" s="5">
        <v>2</v>
      </c>
      <c r="G578" s="5">
        <v>1</v>
      </c>
      <c r="H578" s="5">
        <v>2</v>
      </c>
      <c r="I578" s="5">
        <v>18.389120152444359</v>
      </c>
      <c r="J578" s="5">
        <v>29</v>
      </c>
      <c r="K578" s="5">
        <v>28</v>
      </c>
      <c r="L578" s="5">
        <v>23</v>
      </c>
      <c r="M578" s="5" t="str">
        <f>_xlfn.SWITCH(recruitment_data3[[#This Row],[RecruitmentStrategy]], 1,"Aggressive", 2,"Moderate", 3,"Conservative")</f>
        <v>Conservative</v>
      </c>
      <c r="N578" s="5">
        <v>3</v>
      </c>
      <c r="O578" s="5" t="str">
        <f>IF(recruitment_data3[[#This Row],[HiringDecision]]=1,"Hired","Rejected")</f>
        <v>Rejected</v>
      </c>
      <c r="P578" s="6">
        <v>0</v>
      </c>
    </row>
    <row r="579" spans="1:16" x14ac:dyDescent="0.25">
      <c r="A579" s="4" t="str">
        <f t="shared" si="9"/>
        <v>C0578</v>
      </c>
      <c r="B579" s="4">
        <v>22</v>
      </c>
      <c r="C579" s="5" t="str">
        <f>IF(recruitment_data3[[#This Row],[Gender]]=1,"Female","Male")</f>
        <v>Male</v>
      </c>
      <c r="D579" s="5">
        <v>0</v>
      </c>
      <c r="E579" s="5" t="str">
        <f>_xlfn.SWITCH(recruitment_data3[[#This Row],[EducationLevel]], 1,"Bachelor Type 1", 2,"Bachelor Type 2", 3,"Masters", 4,"PhD")</f>
        <v>Bachelor Type 2</v>
      </c>
      <c r="F579" s="5">
        <v>2</v>
      </c>
      <c r="G579" s="5">
        <v>13</v>
      </c>
      <c r="H579" s="5">
        <v>4</v>
      </c>
      <c r="I579" s="5">
        <v>2.0822780673491792</v>
      </c>
      <c r="J579" s="5">
        <v>72</v>
      </c>
      <c r="K579" s="5">
        <v>21</v>
      </c>
      <c r="L579" s="5">
        <v>59</v>
      </c>
      <c r="M579" s="5" t="str">
        <f>_xlfn.SWITCH(recruitment_data3[[#This Row],[RecruitmentStrategy]], 1,"Aggressive", 2,"Moderate", 3,"Conservative")</f>
        <v>Moderate</v>
      </c>
      <c r="N579" s="5">
        <v>2</v>
      </c>
      <c r="O579" s="5" t="str">
        <f>IF(recruitment_data3[[#This Row],[HiringDecision]]=1,"Hired","Rejected")</f>
        <v>Rejected</v>
      </c>
      <c r="P579" s="6">
        <v>0</v>
      </c>
    </row>
    <row r="580" spans="1:16" x14ac:dyDescent="0.25">
      <c r="A580" s="4" t="str">
        <f t="shared" si="9"/>
        <v>C0579</v>
      </c>
      <c r="B580" s="4">
        <v>42</v>
      </c>
      <c r="C580" s="5" t="str">
        <f>IF(recruitment_data3[[#This Row],[Gender]]=1,"Female","Male")</f>
        <v>Male</v>
      </c>
      <c r="D580" s="5">
        <v>0</v>
      </c>
      <c r="E580" s="5" t="str">
        <f>_xlfn.SWITCH(recruitment_data3[[#This Row],[EducationLevel]], 1,"Bachelor Type 1", 2,"Bachelor Type 2", 3,"Masters", 4,"PhD")</f>
        <v>Bachelor Type 1</v>
      </c>
      <c r="F580" s="5">
        <v>1</v>
      </c>
      <c r="G580" s="5">
        <v>15</v>
      </c>
      <c r="H580" s="5">
        <v>3</v>
      </c>
      <c r="I580" s="5">
        <v>5.5888803235587918</v>
      </c>
      <c r="J580" s="5">
        <v>30</v>
      </c>
      <c r="K580" s="5">
        <v>64</v>
      </c>
      <c r="L580" s="5">
        <v>10</v>
      </c>
      <c r="M580" s="5" t="str">
        <f>_xlfn.SWITCH(recruitment_data3[[#This Row],[RecruitmentStrategy]], 1,"Aggressive", 2,"Moderate", 3,"Conservative")</f>
        <v>Aggressive</v>
      </c>
      <c r="N580" s="5">
        <v>1</v>
      </c>
      <c r="O580" s="5" t="str">
        <f>IF(recruitment_data3[[#This Row],[HiringDecision]]=1,"Hired","Rejected")</f>
        <v>Hired</v>
      </c>
      <c r="P580" s="6">
        <v>1</v>
      </c>
    </row>
    <row r="581" spans="1:16" x14ac:dyDescent="0.25">
      <c r="A581" s="4" t="str">
        <f t="shared" si="9"/>
        <v>C0580</v>
      </c>
      <c r="B581" s="4">
        <v>27</v>
      </c>
      <c r="C581" s="5" t="str">
        <f>IF(recruitment_data3[[#This Row],[Gender]]=1,"Female","Male")</f>
        <v>Female</v>
      </c>
      <c r="D581" s="5">
        <v>1</v>
      </c>
      <c r="E581" s="5" t="str">
        <f>_xlfn.SWITCH(recruitment_data3[[#This Row],[EducationLevel]], 1,"Bachelor Type 1", 2,"Bachelor Type 2", 3,"Masters", 4,"PhD")</f>
        <v>Bachelor Type 2</v>
      </c>
      <c r="F581" s="5">
        <v>2</v>
      </c>
      <c r="G581" s="5">
        <v>0</v>
      </c>
      <c r="H581" s="5">
        <v>1</v>
      </c>
      <c r="I581" s="5">
        <v>35.04766457017881</v>
      </c>
      <c r="J581" s="5">
        <v>41</v>
      </c>
      <c r="K581" s="5">
        <v>28</v>
      </c>
      <c r="L581" s="5">
        <v>12</v>
      </c>
      <c r="M581" s="5" t="str">
        <f>_xlfn.SWITCH(recruitment_data3[[#This Row],[RecruitmentStrategy]], 1,"Aggressive", 2,"Moderate", 3,"Conservative")</f>
        <v>Conservative</v>
      </c>
      <c r="N581" s="5">
        <v>3</v>
      </c>
      <c r="O581" s="5" t="str">
        <f>IF(recruitment_data3[[#This Row],[HiringDecision]]=1,"Hired","Rejected")</f>
        <v>Rejected</v>
      </c>
      <c r="P581" s="6">
        <v>0</v>
      </c>
    </row>
    <row r="582" spans="1:16" x14ac:dyDescent="0.25">
      <c r="A582" s="4" t="str">
        <f t="shared" si="9"/>
        <v>C0581</v>
      </c>
      <c r="B582" s="4">
        <v>39</v>
      </c>
      <c r="C582" s="5" t="str">
        <f>IF(recruitment_data3[[#This Row],[Gender]]=1,"Female","Male")</f>
        <v>Male</v>
      </c>
      <c r="D582" s="5">
        <v>0</v>
      </c>
      <c r="E582" s="5" t="str">
        <f>_xlfn.SWITCH(recruitment_data3[[#This Row],[EducationLevel]], 1,"Bachelor Type 1", 2,"Bachelor Type 2", 3,"Masters", 4,"PhD")</f>
        <v>Bachelor Type 2</v>
      </c>
      <c r="F582" s="5">
        <v>2</v>
      </c>
      <c r="G582" s="5">
        <v>8</v>
      </c>
      <c r="H582" s="5">
        <v>2</v>
      </c>
      <c r="I582" s="5">
        <v>44.966223168128032</v>
      </c>
      <c r="J582" s="5">
        <v>67</v>
      </c>
      <c r="K582" s="5">
        <v>47</v>
      </c>
      <c r="L582" s="5">
        <v>90</v>
      </c>
      <c r="M582" s="5" t="str">
        <f>_xlfn.SWITCH(recruitment_data3[[#This Row],[RecruitmentStrategy]], 1,"Aggressive", 2,"Moderate", 3,"Conservative")</f>
        <v>Moderate</v>
      </c>
      <c r="N582" s="5">
        <v>2</v>
      </c>
      <c r="O582" s="5" t="str">
        <f>IF(recruitment_data3[[#This Row],[HiringDecision]]=1,"Hired","Rejected")</f>
        <v>Rejected</v>
      </c>
      <c r="P582" s="6">
        <v>0</v>
      </c>
    </row>
    <row r="583" spans="1:16" x14ac:dyDescent="0.25">
      <c r="A583" s="4" t="str">
        <f t="shared" si="9"/>
        <v>C0582</v>
      </c>
      <c r="B583" s="4">
        <v>35</v>
      </c>
      <c r="C583" s="5" t="str">
        <f>IF(recruitment_data3[[#This Row],[Gender]]=1,"Female","Male")</f>
        <v>Male</v>
      </c>
      <c r="D583" s="5">
        <v>0</v>
      </c>
      <c r="E583" s="5" t="str">
        <f>_xlfn.SWITCH(recruitment_data3[[#This Row],[EducationLevel]], 1,"Bachelor Type 1", 2,"Bachelor Type 2", 3,"Masters", 4,"PhD")</f>
        <v>Masters</v>
      </c>
      <c r="F583" s="5">
        <v>3</v>
      </c>
      <c r="G583" s="5">
        <v>11</v>
      </c>
      <c r="H583" s="5">
        <v>1</v>
      </c>
      <c r="I583" s="5">
        <v>26.711350563298879</v>
      </c>
      <c r="J583" s="5">
        <v>60</v>
      </c>
      <c r="K583" s="5">
        <v>4</v>
      </c>
      <c r="L583" s="5">
        <v>71</v>
      </c>
      <c r="M583" s="5" t="str">
        <f>_xlfn.SWITCH(recruitment_data3[[#This Row],[RecruitmentStrategy]], 1,"Aggressive", 2,"Moderate", 3,"Conservative")</f>
        <v>Moderate</v>
      </c>
      <c r="N583" s="5">
        <v>2</v>
      </c>
      <c r="O583" s="5" t="str">
        <f>IF(recruitment_data3[[#This Row],[HiringDecision]]=1,"Hired","Rejected")</f>
        <v>Rejected</v>
      </c>
      <c r="P583" s="6">
        <v>0</v>
      </c>
    </row>
    <row r="584" spans="1:16" x14ac:dyDescent="0.25">
      <c r="A584" s="4" t="str">
        <f t="shared" si="9"/>
        <v>C0583</v>
      </c>
      <c r="B584" s="4">
        <v>32</v>
      </c>
      <c r="C584" s="5" t="str">
        <f>IF(recruitment_data3[[#This Row],[Gender]]=1,"Female","Male")</f>
        <v>Male</v>
      </c>
      <c r="D584" s="5">
        <v>0</v>
      </c>
      <c r="E584" s="5" t="str">
        <f>_xlfn.SWITCH(recruitment_data3[[#This Row],[EducationLevel]], 1,"Bachelor Type 1", 2,"Bachelor Type 2", 3,"Masters", 4,"PhD")</f>
        <v>Bachelor Type 1</v>
      </c>
      <c r="F584" s="5">
        <v>1</v>
      </c>
      <c r="G584" s="5">
        <v>14</v>
      </c>
      <c r="H584" s="5">
        <v>5</v>
      </c>
      <c r="I584" s="5">
        <v>27.959553975681651</v>
      </c>
      <c r="J584" s="5">
        <v>60</v>
      </c>
      <c r="K584" s="5">
        <v>34</v>
      </c>
      <c r="L584" s="5">
        <v>73</v>
      </c>
      <c r="M584" s="5" t="str">
        <f>_xlfn.SWITCH(recruitment_data3[[#This Row],[RecruitmentStrategy]], 1,"Aggressive", 2,"Moderate", 3,"Conservative")</f>
        <v>Moderate</v>
      </c>
      <c r="N584" s="5">
        <v>2</v>
      </c>
      <c r="O584" s="5" t="str">
        <f>IF(recruitment_data3[[#This Row],[HiringDecision]]=1,"Hired","Rejected")</f>
        <v>Rejected</v>
      </c>
      <c r="P584" s="6">
        <v>0</v>
      </c>
    </row>
    <row r="585" spans="1:16" x14ac:dyDescent="0.25">
      <c r="A585" s="4" t="str">
        <f t="shared" si="9"/>
        <v>C0584</v>
      </c>
      <c r="B585" s="4">
        <v>37</v>
      </c>
      <c r="C585" s="5" t="str">
        <f>IF(recruitment_data3[[#This Row],[Gender]]=1,"Female","Male")</f>
        <v>Female</v>
      </c>
      <c r="D585" s="5">
        <v>1</v>
      </c>
      <c r="E585" s="5" t="str">
        <f>_xlfn.SWITCH(recruitment_data3[[#This Row],[EducationLevel]], 1,"Bachelor Type 1", 2,"Bachelor Type 2", 3,"Masters", 4,"PhD")</f>
        <v>Bachelor Type 2</v>
      </c>
      <c r="F585" s="5">
        <v>2</v>
      </c>
      <c r="G585" s="5">
        <v>11</v>
      </c>
      <c r="H585" s="5">
        <v>3</v>
      </c>
      <c r="I585" s="5">
        <v>13.75467164161897</v>
      </c>
      <c r="J585" s="5">
        <v>69</v>
      </c>
      <c r="K585" s="5">
        <v>73</v>
      </c>
      <c r="L585" s="5">
        <v>71</v>
      </c>
      <c r="M585" s="5" t="str">
        <f>_xlfn.SWITCH(recruitment_data3[[#This Row],[RecruitmentStrategy]], 1,"Aggressive", 2,"Moderate", 3,"Conservative")</f>
        <v>Moderate</v>
      </c>
      <c r="N585" s="5">
        <v>2</v>
      </c>
      <c r="O585" s="5" t="str">
        <f>IF(recruitment_data3[[#This Row],[HiringDecision]]=1,"Hired","Rejected")</f>
        <v>Rejected</v>
      </c>
      <c r="P585" s="6">
        <v>0</v>
      </c>
    </row>
    <row r="586" spans="1:16" x14ac:dyDescent="0.25">
      <c r="A586" s="4" t="str">
        <f t="shared" si="9"/>
        <v>C0585</v>
      </c>
      <c r="B586" s="4">
        <v>47</v>
      </c>
      <c r="C586" s="5" t="str">
        <f>IF(recruitment_data3[[#This Row],[Gender]]=1,"Female","Male")</f>
        <v>Female</v>
      </c>
      <c r="D586" s="5">
        <v>1</v>
      </c>
      <c r="E586" s="5" t="str">
        <f>_xlfn.SWITCH(recruitment_data3[[#This Row],[EducationLevel]], 1,"Bachelor Type 1", 2,"Bachelor Type 2", 3,"Masters", 4,"PhD")</f>
        <v>Bachelor Type 2</v>
      </c>
      <c r="F586" s="5">
        <v>2</v>
      </c>
      <c r="G586" s="5">
        <v>1</v>
      </c>
      <c r="H586" s="5">
        <v>1</v>
      </c>
      <c r="I586" s="5">
        <v>39.393818181685567</v>
      </c>
      <c r="J586" s="5">
        <v>77</v>
      </c>
      <c r="K586" s="5">
        <v>82</v>
      </c>
      <c r="L586" s="5">
        <v>63</v>
      </c>
      <c r="M586" s="5" t="str">
        <f>_xlfn.SWITCH(recruitment_data3[[#This Row],[RecruitmentStrategy]], 1,"Aggressive", 2,"Moderate", 3,"Conservative")</f>
        <v>Conservative</v>
      </c>
      <c r="N586" s="5">
        <v>3</v>
      </c>
      <c r="O586" s="5" t="str">
        <f>IF(recruitment_data3[[#This Row],[HiringDecision]]=1,"Hired","Rejected")</f>
        <v>Rejected</v>
      </c>
      <c r="P586" s="6">
        <v>0</v>
      </c>
    </row>
    <row r="587" spans="1:16" x14ac:dyDescent="0.25">
      <c r="A587" s="4" t="str">
        <f t="shared" si="9"/>
        <v>C0586</v>
      </c>
      <c r="B587" s="4">
        <v>29</v>
      </c>
      <c r="C587" s="5" t="str">
        <f>IF(recruitment_data3[[#This Row],[Gender]]=1,"Female","Male")</f>
        <v>Female</v>
      </c>
      <c r="D587" s="5">
        <v>1</v>
      </c>
      <c r="E587" s="5" t="str">
        <f>_xlfn.SWITCH(recruitment_data3[[#This Row],[EducationLevel]], 1,"Bachelor Type 1", 2,"Bachelor Type 2", 3,"Masters", 4,"PhD")</f>
        <v>Bachelor Type 1</v>
      </c>
      <c r="F587" s="5">
        <v>1</v>
      </c>
      <c r="G587" s="5">
        <v>12</v>
      </c>
      <c r="H587" s="5">
        <v>4</v>
      </c>
      <c r="I587" s="5">
        <v>38.589729368362818</v>
      </c>
      <c r="J587" s="5">
        <v>67</v>
      </c>
      <c r="K587" s="5">
        <v>100</v>
      </c>
      <c r="L587" s="5">
        <v>19</v>
      </c>
      <c r="M587" s="5" t="str">
        <f>_xlfn.SWITCH(recruitment_data3[[#This Row],[RecruitmentStrategy]], 1,"Aggressive", 2,"Moderate", 3,"Conservative")</f>
        <v>Moderate</v>
      </c>
      <c r="N587" s="5">
        <v>2</v>
      </c>
      <c r="O587" s="5" t="str">
        <f>IF(recruitment_data3[[#This Row],[HiringDecision]]=1,"Hired","Rejected")</f>
        <v>Rejected</v>
      </c>
      <c r="P587" s="6">
        <v>0</v>
      </c>
    </row>
    <row r="588" spans="1:16" x14ac:dyDescent="0.25">
      <c r="A588" s="4" t="str">
        <f t="shared" si="9"/>
        <v>C0587</v>
      </c>
      <c r="B588" s="4">
        <v>49</v>
      </c>
      <c r="C588" s="5" t="str">
        <f>IF(recruitment_data3[[#This Row],[Gender]]=1,"Female","Male")</f>
        <v>Female</v>
      </c>
      <c r="D588" s="5">
        <v>1</v>
      </c>
      <c r="E588" s="5" t="str">
        <f>_xlfn.SWITCH(recruitment_data3[[#This Row],[EducationLevel]], 1,"Bachelor Type 1", 2,"Bachelor Type 2", 3,"Masters", 4,"PhD")</f>
        <v>Bachelor Type 2</v>
      </c>
      <c r="F588" s="5">
        <v>2</v>
      </c>
      <c r="G588" s="5">
        <v>7</v>
      </c>
      <c r="H588" s="5">
        <v>3</v>
      </c>
      <c r="I588" s="5">
        <v>30.41828446088283</v>
      </c>
      <c r="J588" s="5">
        <v>89</v>
      </c>
      <c r="K588" s="5">
        <v>70</v>
      </c>
      <c r="L588" s="5">
        <v>71</v>
      </c>
      <c r="M588" s="5" t="str">
        <f>_xlfn.SWITCH(recruitment_data3[[#This Row],[RecruitmentStrategy]], 1,"Aggressive", 2,"Moderate", 3,"Conservative")</f>
        <v>Conservative</v>
      </c>
      <c r="N588" s="5">
        <v>3</v>
      </c>
      <c r="O588" s="5" t="str">
        <f>IF(recruitment_data3[[#This Row],[HiringDecision]]=1,"Hired","Rejected")</f>
        <v>Hired</v>
      </c>
      <c r="P588" s="6">
        <v>1</v>
      </c>
    </row>
    <row r="589" spans="1:16" x14ac:dyDescent="0.25">
      <c r="A589" s="4" t="str">
        <f t="shared" si="9"/>
        <v>C0588</v>
      </c>
      <c r="B589" s="4">
        <v>38</v>
      </c>
      <c r="C589" s="5" t="str">
        <f>IF(recruitment_data3[[#This Row],[Gender]]=1,"Female","Male")</f>
        <v>Female</v>
      </c>
      <c r="D589" s="5">
        <v>1</v>
      </c>
      <c r="E589" s="5" t="str">
        <f>_xlfn.SWITCH(recruitment_data3[[#This Row],[EducationLevel]], 1,"Bachelor Type 1", 2,"Bachelor Type 2", 3,"Masters", 4,"PhD")</f>
        <v>Masters</v>
      </c>
      <c r="F589" s="5">
        <v>3</v>
      </c>
      <c r="G589" s="5">
        <v>14</v>
      </c>
      <c r="H589" s="5">
        <v>4</v>
      </c>
      <c r="I589" s="5">
        <v>11.633214325567142</v>
      </c>
      <c r="J589" s="5">
        <v>16</v>
      </c>
      <c r="K589" s="5">
        <v>45</v>
      </c>
      <c r="L589" s="5">
        <v>72</v>
      </c>
      <c r="M589" s="5" t="str">
        <f>_xlfn.SWITCH(recruitment_data3[[#This Row],[RecruitmentStrategy]], 1,"Aggressive", 2,"Moderate", 3,"Conservative")</f>
        <v>Conservative</v>
      </c>
      <c r="N589" s="5">
        <v>3</v>
      </c>
      <c r="O589" s="5" t="str">
        <f>IF(recruitment_data3[[#This Row],[HiringDecision]]=1,"Hired","Rejected")</f>
        <v>Rejected</v>
      </c>
      <c r="P589" s="6">
        <v>0</v>
      </c>
    </row>
    <row r="590" spans="1:16" x14ac:dyDescent="0.25">
      <c r="A590" s="4" t="str">
        <f t="shared" si="9"/>
        <v>C0589</v>
      </c>
      <c r="B590" s="4">
        <v>36</v>
      </c>
      <c r="C590" s="5" t="str">
        <f>IF(recruitment_data3[[#This Row],[Gender]]=1,"Female","Male")</f>
        <v>Female</v>
      </c>
      <c r="D590" s="5">
        <v>1</v>
      </c>
      <c r="E590" s="5" t="str">
        <f>_xlfn.SWITCH(recruitment_data3[[#This Row],[EducationLevel]], 1,"Bachelor Type 1", 2,"Bachelor Type 2", 3,"Masters", 4,"PhD")</f>
        <v>Masters</v>
      </c>
      <c r="F590" s="5">
        <v>3</v>
      </c>
      <c r="G590" s="5">
        <v>15</v>
      </c>
      <c r="H590" s="5">
        <v>1</v>
      </c>
      <c r="I590" s="5">
        <v>5.8509109118544727</v>
      </c>
      <c r="J590" s="5">
        <v>18</v>
      </c>
      <c r="K590" s="5">
        <v>34</v>
      </c>
      <c r="L590" s="5">
        <v>70</v>
      </c>
      <c r="M590" s="5" t="str">
        <f>_xlfn.SWITCH(recruitment_data3[[#This Row],[RecruitmentStrategy]], 1,"Aggressive", 2,"Moderate", 3,"Conservative")</f>
        <v>Moderate</v>
      </c>
      <c r="N590" s="5">
        <v>2</v>
      </c>
      <c r="O590" s="5" t="str">
        <f>IF(recruitment_data3[[#This Row],[HiringDecision]]=1,"Hired","Rejected")</f>
        <v>Rejected</v>
      </c>
      <c r="P590" s="6">
        <v>0</v>
      </c>
    </row>
    <row r="591" spans="1:16" x14ac:dyDescent="0.25">
      <c r="A591" s="4" t="str">
        <f t="shared" si="9"/>
        <v>C0590</v>
      </c>
      <c r="B591" s="4">
        <v>43</v>
      </c>
      <c r="C591" s="5" t="str">
        <f>IF(recruitment_data3[[#This Row],[Gender]]=1,"Female","Male")</f>
        <v>Female</v>
      </c>
      <c r="D591" s="5">
        <v>1</v>
      </c>
      <c r="E591" s="5" t="str">
        <f>_xlfn.SWITCH(recruitment_data3[[#This Row],[EducationLevel]], 1,"Bachelor Type 1", 2,"Bachelor Type 2", 3,"Masters", 4,"PhD")</f>
        <v>Bachelor Type 2</v>
      </c>
      <c r="F591" s="5">
        <v>2</v>
      </c>
      <c r="G591" s="5">
        <v>8</v>
      </c>
      <c r="H591" s="5">
        <v>3</v>
      </c>
      <c r="I591" s="5">
        <v>4.2119287928562947</v>
      </c>
      <c r="J591" s="5">
        <v>50</v>
      </c>
      <c r="K591" s="5">
        <v>44</v>
      </c>
      <c r="L591" s="5">
        <v>77</v>
      </c>
      <c r="M591" s="5" t="str">
        <f>_xlfn.SWITCH(recruitment_data3[[#This Row],[RecruitmentStrategy]], 1,"Aggressive", 2,"Moderate", 3,"Conservative")</f>
        <v>Moderate</v>
      </c>
      <c r="N591" s="5">
        <v>2</v>
      </c>
      <c r="O591" s="5" t="str">
        <f>IF(recruitment_data3[[#This Row],[HiringDecision]]=1,"Hired","Rejected")</f>
        <v>Rejected</v>
      </c>
      <c r="P591" s="6">
        <v>0</v>
      </c>
    </row>
    <row r="592" spans="1:16" x14ac:dyDescent="0.25">
      <c r="A592" s="4" t="str">
        <f t="shared" si="9"/>
        <v>C0591</v>
      </c>
      <c r="B592" s="4">
        <v>50</v>
      </c>
      <c r="C592" s="5" t="str">
        <f>IF(recruitment_data3[[#This Row],[Gender]]=1,"Female","Male")</f>
        <v>Male</v>
      </c>
      <c r="D592" s="5">
        <v>0</v>
      </c>
      <c r="E592" s="5" t="str">
        <f>_xlfn.SWITCH(recruitment_data3[[#This Row],[EducationLevel]], 1,"Bachelor Type 1", 2,"Bachelor Type 2", 3,"Masters", 4,"PhD")</f>
        <v>Masters</v>
      </c>
      <c r="F592" s="5">
        <v>3</v>
      </c>
      <c r="G592" s="5">
        <v>3</v>
      </c>
      <c r="H592" s="5">
        <v>4</v>
      </c>
      <c r="I592" s="5">
        <v>30.634803332143889</v>
      </c>
      <c r="J592" s="5">
        <v>69</v>
      </c>
      <c r="K592" s="5">
        <v>12</v>
      </c>
      <c r="L592" s="5">
        <v>27</v>
      </c>
      <c r="M592" s="5" t="str">
        <f>_xlfn.SWITCH(recruitment_data3[[#This Row],[RecruitmentStrategy]], 1,"Aggressive", 2,"Moderate", 3,"Conservative")</f>
        <v>Moderate</v>
      </c>
      <c r="N592" s="5">
        <v>2</v>
      </c>
      <c r="O592" s="5" t="str">
        <f>IF(recruitment_data3[[#This Row],[HiringDecision]]=1,"Hired","Rejected")</f>
        <v>Rejected</v>
      </c>
      <c r="P592" s="6">
        <v>0</v>
      </c>
    </row>
    <row r="593" spans="1:16" x14ac:dyDescent="0.25">
      <c r="A593" s="4" t="str">
        <f t="shared" si="9"/>
        <v>C0592</v>
      </c>
      <c r="B593" s="4">
        <v>38</v>
      </c>
      <c r="C593" s="5" t="str">
        <f>IF(recruitment_data3[[#This Row],[Gender]]=1,"Female","Male")</f>
        <v>Male</v>
      </c>
      <c r="D593" s="5">
        <v>0</v>
      </c>
      <c r="E593" s="5" t="str">
        <f>_xlfn.SWITCH(recruitment_data3[[#This Row],[EducationLevel]], 1,"Bachelor Type 1", 2,"Bachelor Type 2", 3,"Masters", 4,"PhD")</f>
        <v>PhD</v>
      </c>
      <c r="F593" s="5">
        <v>4</v>
      </c>
      <c r="G593" s="5">
        <v>7</v>
      </c>
      <c r="H593" s="5">
        <v>5</v>
      </c>
      <c r="I593" s="5">
        <v>42.251765957140002</v>
      </c>
      <c r="J593" s="5">
        <v>62</v>
      </c>
      <c r="K593" s="5">
        <v>9</v>
      </c>
      <c r="L593" s="5">
        <v>1</v>
      </c>
      <c r="M593" s="5" t="str">
        <f>_xlfn.SWITCH(recruitment_data3[[#This Row],[RecruitmentStrategy]], 1,"Aggressive", 2,"Moderate", 3,"Conservative")</f>
        <v>Aggressive</v>
      </c>
      <c r="N593" s="5">
        <v>1</v>
      </c>
      <c r="O593" s="5" t="str">
        <f>IF(recruitment_data3[[#This Row],[HiringDecision]]=1,"Hired","Rejected")</f>
        <v>Hired</v>
      </c>
      <c r="P593" s="6">
        <v>1</v>
      </c>
    </row>
    <row r="594" spans="1:16" x14ac:dyDescent="0.25">
      <c r="A594" s="4" t="str">
        <f t="shared" si="9"/>
        <v>C0593</v>
      </c>
      <c r="B594" s="4">
        <v>47</v>
      </c>
      <c r="C594" s="5" t="str">
        <f>IF(recruitment_data3[[#This Row],[Gender]]=1,"Female","Male")</f>
        <v>Female</v>
      </c>
      <c r="D594" s="5">
        <v>1</v>
      </c>
      <c r="E594" s="5" t="str">
        <f>_xlfn.SWITCH(recruitment_data3[[#This Row],[EducationLevel]], 1,"Bachelor Type 1", 2,"Bachelor Type 2", 3,"Masters", 4,"PhD")</f>
        <v>Masters</v>
      </c>
      <c r="F594" s="5">
        <v>3</v>
      </c>
      <c r="G594" s="5">
        <v>8</v>
      </c>
      <c r="H594" s="5">
        <v>5</v>
      </c>
      <c r="I594" s="5">
        <v>43.916521589046241</v>
      </c>
      <c r="J594" s="5">
        <v>92</v>
      </c>
      <c r="K594" s="5">
        <v>65</v>
      </c>
      <c r="L594" s="5">
        <v>42</v>
      </c>
      <c r="M594" s="5" t="str">
        <f>_xlfn.SWITCH(recruitment_data3[[#This Row],[RecruitmentStrategy]], 1,"Aggressive", 2,"Moderate", 3,"Conservative")</f>
        <v>Aggressive</v>
      </c>
      <c r="N594" s="5">
        <v>1</v>
      </c>
      <c r="O594" s="5" t="str">
        <f>IF(recruitment_data3[[#This Row],[HiringDecision]]=1,"Hired","Rejected")</f>
        <v>Hired</v>
      </c>
      <c r="P594" s="6">
        <v>1</v>
      </c>
    </row>
    <row r="595" spans="1:16" x14ac:dyDescent="0.25">
      <c r="A595" s="4" t="str">
        <f t="shared" si="9"/>
        <v>C0594</v>
      </c>
      <c r="B595" s="4">
        <v>45</v>
      </c>
      <c r="C595" s="5" t="str">
        <f>IF(recruitment_data3[[#This Row],[Gender]]=1,"Female","Male")</f>
        <v>Male</v>
      </c>
      <c r="D595" s="5">
        <v>0</v>
      </c>
      <c r="E595" s="5" t="str">
        <f>_xlfn.SWITCH(recruitment_data3[[#This Row],[EducationLevel]], 1,"Bachelor Type 1", 2,"Bachelor Type 2", 3,"Masters", 4,"PhD")</f>
        <v>Bachelor Type 1</v>
      </c>
      <c r="F595" s="5">
        <v>1</v>
      </c>
      <c r="G595" s="5">
        <v>9</v>
      </c>
      <c r="H595" s="5">
        <v>1</v>
      </c>
      <c r="I595" s="5">
        <v>24.181103717172491</v>
      </c>
      <c r="J595" s="5">
        <v>74</v>
      </c>
      <c r="K595" s="5">
        <v>69</v>
      </c>
      <c r="L595" s="5">
        <v>7</v>
      </c>
      <c r="M595" s="5" t="str">
        <f>_xlfn.SWITCH(recruitment_data3[[#This Row],[RecruitmentStrategy]], 1,"Aggressive", 2,"Moderate", 3,"Conservative")</f>
        <v>Moderate</v>
      </c>
      <c r="N595" s="5">
        <v>2</v>
      </c>
      <c r="O595" s="5" t="str">
        <f>IF(recruitment_data3[[#This Row],[HiringDecision]]=1,"Hired","Rejected")</f>
        <v>Rejected</v>
      </c>
      <c r="P595" s="6">
        <v>0</v>
      </c>
    </row>
    <row r="596" spans="1:16" x14ac:dyDescent="0.25">
      <c r="A596" s="4" t="str">
        <f t="shared" si="9"/>
        <v>C0595</v>
      </c>
      <c r="B596" s="4">
        <v>42</v>
      </c>
      <c r="C596" s="5" t="str">
        <f>IF(recruitment_data3[[#This Row],[Gender]]=1,"Female","Male")</f>
        <v>Male</v>
      </c>
      <c r="D596" s="5">
        <v>0</v>
      </c>
      <c r="E596" s="5" t="str">
        <f>_xlfn.SWITCH(recruitment_data3[[#This Row],[EducationLevel]], 1,"Bachelor Type 1", 2,"Bachelor Type 2", 3,"Masters", 4,"PhD")</f>
        <v>Masters</v>
      </c>
      <c r="F596" s="5">
        <v>3</v>
      </c>
      <c r="G596" s="5">
        <v>9</v>
      </c>
      <c r="H596" s="5">
        <v>3</v>
      </c>
      <c r="I596" s="5">
        <v>40.213564965335848</v>
      </c>
      <c r="J596" s="5">
        <v>79</v>
      </c>
      <c r="K596" s="5">
        <v>71</v>
      </c>
      <c r="L596" s="5">
        <v>12</v>
      </c>
      <c r="M596" s="5" t="str">
        <f>_xlfn.SWITCH(recruitment_data3[[#This Row],[RecruitmentStrategy]], 1,"Aggressive", 2,"Moderate", 3,"Conservative")</f>
        <v>Moderate</v>
      </c>
      <c r="N596" s="5">
        <v>2</v>
      </c>
      <c r="O596" s="5" t="str">
        <f>IF(recruitment_data3[[#This Row],[HiringDecision]]=1,"Hired","Rejected")</f>
        <v>Hired</v>
      </c>
      <c r="P596" s="6">
        <v>1</v>
      </c>
    </row>
    <row r="597" spans="1:16" x14ac:dyDescent="0.25">
      <c r="A597" s="4" t="str">
        <f t="shared" si="9"/>
        <v>C0596</v>
      </c>
      <c r="B597" s="4">
        <v>45</v>
      </c>
      <c r="C597" s="5" t="str">
        <f>IF(recruitment_data3[[#This Row],[Gender]]=1,"Female","Male")</f>
        <v>Female</v>
      </c>
      <c r="D597" s="5">
        <v>1</v>
      </c>
      <c r="E597" s="5" t="str">
        <f>_xlfn.SWITCH(recruitment_data3[[#This Row],[EducationLevel]], 1,"Bachelor Type 1", 2,"Bachelor Type 2", 3,"Masters", 4,"PhD")</f>
        <v>Bachelor Type 2</v>
      </c>
      <c r="F597" s="5">
        <v>2</v>
      </c>
      <c r="G597" s="5">
        <v>4</v>
      </c>
      <c r="H597" s="5">
        <v>2</v>
      </c>
      <c r="I597" s="5">
        <v>48.34400981705118</v>
      </c>
      <c r="J597" s="5">
        <v>29</v>
      </c>
      <c r="K597" s="5">
        <v>99</v>
      </c>
      <c r="L597" s="5">
        <v>84</v>
      </c>
      <c r="M597" s="5" t="str">
        <f>_xlfn.SWITCH(recruitment_data3[[#This Row],[RecruitmentStrategy]], 1,"Aggressive", 2,"Moderate", 3,"Conservative")</f>
        <v>Aggressive</v>
      </c>
      <c r="N597" s="5">
        <v>1</v>
      </c>
      <c r="O597" s="5" t="str">
        <f>IF(recruitment_data3[[#This Row],[HiringDecision]]=1,"Hired","Rejected")</f>
        <v>Hired</v>
      </c>
      <c r="P597" s="6">
        <v>1</v>
      </c>
    </row>
    <row r="598" spans="1:16" x14ac:dyDescent="0.25">
      <c r="A598" s="4" t="str">
        <f t="shared" si="9"/>
        <v>C0597</v>
      </c>
      <c r="B598" s="4">
        <v>24</v>
      </c>
      <c r="C598" s="5" t="str">
        <f>IF(recruitment_data3[[#This Row],[Gender]]=1,"Female","Male")</f>
        <v>Male</v>
      </c>
      <c r="D598" s="5">
        <v>0</v>
      </c>
      <c r="E598" s="5" t="str">
        <f>_xlfn.SWITCH(recruitment_data3[[#This Row],[EducationLevel]], 1,"Bachelor Type 1", 2,"Bachelor Type 2", 3,"Masters", 4,"PhD")</f>
        <v>PhD</v>
      </c>
      <c r="F598" s="5">
        <v>4</v>
      </c>
      <c r="G598" s="5">
        <v>15</v>
      </c>
      <c r="H598" s="5">
        <v>3</v>
      </c>
      <c r="I598" s="5">
        <v>14.7585056244034</v>
      </c>
      <c r="J598" s="5">
        <v>24</v>
      </c>
      <c r="K598" s="5">
        <v>24</v>
      </c>
      <c r="L598" s="5">
        <v>91</v>
      </c>
      <c r="M598" s="5" t="str">
        <f>_xlfn.SWITCH(recruitment_data3[[#This Row],[RecruitmentStrategy]], 1,"Aggressive", 2,"Moderate", 3,"Conservative")</f>
        <v>Aggressive</v>
      </c>
      <c r="N598" s="5">
        <v>1</v>
      </c>
      <c r="O598" s="5" t="str">
        <f>IF(recruitment_data3[[#This Row],[HiringDecision]]=1,"Hired","Rejected")</f>
        <v>Hired</v>
      </c>
      <c r="P598" s="6">
        <v>1</v>
      </c>
    </row>
    <row r="599" spans="1:16" x14ac:dyDescent="0.25">
      <c r="A599" s="4" t="str">
        <f t="shared" si="9"/>
        <v>C0598</v>
      </c>
      <c r="B599" s="4">
        <v>45</v>
      </c>
      <c r="C599" s="5" t="str">
        <f>IF(recruitment_data3[[#This Row],[Gender]]=1,"Female","Male")</f>
        <v>Male</v>
      </c>
      <c r="D599" s="5">
        <v>0</v>
      </c>
      <c r="E599" s="5" t="str">
        <f>_xlfn.SWITCH(recruitment_data3[[#This Row],[EducationLevel]], 1,"Bachelor Type 1", 2,"Bachelor Type 2", 3,"Masters", 4,"PhD")</f>
        <v>Bachelor Type 2</v>
      </c>
      <c r="F599" s="5">
        <v>2</v>
      </c>
      <c r="G599" s="5">
        <v>12</v>
      </c>
      <c r="H599" s="5">
        <v>5</v>
      </c>
      <c r="I599" s="5">
        <v>20.898017319037859</v>
      </c>
      <c r="J599" s="5">
        <v>74</v>
      </c>
      <c r="K599" s="5">
        <v>43</v>
      </c>
      <c r="L599" s="5">
        <v>34</v>
      </c>
      <c r="M599" s="5" t="str">
        <f>_xlfn.SWITCH(recruitment_data3[[#This Row],[RecruitmentStrategy]], 1,"Aggressive", 2,"Moderate", 3,"Conservative")</f>
        <v>Conservative</v>
      </c>
      <c r="N599" s="5">
        <v>3</v>
      </c>
      <c r="O599" s="5" t="str">
        <f>IF(recruitment_data3[[#This Row],[HiringDecision]]=1,"Hired","Rejected")</f>
        <v>Rejected</v>
      </c>
      <c r="P599" s="6">
        <v>0</v>
      </c>
    </row>
    <row r="600" spans="1:16" x14ac:dyDescent="0.25">
      <c r="A600" s="4" t="str">
        <f t="shared" si="9"/>
        <v>C0599</v>
      </c>
      <c r="B600" s="4">
        <v>40</v>
      </c>
      <c r="C600" s="5" t="str">
        <f>IF(recruitment_data3[[#This Row],[Gender]]=1,"Female","Male")</f>
        <v>Male</v>
      </c>
      <c r="D600" s="5">
        <v>0</v>
      </c>
      <c r="E600" s="5" t="str">
        <f>_xlfn.SWITCH(recruitment_data3[[#This Row],[EducationLevel]], 1,"Bachelor Type 1", 2,"Bachelor Type 2", 3,"Masters", 4,"PhD")</f>
        <v>Bachelor Type 1</v>
      </c>
      <c r="F600" s="5">
        <v>1</v>
      </c>
      <c r="G600" s="5">
        <v>13</v>
      </c>
      <c r="H600" s="5">
        <v>4</v>
      </c>
      <c r="I600" s="5">
        <v>47.573949629834033</v>
      </c>
      <c r="J600" s="5">
        <v>70</v>
      </c>
      <c r="K600" s="5">
        <v>59</v>
      </c>
      <c r="L600" s="5">
        <v>22</v>
      </c>
      <c r="M600" s="5" t="str">
        <f>_xlfn.SWITCH(recruitment_data3[[#This Row],[RecruitmentStrategy]], 1,"Aggressive", 2,"Moderate", 3,"Conservative")</f>
        <v>Moderate</v>
      </c>
      <c r="N600" s="5">
        <v>2</v>
      </c>
      <c r="O600" s="5" t="str">
        <f>IF(recruitment_data3[[#This Row],[HiringDecision]]=1,"Hired","Rejected")</f>
        <v>Rejected</v>
      </c>
      <c r="P600" s="6">
        <v>0</v>
      </c>
    </row>
    <row r="601" spans="1:16" x14ac:dyDescent="0.25">
      <c r="A601" s="4" t="str">
        <f t="shared" si="9"/>
        <v>C0600</v>
      </c>
      <c r="B601" s="4">
        <v>49</v>
      </c>
      <c r="C601" s="5" t="str">
        <f>IF(recruitment_data3[[#This Row],[Gender]]=1,"Female","Male")</f>
        <v>Male</v>
      </c>
      <c r="D601" s="5">
        <v>0</v>
      </c>
      <c r="E601" s="5" t="str">
        <f>_xlfn.SWITCH(recruitment_data3[[#This Row],[EducationLevel]], 1,"Bachelor Type 1", 2,"Bachelor Type 2", 3,"Masters", 4,"PhD")</f>
        <v>Masters</v>
      </c>
      <c r="F601" s="5">
        <v>3</v>
      </c>
      <c r="G601" s="5">
        <v>6</v>
      </c>
      <c r="H601" s="5">
        <v>2</v>
      </c>
      <c r="I601" s="5">
        <v>17.911548365864242</v>
      </c>
      <c r="J601" s="5">
        <v>25</v>
      </c>
      <c r="K601" s="5">
        <v>46</v>
      </c>
      <c r="L601" s="5">
        <v>45</v>
      </c>
      <c r="M601" s="5" t="str">
        <f>_xlfn.SWITCH(recruitment_data3[[#This Row],[RecruitmentStrategy]], 1,"Aggressive", 2,"Moderate", 3,"Conservative")</f>
        <v>Conservative</v>
      </c>
      <c r="N601" s="5">
        <v>3</v>
      </c>
      <c r="O601" s="5" t="str">
        <f>IF(recruitment_data3[[#This Row],[HiringDecision]]=1,"Hired","Rejected")</f>
        <v>Rejected</v>
      </c>
      <c r="P601" s="6">
        <v>0</v>
      </c>
    </row>
    <row r="602" spans="1:16" x14ac:dyDescent="0.25">
      <c r="A602" s="4" t="str">
        <f t="shared" si="9"/>
        <v>C0601</v>
      </c>
      <c r="B602" s="4">
        <v>42</v>
      </c>
      <c r="C602" s="5" t="str">
        <f>IF(recruitment_data3[[#This Row],[Gender]]=1,"Female","Male")</f>
        <v>Male</v>
      </c>
      <c r="D602" s="5">
        <v>0</v>
      </c>
      <c r="E602" s="5" t="str">
        <f>_xlfn.SWITCH(recruitment_data3[[#This Row],[EducationLevel]], 1,"Bachelor Type 1", 2,"Bachelor Type 2", 3,"Masters", 4,"PhD")</f>
        <v>Bachelor Type 2</v>
      </c>
      <c r="F602" s="5">
        <v>2</v>
      </c>
      <c r="G602" s="5">
        <v>15</v>
      </c>
      <c r="H602" s="5">
        <v>1</v>
      </c>
      <c r="I602" s="5">
        <v>46.693814516089816</v>
      </c>
      <c r="J602" s="5">
        <v>55</v>
      </c>
      <c r="K602" s="5">
        <v>39</v>
      </c>
      <c r="L602" s="5">
        <v>14</v>
      </c>
      <c r="M602" s="5" t="str">
        <f>_xlfn.SWITCH(recruitment_data3[[#This Row],[RecruitmentStrategy]], 1,"Aggressive", 2,"Moderate", 3,"Conservative")</f>
        <v>Moderate</v>
      </c>
      <c r="N602" s="5">
        <v>2</v>
      </c>
      <c r="O602" s="5" t="str">
        <f>IF(recruitment_data3[[#This Row],[HiringDecision]]=1,"Hired","Rejected")</f>
        <v>Rejected</v>
      </c>
      <c r="P602" s="6">
        <v>0</v>
      </c>
    </row>
    <row r="603" spans="1:16" x14ac:dyDescent="0.25">
      <c r="A603" s="4" t="str">
        <f t="shared" si="9"/>
        <v>C0602</v>
      </c>
      <c r="B603" s="4">
        <v>50</v>
      </c>
      <c r="C603" s="5" t="str">
        <f>IF(recruitment_data3[[#This Row],[Gender]]=1,"Female","Male")</f>
        <v>Female</v>
      </c>
      <c r="D603" s="5">
        <v>1</v>
      </c>
      <c r="E603" s="5" t="str">
        <f>_xlfn.SWITCH(recruitment_data3[[#This Row],[EducationLevel]], 1,"Bachelor Type 1", 2,"Bachelor Type 2", 3,"Masters", 4,"PhD")</f>
        <v>PhD</v>
      </c>
      <c r="F603" s="5">
        <v>4</v>
      </c>
      <c r="G603" s="5">
        <v>9</v>
      </c>
      <c r="H603" s="5">
        <v>2</v>
      </c>
      <c r="I603" s="5">
        <v>50.052243112723289</v>
      </c>
      <c r="J603" s="5">
        <v>21</v>
      </c>
      <c r="K603" s="5">
        <v>6</v>
      </c>
      <c r="L603" s="5">
        <v>1</v>
      </c>
      <c r="M603" s="5" t="str">
        <f>_xlfn.SWITCH(recruitment_data3[[#This Row],[RecruitmentStrategy]], 1,"Aggressive", 2,"Moderate", 3,"Conservative")</f>
        <v>Moderate</v>
      </c>
      <c r="N603" s="5">
        <v>2</v>
      </c>
      <c r="O603" s="5" t="str">
        <f>IF(recruitment_data3[[#This Row],[HiringDecision]]=1,"Hired","Rejected")</f>
        <v>Rejected</v>
      </c>
      <c r="P603" s="6">
        <v>0</v>
      </c>
    </row>
    <row r="604" spans="1:16" x14ac:dyDescent="0.25">
      <c r="A604" s="4" t="str">
        <f t="shared" si="9"/>
        <v>C0603</v>
      </c>
      <c r="B604" s="4">
        <v>28</v>
      </c>
      <c r="C604" s="5" t="str">
        <f>IF(recruitment_data3[[#This Row],[Gender]]=1,"Female","Male")</f>
        <v>Female</v>
      </c>
      <c r="D604" s="5">
        <v>1</v>
      </c>
      <c r="E604" s="5" t="str">
        <f>_xlfn.SWITCH(recruitment_data3[[#This Row],[EducationLevel]], 1,"Bachelor Type 1", 2,"Bachelor Type 2", 3,"Masters", 4,"PhD")</f>
        <v>PhD</v>
      </c>
      <c r="F604" s="5">
        <v>4</v>
      </c>
      <c r="G604" s="5">
        <v>3</v>
      </c>
      <c r="H604" s="5">
        <v>1</v>
      </c>
      <c r="I604" s="5">
        <v>34.090536428721236</v>
      </c>
      <c r="J604" s="5">
        <v>88</v>
      </c>
      <c r="K604" s="5">
        <v>45</v>
      </c>
      <c r="L604" s="5">
        <v>60</v>
      </c>
      <c r="M604" s="5" t="str">
        <f>_xlfn.SWITCH(recruitment_data3[[#This Row],[RecruitmentStrategy]], 1,"Aggressive", 2,"Moderate", 3,"Conservative")</f>
        <v>Aggressive</v>
      </c>
      <c r="N604" s="5">
        <v>1</v>
      </c>
      <c r="O604" s="5" t="str">
        <f>IF(recruitment_data3[[#This Row],[HiringDecision]]=1,"Hired","Rejected")</f>
        <v>Hired</v>
      </c>
      <c r="P604" s="6">
        <v>1</v>
      </c>
    </row>
    <row r="605" spans="1:16" x14ac:dyDescent="0.25">
      <c r="A605" s="4" t="str">
        <f t="shared" si="9"/>
        <v>C0604</v>
      </c>
      <c r="B605" s="4">
        <v>31</v>
      </c>
      <c r="C605" s="5" t="str">
        <f>IF(recruitment_data3[[#This Row],[Gender]]=1,"Female","Male")</f>
        <v>Female</v>
      </c>
      <c r="D605" s="5">
        <v>1</v>
      </c>
      <c r="E605" s="5" t="str">
        <f>_xlfn.SWITCH(recruitment_data3[[#This Row],[EducationLevel]], 1,"Bachelor Type 1", 2,"Bachelor Type 2", 3,"Masters", 4,"PhD")</f>
        <v>Bachelor Type 2</v>
      </c>
      <c r="F605" s="5">
        <v>2</v>
      </c>
      <c r="G605" s="5">
        <v>0</v>
      </c>
      <c r="H605" s="5">
        <v>2</v>
      </c>
      <c r="I605" s="5">
        <v>41.844514475208413</v>
      </c>
      <c r="J605" s="5">
        <v>18</v>
      </c>
      <c r="K605" s="5">
        <v>22</v>
      </c>
      <c r="L605" s="5">
        <v>75</v>
      </c>
      <c r="M605" s="5" t="str">
        <f>_xlfn.SWITCH(recruitment_data3[[#This Row],[RecruitmentStrategy]], 1,"Aggressive", 2,"Moderate", 3,"Conservative")</f>
        <v>Moderate</v>
      </c>
      <c r="N605" s="5">
        <v>2</v>
      </c>
      <c r="O605" s="5" t="str">
        <f>IF(recruitment_data3[[#This Row],[HiringDecision]]=1,"Hired","Rejected")</f>
        <v>Rejected</v>
      </c>
      <c r="P605" s="6">
        <v>0</v>
      </c>
    </row>
    <row r="606" spans="1:16" x14ac:dyDescent="0.25">
      <c r="A606" s="4" t="str">
        <f t="shared" si="9"/>
        <v>C0605</v>
      </c>
      <c r="B606" s="4">
        <v>40</v>
      </c>
      <c r="C606" s="5" t="str">
        <f>IF(recruitment_data3[[#This Row],[Gender]]=1,"Female","Male")</f>
        <v>Male</v>
      </c>
      <c r="D606" s="5">
        <v>0</v>
      </c>
      <c r="E606" s="5" t="str">
        <f>_xlfn.SWITCH(recruitment_data3[[#This Row],[EducationLevel]], 1,"Bachelor Type 1", 2,"Bachelor Type 2", 3,"Masters", 4,"PhD")</f>
        <v>Bachelor Type 1</v>
      </c>
      <c r="F606" s="5">
        <v>1</v>
      </c>
      <c r="G606" s="5">
        <v>2</v>
      </c>
      <c r="H606" s="5">
        <v>1</v>
      </c>
      <c r="I606" s="5">
        <v>38.477278211054262</v>
      </c>
      <c r="J606" s="5">
        <v>30</v>
      </c>
      <c r="K606" s="5">
        <v>82</v>
      </c>
      <c r="L606" s="5">
        <v>63</v>
      </c>
      <c r="M606" s="5" t="str">
        <f>_xlfn.SWITCH(recruitment_data3[[#This Row],[RecruitmentStrategy]], 1,"Aggressive", 2,"Moderate", 3,"Conservative")</f>
        <v>Moderate</v>
      </c>
      <c r="N606" s="5">
        <v>2</v>
      </c>
      <c r="O606" s="5" t="str">
        <f>IF(recruitment_data3[[#This Row],[HiringDecision]]=1,"Hired","Rejected")</f>
        <v>Rejected</v>
      </c>
      <c r="P606" s="6">
        <v>0</v>
      </c>
    </row>
    <row r="607" spans="1:16" x14ac:dyDescent="0.25">
      <c r="A607" s="4" t="str">
        <f t="shared" si="9"/>
        <v>C0606</v>
      </c>
      <c r="B607" s="4">
        <v>20</v>
      </c>
      <c r="C607" s="5" t="str">
        <f>IF(recruitment_data3[[#This Row],[Gender]]=1,"Female","Male")</f>
        <v>Female</v>
      </c>
      <c r="D607" s="5">
        <v>1</v>
      </c>
      <c r="E607" s="5" t="str">
        <f>_xlfn.SWITCH(recruitment_data3[[#This Row],[EducationLevel]], 1,"Bachelor Type 1", 2,"Bachelor Type 2", 3,"Masters", 4,"PhD")</f>
        <v>Bachelor Type 2</v>
      </c>
      <c r="F607" s="5">
        <v>2</v>
      </c>
      <c r="G607" s="5">
        <v>4</v>
      </c>
      <c r="H607" s="5">
        <v>1</v>
      </c>
      <c r="I607" s="5">
        <v>35.976712880776191</v>
      </c>
      <c r="J607" s="5">
        <v>25</v>
      </c>
      <c r="K607" s="5">
        <v>45</v>
      </c>
      <c r="L607" s="5">
        <v>51</v>
      </c>
      <c r="M607" s="5" t="str">
        <f>_xlfn.SWITCH(recruitment_data3[[#This Row],[RecruitmentStrategy]], 1,"Aggressive", 2,"Moderate", 3,"Conservative")</f>
        <v>Aggressive</v>
      </c>
      <c r="N607" s="5">
        <v>1</v>
      </c>
      <c r="O607" s="5" t="str">
        <f>IF(recruitment_data3[[#This Row],[HiringDecision]]=1,"Hired","Rejected")</f>
        <v>Rejected</v>
      </c>
      <c r="P607" s="6">
        <v>0</v>
      </c>
    </row>
    <row r="608" spans="1:16" x14ac:dyDescent="0.25">
      <c r="A608" s="4" t="str">
        <f t="shared" si="9"/>
        <v>C0607</v>
      </c>
      <c r="B608" s="4">
        <v>45</v>
      </c>
      <c r="C608" s="5" t="str">
        <f>IF(recruitment_data3[[#This Row],[Gender]]=1,"Female","Male")</f>
        <v>Male</v>
      </c>
      <c r="D608" s="5">
        <v>0</v>
      </c>
      <c r="E608" s="5" t="str">
        <f>_xlfn.SWITCH(recruitment_data3[[#This Row],[EducationLevel]], 1,"Bachelor Type 1", 2,"Bachelor Type 2", 3,"Masters", 4,"PhD")</f>
        <v>Bachelor Type 1</v>
      </c>
      <c r="F608" s="5">
        <v>1</v>
      </c>
      <c r="G608" s="5">
        <v>2</v>
      </c>
      <c r="H608" s="5">
        <v>2</v>
      </c>
      <c r="I608" s="5">
        <v>16.346553649061626</v>
      </c>
      <c r="J608" s="5">
        <v>41</v>
      </c>
      <c r="K608" s="5">
        <v>85</v>
      </c>
      <c r="L608" s="5">
        <v>35</v>
      </c>
      <c r="M608" s="5" t="str">
        <f>_xlfn.SWITCH(recruitment_data3[[#This Row],[RecruitmentStrategy]], 1,"Aggressive", 2,"Moderate", 3,"Conservative")</f>
        <v>Moderate</v>
      </c>
      <c r="N608" s="5">
        <v>2</v>
      </c>
      <c r="O608" s="5" t="str">
        <f>IF(recruitment_data3[[#This Row],[HiringDecision]]=1,"Hired","Rejected")</f>
        <v>Rejected</v>
      </c>
      <c r="P608" s="6">
        <v>0</v>
      </c>
    </row>
    <row r="609" spans="1:16" x14ac:dyDescent="0.25">
      <c r="A609" s="4" t="str">
        <f t="shared" si="9"/>
        <v>C0608</v>
      </c>
      <c r="B609" s="4">
        <v>45</v>
      </c>
      <c r="C609" s="5" t="str">
        <f>IF(recruitment_data3[[#This Row],[Gender]]=1,"Female","Male")</f>
        <v>Male</v>
      </c>
      <c r="D609" s="5">
        <v>0</v>
      </c>
      <c r="E609" s="5" t="str">
        <f>_xlfn.SWITCH(recruitment_data3[[#This Row],[EducationLevel]], 1,"Bachelor Type 1", 2,"Bachelor Type 2", 3,"Masters", 4,"PhD")</f>
        <v>Bachelor Type 1</v>
      </c>
      <c r="F609" s="5">
        <v>1</v>
      </c>
      <c r="G609" s="5">
        <v>15</v>
      </c>
      <c r="H609" s="5">
        <v>2</v>
      </c>
      <c r="I609" s="5">
        <v>3.8547168953971855</v>
      </c>
      <c r="J609" s="5">
        <v>40</v>
      </c>
      <c r="K609" s="5">
        <v>12</v>
      </c>
      <c r="L609" s="5">
        <v>66</v>
      </c>
      <c r="M609" s="5" t="str">
        <f>_xlfn.SWITCH(recruitment_data3[[#This Row],[RecruitmentStrategy]], 1,"Aggressive", 2,"Moderate", 3,"Conservative")</f>
        <v>Moderate</v>
      </c>
      <c r="N609" s="5">
        <v>2</v>
      </c>
      <c r="O609" s="5" t="str">
        <f>IF(recruitment_data3[[#This Row],[HiringDecision]]=1,"Hired","Rejected")</f>
        <v>Rejected</v>
      </c>
      <c r="P609" s="6">
        <v>0</v>
      </c>
    </row>
    <row r="610" spans="1:16" x14ac:dyDescent="0.25">
      <c r="A610" s="4" t="str">
        <f t="shared" si="9"/>
        <v>C0609</v>
      </c>
      <c r="B610" s="4">
        <v>20</v>
      </c>
      <c r="C610" s="5" t="str">
        <f>IF(recruitment_data3[[#This Row],[Gender]]=1,"Female","Male")</f>
        <v>Male</v>
      </c>
      <c r="D610" s="5">
        <v>0</v>
      </c>
      <c r="E610" s="5" t="str">
        <f>_xlfn.SWITCH(recruitment_data3[[#This Row],[EducationLevel]], 1,"Bachelor Type 1", 2,"Bachelor Type 2", 3,"Masters", 4,"PhD")</f>
        <v>Masters</v>
      </c>
      <c r="F610" s="5">
        <v>3</v>
      </c>
      <c r="G610" s="5">
        <v>11</v>
      </c>
      <c r="H610" s="5">
        <v>1</v>
      </c>
      <c r="I610" s="5">
        <v>18.152586625982529</v>
      </c>
      <c r="J610" s="5">
        <v>99</v>
      </c>
      <c r="K610" s="5">
        <v>20</v>
      </c>
      <c r="L610" s="5">
        <v>68</v>
      </c>
      <c r="M610" s="5" t="str">
        <f>_xlfn.SWITCH(recruitment_data3[[#This Row],[RecruitmentStrategy]], 1,"Aggressive", 2,"Moderate", 3,"Conservative")</f>
        <v>Moderate</v>
      </c>
      <c r="N610" s="5">
        <v>2</v>
      </c>
      <c r="O610" s="5" t="str">
        <f>IF(recruitment_data3[[#This Row],[HiringDecision]]=1,"Hired","Rejected")</f>
        <v>Hired</v>
      </c>
      <c r="P610" s="6">
        <v>1</v>
      </c>
    </row>
    <row r="611" spans="1:16" x14ac:dyDescent="0.25">
      <c r="A611" s="4" t="str">
        <f t="shared" si="9"/>
        <v>C0610</v>
      </c>
      <c r="B611" s="4">
        <v>34</v>
      </c>
      <c r="C611" s="5" t="str">
        <f>IF(recruitment_data3[[#This Row],[Gender]]=1,"Female","Male")</f>
        <v>Male</v>
      </c>
      <c r="D611" s="5">
        <v>0</v>
      </c>
      <c r="E611" s="5" t="str">
        <f>_xlfn.SWITCH(recruitment_data3[[#This Row],[EducationLevel]], 1,"Bachelor Type 1", 2,"Bachelor Type 2", 3,"Masters", 4,"PhD")</f>
        <v>Bachelor Type 2</v>
      </c>
      <c r="F611" s="5">
        <v>2</v>
      </c>
      <c r="G611" s="5">
        <v>12</v>
      </c>
      <c r="H611" s="5">
        <v>5</v>
      </c>
      <c r="I611" s="5">
        <v>34.346799260195333</v>
      </c>
      <c r="J611" s="5">
        <v>22</v>
      </c>
      <c r="K611" s="5">
        <v>0</v>
      </c>
      <c r="L611" s="5">
        <v>66</v>
      </c>
      <c r="M611" s="5" t="str">
        <f>_xlfn.SWITCH(recruitment_data3[[#This Row],[RecruitmentStrategy]], 1,"Aggressive", 2,"Moderate", 3,"Conservative")</f>
        <v>Moderate</v>
      </c>
      <c r="N611" s="5">
        <v>2</v>
      </c>
      <c r="O611" s="5" t="str">
        <f>IF(recruitment_data3[[#This Row],[HiringDecision]]=1,"Hired","Rejected")</f>
        <v>Rejected</v>
      </c>
      <c r="P611" s="6">
        <v>0</v>
      </c>
    </row>
    <row r="612" spans="1:16" x14ac:dyDescent="0.25">
      <c r="A612" s="4" t="str">
        <f t="shared" si="9"/>
        <v>C0611</v>
      </c>
      <c r="B612" s="4">
        <v>21</v>
      </c>
      <c r="C612" s="5" t="str">
        <f>IF(recruitment_data3[[#This Row],[Gender]]=1,"Female","Male")</f>
        <v>Female</v>
      </c>
      <c r="D612" s="5">
        <v>1</v>
      </c>
      <c r="E612" s="5" t="str">
        <f>_xlfn.SWITCH(recruitment_data3[[#This Row],[EducationLevel]], 1,"Bachelor Type 1", 2,"Bachelor Type 2", 3,"Masters", 4,"PhD")</f>
        <v>Bachelor Type 2</v>
      </c>
      <c r="F612" s="5">
        <v>2</v>
      </c>
      <c r="G612" s="5">
        <v>10</v>
      </c>
      <c r="H612" s="5">
        <v>2</v>
      </c>
      <c r="I612" s="5">
        <v>6.1264599113900688</v>
      </c>
      <c r="J612" s="5">
        <v>46</v>
      </c>
      <c r="K612" s="5">
        <v>18</v>
      </c>
      <c r="L612" s="5">
        <v>46</v>
      </c>
      <c r="M612" s="5" t="str">
        <f>_xlfn.SWITCH(recruitment_data3[[#This Row],[RecruitmentStrategy]], 1,"Aggressive", 2,"Moderate", 3,"Conservative")</f>
        <v>Moderate</v>
      </c>
      <c r="N612" s="5">
        <v>2</v>
      </c>
      <c r="O612" s="5" t="str">
        <f>IF(recruitment_data3[[#This Row],[HiringDecision]]=1,"Hired","Rejected")</f>
        <v>Rejected</v>
      </c>
      <c r="P612" s="6">
        <v>0</v>
      </c>
    </row>
    <row r="613" spans="1:16" x14ac:dyDescent="0.25">
      <c r="A613" s="4" t="str">
        <f t="shared" si="9"/>
        <v>C0612</v>
      </c>
      <c r="B613" s="4">
        <v>49</v>
      </c>
      <c r="C613" s="5" t="str">
        <f>IF(recruitment_data3[[#This Row],[Gender]]=1,"Female","Male")</f>
        <v>Female</v>
      </c>
      <c r="D613" s="5">
        <v>1</v>
      </c>
      <c r="E613" s="5" t="str">
        <f>_xlfn.SWITCH(recruitment_data3[[#This Row],[EducationLevel]], 1,"Bachelor Type 1", 2,"Bachelor Type 2", 3,"Masters", 4,"PhD")</f>
        <v>PhD</v>
      </c>
      <c r="F613" s="5">
        <v>4</v>
      </c>
      <c r="G613" s="5">
        <v>6</v>
      </c>
      <c r="H613" s="5">
        <v>3</v>
      </c>
      <c r="I613" s="5">
        <v>1.5958991489121046</v>
      </c>
      <c r="J613" s="5">
        <v>12</v>
      </c>
      <c r="K613" s="5">
        <v>59</v>
      </c>
      <c r="L613" s="5">
        <v>82</v>
      </c>
      <c r="M613" s="5" t="str">
        <f>_xlfn.SWITCH(recruitment_data3[[#This Row],[RecruitmentStrategy]], 1,"Aggressive", 2,"Moderate", 3,"Conservative")</f>
        <v>Moderate</v>
      </c>
      <c r="N613" s="5">
        <v>2</v>
      </c>
      <c r="O613" s="5" t="str">
        <f>IF(recruitment_data3[[#This Row],[HiringDecision]]=1,"Hired","Rejected")</f>
        <v>Hired</v>
      </c>
      <c r="P613" s="6">
        <v>1</v>
      </c>
    </row>
    <row r="614" spans="1:16" x14ac:dyDescent="0.25">
      <c r="A614" s="4" t="str">
        <f t="shared" si="9"/>
        <v>C0613</v>
      </c>
      <c r="B614" s="4">
        <v>41</v>
      </c>
      <c r="C614" s="5" t="str">
        <f>IF(recruitment_data3[[#This Row],[Gender]]=1,"Female","Male")</f>
        <v>Male</v>
      </c>
      <c r="D614" s="5">
        <v>0</v>
      </c>
      <c r="E614" s="5" t="str">
        <f>_xlfn.SWITCH(recruitment_data3[[#This Row],[EducationLevel]], 1,"Bachelor Type 1", 2,"Bachelor Type 2", 3,"Masters", 4,"PhD")</f>
        <v>Bachelor Type 2</v>
      </c>
      <c r="F614" s="5">
        <v>2</v>
      </c>
      <c r="G614" s="5">
        <v>11</v>
      </c>
      <c r="H614" s="5">
        <v>4</v>
      </c>
      <c r="I614" s="5">
        <v>7.9846186301469331</v>
      </c>
      <c r="J614" s="5">
        <v>88</v>
      </c>
      <c r="K614" s="5">
        <v>32</v>
      </c>
      <c r="L614" s="5">
        <v>1</v>
      </c>
      <c r="M614" s="5" t="str">
        <f>_xlfn.SWITCH(recruitment_data3[[#This Row],[RecruitmentStrategy]], 1,"Aggressive", 2,"Moderate", 3,"Conservative")</f>
        <v>Conservative</v>
      </c>
      <c r="N614" s="5">
        <v>3</v>
      </c>
      <c r="O614" s="5" t="str">
        <f>IF(recruitment_data3[[#This Row],[HiringDecision]]=1,"Hired","Rejected")</f>
        <v>Rejected</v>
      </c>
      <c r="P614" s="6">
        <v>0</v>
      </c>
    </row>
    <row r="615" spans="1:16" x14ac:dyDescent="0.25">
      <c r="A615" s="4" t="str">
        <f t="shared" si="9"/>
        <v>C0614</v>
      </c>
      <c r="B615" s="4">
        <v>35</v>
      </c>
      <c r="C615" s="5" t="str">
        <f>IF(recruitment_data3[[#This Row],[Gender]]=1,"Female","Male")</f>
        <v>Female</v>
      </c>
      <c r="D615" s="5">
        <v>1</v>
      </c>
      <c r="E615" s="5" t="str">
        <f>_xlfn.SWITCH(recruitment_data3[[#This Row],[EducationLevel]], 1,"Bachelor Type 1", 2,"Bachelor Type 2", 3,"Masters", 4,"PhD")</f>
        <v>Bachelor Type 2</v>
      </c>
      <c r="F615" s="5">
        <v>2</v>
      </c>
      <c r="G615" s="5">
        <v>8</v>
      </c>
      <c r="H615" s="5">
        <v>1</v>
      </c>
      <c r="I615" s="5">
        <v>36.786796320539764</v>
      </c>
      <c r="J615" s="5">
        <v>65</v>
      </c>
      <c r="K615" s="5">
        <v>3</v>
      </c>
      <c r="L615" s="5">
        <v>43</v>
      </c>
      <c r="M615" s="5" t="str">
        <f>_xlfn.SWITCH(recruitment_data3[[#This Row],[RecruitmentStrategy]], 1,"Aggressive", 2,"Moderate", 3,"Conservative")</f>
        <v>Conservative</v>
      </c>
      <c r="N615" s="5">
        <v>3</v>
      </c>
      <c r="O615" s="5" t="str">
        <f>IF(recruitment_data3[[#This Row],[HiringDecision]]=1,"Hired","Rejected")</f>
        <v>Rejected</v>
      </c>
      <c r="P615" s="6">
        <v>0</v>
      </c>
    </row>
    <row r="616" spans="1:16" x14ac:dyDescent="0.25">
      <c r="A616" s="4" t="str">
        <f t="shared" si="9"/>
        <v>C0615</v>
      </c>
      <c r="B616" s="4">
        <v>44</v>
      </c>
      <c r="C616" s="5" t="str">
        <f>IF(recruitment_data3[[#This Row],[Gender]]=1,"Female","Male")</f>
        <v>Male</v>
      </c>
      <c r="D616" s="5">
        <v>0</v>
      </c>
      <c r="E616" s="5" t="str">
        <f>_xlfn.SWITCH(recruitment_data3[[#This Row],[EducationLevel]], 1,"Bachelor Type 1", 2,"Bachelor Type 2", 3,"Masters", 4,"PhD")</f>
        <v>PhD</v>
      </c>
      <c r="F616" s="5">
        <v>4</v>
      </c>
      <c r="G616" s="5">
        <v>14</v>
      </c>
      <c r="H616" s="5">
        <v>1</v>
      </c>
      <c r="I616" s="5">
        <v>49.639685082822197</v>
      </c>
      <c r="J616" s="5">
        <v>65</v>
      </c>
      <c r="K616" s="5">
        <v>2</v>
      </c>
      <c r="L616" s="5">
        <v>100</v>
      </c>
      <c r="M616" s="5" t="str">
        <f>_xlfn.SWITCH(recruitment_data3[[#This Row],[RecruitmentStrategy]], 1,"Aggressive", 2,"Moderate", 3,"Conservative")</f>
        <v>Conservative</v>
      </c>
      <c r="N616" s="5">
        <v>3</v>
      </c>
      <c r="O616" s="5" t="str">
        <f>IF(recruitment_data3[[#This Row],[HiringDecision]]=1,"Hired","Rejected")</f>
        <v>Rejected</v>
      </c>
      <c r="P616" s="6">
        <v>0</v>
      </c>
    </row>
    <row r="617" spans="1:16" x14ac:dyDescent="0.25">
      <c r="A617" s="4" t="str">
        <f t="shared" si="9"/>
        <v>C0616</v>
      </c>
      <c r="B617" s="4">
        <v>27</v>
      </c>
      <c r="C617" s="5" t="str">
        <f>IF(recruitment_data3[[#This Row],[Gender]]=1,"Female","Male")</f>
        <v>Female</v>
      </c>
      <c r="D617" s="5">
        <v>1</v>
      </c>
      <c r="E617" s="5" t="str">
        <f>_xlfn.SWITCH(recruitment_data3[[#This Row],[EducationLevel]], 1,"Bachelor Type 1", 2,"Bachelor Type 2", 3,"Masters", 4,"PhD")</f>
        <v>Bachelor Type 1</v>
      </c>
      <c r="F617" s="5">
        <v>1</v>
      </c>
      <c r="G617" s="5">
        <v>11</v>
      </c>
      <c r="H617" s="5">
        <v>4</v>
      </c>
      <c r="I617" s="5">
        <v>50.153234980741026</v>
      </c>
      <c r="J617" s="5">
        <v>15</v>
      </c>
      <c r="K617" s="5">
        <v>90</v>
      </c>
      <c r="L617" s="5">
        <v>63</v>
      </c>
      <c r="M617" s="5" t="str">
        <f>_xlfn.SWITCH(recruitment_data3[[#This Row],[RecruitmentStrategy]], 1,"Aggressive", 2,"Moderate", 3,"Conservative")</f>
        <v>Moderate</v>
      </c>
      <c r="N617" s="5">
        <v>2</v>
      </c>
      <c r="O617" s="5" t="str">
        <f>IF(recruitment_data3[[#This Row],[HiringDecision]]=1,"Hired","Rejected")</f>
        <v>Rejected</v>
      </c>
      <c r="P617" s="6">
        <v>0</v>
      </c>
    </row>
    <row r="618" spans="1:16" x14ac:dyDescent="0.25">
      <c r="A618" s="4" t="str">
        <f t="shared" si="9"/>
        <v>C0617</v>
      </c>
      <c r="B618" s="4">
        <v>32</v>
      </c>
      <c r="C618" s="5" t="str">
        <f>IF(recruitment_data3[[#This Row],[Gender]]=1,"Female","Male")</f>
        <v>Female</v>
      </c>
      <c r="D618" s="5">
        <v>1</v>
      </c>
      <c r="E618" s="5" t="str">
        <f>_xlfn.SWITCH(recruitment_data3[[#This Row],[EducationLevel]], 1,"Bachelor Type 1", 2,"Bachelor Type 2", 3,"Masters", 4,"PhD")</f>
        <v>Masters</v>
      </c>
      <c r="F618" s="5">
        <v>3</v>
      </c>
      <c r="G618" s="5">
        <v>5</v>
      </c>
      <c r="H618" s="5">
        <v>5</v>
      </c>
      <c r="I618" s="5">
        <v>25.698957457009396</v>
      </c>
      <c r="J618" s="5">
        <v>72</v>
      </c>
      <c r="K618" s="5">
        <v>51</v>
      </c>
      <c r="L618" s="5">
        <v>80</v>
      </c>
      <c r="M618" s="5" t="str">
        <f>_xlfn.SWITCH(recruitment_data3[[#This Row],[RecruitmentStrategy]], 1,"Aggressive", 2,"Moderate", 3,"Conservative")</f>
        <v>Moderate</v>
      </c>
      <c r="N618" s="5">
        <v>2</v>
      </c>
      <c r="O618" s="5" t="str">
        <f>IF(recruitment_data3[[#This Row],[HiringDecision]]=1,"Hired","Rejected")</f>
        <v>Hired</v>
      </c>
      <c r="P618" s="6">
        <v>1</v>
      </c>
    </row>
    <row r="619" spans="1:16" x14ac:dyDescent="0.25">
      <c r="A619" s="4" t="str">
        <f t="shared" si="9"/>
        <v>C0618</v>
      </c>
      <c r="B619" s="4">
        <v>40</v>
      </c>
      <c r="C619" s="5" t="str">
        <f>IF(recruitment_data3[[#This Row],[Gender]]=1,"Female","Male")</f>
        <v>Male</v>
      </c>
      <c r="D619" s="5">
        <v>0</v>
      </c>
      <c r="E619" s="5" t="str">
        <f>_xlfn.SWITCH(recruitment_data3[[#This Row],[EducationLevel]], 1,"Bachelor Type 1", 2,"Bachelor Type 2", 3,"Masters", 4,"PhD")</f>
        <v>PhD</v>
      </c>
      <c r="F619" s="5">
        <v>4</v>
      </c>
      <c r="G619" s="5">
        <v>12</v>
      </c>
      <c r="H619" s="5">
        <v>4</v>
      </c>
      <c r="I619" s="5">
        <v>44.467615049617372</v>
      </c>
      <c r="J619" s="5">
        <v>27</v>
      </c>
      <c r="K619" s="5">
        <v>98</v>
      </c>
      <c r="L619" s="5">
        <v>77</v>
      </c>
      <c r="M619" s="5" t="str">
        <f>_xlfn.SWITCH(recruitment_data3[[#This Row],[RecruitmentStrategy]], 1,"Aggressive", 2,"Moderate", 3,"Conservative")</f>
        <v>Moderate</v>
      </c>
      <c r="N619" s="5">
        <v>2</v>
      </c>
      <c r="O619" s="5" t="str">
        <f>IF(recruitment_data3[[#This Row],[HiringDecision]]=1,"Hired","Rejected")</f>
        <v>Hired</v>
      </c>
      <c r="P619" s="6">
        <v>1</v>
      </c>
    </row>
    <row r="620" spans="1:16" x14ac:dyDescent="0.25">
      <c r="A620" s="4" t="str">
        <f t="shared" si="9"/>
        <v>C0619</v>
      </c>
      <c r="B620" s="4">
        <v>20</v>
      </c>
      <c r="C620" s="5" t="str">
        <f>IF(recruitment_data3[[#This Row],[Gender]]=1,"Female","Male")</f>
        <v>Female</v>
      </c>
      <c r="D620" s="5">
        <v>1</v>
      </c>
      <c r="E620" s="5" t="str">
        <f>_xlfn.SWITCH(recruitment_data3[[#This Row],[EducationLevel]], 1,"Bachelor Type 1", 2,"Bachelor Type 2", 3,"Masters", 4,"PhD")</f>
        <v>PhD</v>
      </c>
      <c r="F620" s="5">
        <v>4</v>
      </c>
      <c r="G620" s="5">
        <v>9</v>
      </c>
      <c r="H620" s="5">
        <v>2</v>
      </c>
      <c r="I620" s="5">
        <v>37.841322787575201</v>
      </c>
      <c r="J620" s="5">
        <v>76</v>
      </c>
      <c r="K620" s="5">
        <v>27</v>
      </c>
      <c r="L620" s="5">
        <v>27</v>
      </c>
      <c r="M620" s="5" t="str">
        <f>_xlfn.SWITCH(recruitment_data3[[#This Row],[RecruitmentStrategy]], 1,"Aggressive", 2,"Moderate", 3,"Conservative")</f>
        <v>Aggressive</v>
      </c>
      <c r="N620" s="5">
        <v>1</v>
      </c>
      <c r="O620" s="5" t="str">
        <f>IF(recruitment_data3[[#This Row],[HiringDecision]]=1,"Hired","Rejected")</f>
        <v>Hired</v>
      </c>
      <c r="P620" s="6">
        <v>1</v>
      </c>
    </row>
    <row r="621" spans="1:16" x14ac:dyDescent="0.25">
      <c r="A621" s="4" t="str">
        <f t="shared" si="9"/>
        <v>C0620</v>
      </c>
      <c r="B621" s="4">
        <v>35</v>
      </c>
      <c r="C621" s="5" t="str">
        <f>IF(recruitment_data3[[#This Row],[Gender]]=1,"Female","Male")</f>
        <v>Male</v>
      </c>
      <c r="D621" s="5">
        <v>0</v>
      </c>
      <c r="E621" s="5" t="str">
        <f>_xlfn.SWITCH(recruitment_data3[[#This Row],[EducationLevel]], 1,"Bachelor Type 1", 2,"Bachelor Type 2", 3,"Masters", 4,"PhD")</f>
        <v>Bachelor Type 2</v>
      </c>
      <c r="F621" s="5">
        <v>2</v>
      </c>
      <c r="G621" s="5">
        <v>0</v>
      </c>
      <c r="H621" s="5">
        <v>4</v>
      </c>
      <c r="I621" s="5">
        <v>26.052011849230173</v>
      </c>
      <c r="J621" s="5">
        <v>34</v>
      </c>
      <c r="K621" s="5">
        <v>69</v>
      </c>
      <c r="L621" s="5">
        <v>90</v>
      </c>
      <c r="M621" s="5" t="str">
        <f>_xlfn.SWITCH(recruitment_data3[[#This Row],[RecruitmentStrategy]], 1,"Aggressive", 2,"Moderate", 3,"Conservative")</f>
        <v>Conservative</v>
      </c>
      <c r="N621" s="5">
        <v>3</v>
      </c>
      <c r="O621" s="5" t="str">
        <f>IF(recruitment_data3[[#This Row],[HiringDecision]]=1,"Hired","Rejected")</f>
        <v>Rejected</v>
      </c>
      <c r="P621" s="6">
        <v>0</v>
      </c>
    </row>
    <row r="622" spans="1:16" x14ac:dyDescent="0.25">
      <c r="A622" s="4" t="str">
        <f t="shared" si="9"/>
        <v>C0621</v>
      </c>
      <c r="B622" s="4">
        <v>48</v>
      </c>
      <c r="C622" s="5" t="str">
        <f>IF(recruitment_data3[[#This Row],[Gender]]=1,"Female","Male")</f>
        <v>Female</v>
      </c>
      <c r="D622" s="5">
        <v>1</v>
      </c>
      <c r="E622" s="5" t="str">
        <f>_xlfn.SWITCH(recruitment_data3[[#This Row],[EducationLevel]], 1,"Bachelor Type 1", 2,"Bachelor Type 2", 3,"Masters", 4,"PhD")</f>
        <v>Bachelor Type 2</v>
      </c>
      <c r="F622" s="5">
        <v>2</v>
      </c>
      <c r="G622" s="5">
        <v>15</v>
      </c>
      <c r="H622" s="5">
        <v>1</v>
      </c>
      <c r="I622" s="5">
        <v>29.638026647754337</v>
      </c>
      <c r="J622" s="5">
        <v>40</v>
      </c>
      <c r="K622" s="5">
        <v>69</v>
      </c>
      <c r="L622" s="5">
        <v>53</v>
      </c>
      <c r="M622" s="5" t="str">
        <f>_xlfn.SWITCH(recruitment_data3[[#This Row],[RecruitmentStrategy]], 1,"Aggressive", 2,"Moderate", 3,"Conservative")</f>
        <v>Moderate</v>
      </c>
      <c r="N622" s="5">
        <v>2</v>
      </c>
      <c r="O622" s="5" t="str">
        <f>IF(recruitment_data3[[#This Row],[HiringDecision]]=1,"Hired","Rejected")</f>
        <v>Rejected</v>
      </c>
      <c r="P622" s="6">
        <v>0</v>
      </c>
    </row>
    <row r="623" spans="1:16" x14ac:dyDescent="0.25">
      <c r="A623" s="4" t="str">
        <f t="shared" si="9"/>
        <v>C0622</v>
      </c>
      <c r="B623" s="4">
        <v>26</v>
      </c>
      <c r="C623" s="5" t="str">
        <f>IF(recruitment_data3[[#This Row],[Gender]]=1,"Female","Male")</f>
        <v>Male</v>
      </c>
      <c r="D623" s="5">
        <v>0</v>
      </c>
      <c r="E623" s="5" t="str">
        <f>_xlfn.SWITCH(recruitment_data3[[#This Row],[EducationLevel]], 1,"Bachelor Type 1", 2,"Bachelor Type 2", 3,"Masters", 4,"PhD")</f>
        <v>Bachelor Type 2</v>
      </c>
      <c r="F623" s="5">
        <v>2</v>
      </c>
      <c r="G623" s="5">
        <v>6</v>
      </c>
      <c r="H623" s="5">
        <v>4</v>
      </c>
      <c r="I623" s="5">
        <v>7.8613573308435534</v>
      </c>
      <c r="J623" s="5">
        <v>76</v>
      </c>
      <c r="K623" s="5">
        <v>54</v>
      </c>
      <c r="L623" s="5">
        <v>73</v>
      </c>
      <c r="M623" s="5" t="str">
        <f>_xlfn.SWITCH(recruitment_data3[[#This Row],[RecruitmentStrategy]], 1,"Aggressive", 2,"Moderate", 3,"Conservative")</f>
        <v>Aggressive</v>
      </c>
      <c r="N623" s="5">
        <v>1</v>
      </c>
      <c r="O623" s="5" t="str">
        <f>IF(recruitment_data3[[#This Row],[HiringDecision]]=1,"Hired","Rejected")</f>
        <v>Hired</v>
      </c>
      <c r="P623" s="6">
        <v>1</v>
      </c>
    </row>
    <row r="624" spans="1:16" x14ac:dyDescent="0.25">
      <c r="A624" s="4" t="str">
        <f t="shared" si="9"/>
        <v>C0623</v>
      </c>
      <c r="B624" s="4">
        <v>50</v>
      </c>
      <c r="C624" s="5" t="str">
        <f>IF(recruitment_data3[[#This Row],[Gender]]=1,"Female","Male")</f>
        <v>Male</v>
      </c>
      <c r="D624" s="5">
        <v>0</v>
      </c>
      <c r="E624" s="5" t="str">
        <f>_xlfn.SWITCH(recruitment_data3[[#This Row],[EducationLevel]], 1,"Bachelor Type 1", 2,"Bachelor Type 2", 3,"Masters", 4,"PhD")</f>
        <v>Masters</v>
      </c>
      <c r="F624" s="5">
        <v>3</v>
      </c>
      <c r="G624" s="5">
        <v>14</v>
      </c>
      <c r="H624" s="5">
        <v>3</v>
      </c>
      <c r="I624" s="5">
        <v>47.8830730308296</v>
      </c>
      <c r="J624" s="5">
        <v>30</v>
      </c>
      <c r="K624" s="5">
        <v>56</v>
      </c>
      <c r="L624" s="5">
        <v>66</v>
      </c>
      <c r="M624" s="5" t="str">
        <f>_xlfn.SWITCH(recruitment_data3[[#This Row],[RecruitmentStrategy]], 1,"Aggressive", 2,"Moderate", 3,"Conservative")</f>
        <v>Aggressive</v>
      </c>
      <c r="N624" s="5">
        <v>1</v>
      </c>
      <c r="O624" s="5" t="str">
        <f>IF(recruitment_data3[[#This Row],[HiringDecision]]=1,"Hired","Rejected")</f>
        <v>Hired</v>
      </c>
      <c r="P624" s="6">
        <v>1</v>
      </c>
    </row>
    <row r="625" spans="1:16" x14ac:dyDescent="0.25">
      <c r="A625" s="4" t="str">
        <f t="shared" si="9"/>
        <v>C0624</v>
      </c>
      <c r="B625" s="4">
        <v>24</v>
      </c>
      <c r="C625" s="5" t="str">
        <f>IF(recruitment_data3[[#This Row],[Gender]]=1,"Female","Male")</f>
        <v>Female</v>
      </c>
      <c r="D625" s="5">
        <v>1</v>
      </c>
      <c r="E625" s="5" t="str">
        <f>_xlfn.SWITCH(recruitment_data3[[#This Row],[EducationLevel]], 1,"Bachelor Type 1", 2,"Bachelor Type 2", 3,"Masters", 4,"PhD")</f>
        <v>Masters</v>
      </c>
      <c r="F625" s="5">
        <v>3</v>
      </c>
      <c r="G625" s="5">
        <v>2</v>
      </c>
      <c r="H625" s="5">
        <v>2</v>
      </c>
      <c r="I625" s="5">
        <v>18.59648853658884</v>
      </c>
      <c r="J625" s="5">
        <v>84</v>
      </c>
      <c r="K625" s="5">
        <v>86</v>
      </c>
      <c r="L625" s="5">
        <v>35</v>
      </c>
      <c r="M625" s="5" t="str">
        <f>_xlfn.SWITCH(recruitment_data3[[#This Row],[RecruitmentStrategy]], 1,"Aggressive", 2,"Moderate", 3,"Conservative")</f>
        <v>Conservative</v>
      </c>
      <c r="N625" s="5">
        <v>3</v>
      </c>
      <c r="O625" s="5" t="str">
        <f>IF(recruitment_data3[[#This Row],[HiringDecision]]=1,"Hired","Rejected")</f>
        <v>Rejected</v>
      </c>
      <c r="P625" s="6">
        <v>0</v>
      </c>
    </row>
    <row r="626" spans="1:16" x14ac:dyDescent="0.25">
      <c r="A626" s="4" t="str">
        <f t="shared" si="9"/>
        <v>C0625</v>
      </c>
      <c r="B626" s="4">
        <v>41</v>
      </c>
      <c r="C626" s="5" t="str">
        <f>IF(recruitment_data3[[#This Row],[Gender]]=1,"Female","Male")</f>
        <v>Female</v>
      </c>
      <c r="D626" s="5">
        <v>1</v>
      </c>
      <c r="E626" s="5" t="str">
        <f>_xlfn.SWITCH(recruitment_data3[[#This Row],[EducationLevel]], 1,"Bachelor Type 1", 2,"Bachelor Type 2", 3,"Masters", 4,"PhD")</f>
        <v>Bachelor Type 2</v>
      </c>
      <c r="F626" s="5">
        <v>2</v>
      </c>
      <c r="G626" s="5">
        <v>4</v>
      </c>
      <c r="H626" s="5">
        <v>4</v>
      </c>
      <c r="I626" s="5">
        <v>23.307462822858476</v>
      </c>
      <c r="J626" s="5">
        <v>31</v>
      </c>
      <c r="K626" s="5">
        <v>96</v>
      </c>
      <c r="L626" s="5">
        <v>62</v>
      </c>
      <c r="M626" s="5" t="str">
        <f>_xlfn.SWITCH(recruitment_data3[[#This Row],[RecruitmentStrategy]], 1,"Aggressive", 2,"Moderate", 3,"Conservative")</f>
        <v>Aggressive</v>
      </c>
      <c r="N626" s="5">
        <v>1</v>
      </c>
      <c r="O626" s="5" t="str">
        <f>IF(recruitment_data3[[#This Row],[HiringDecision]]=1,"Hired","Rejected")</f>
        <v>Hired</v>
      </c>
      <c r="P626" s="6">
        <v>1</v>
      </c>
    </row>
    <row r="627" spans="1:16" x14ac:dyDescent="0.25">
      <c r="A627" s="4" t="str">
        <f t="shared" si="9"/>
        <v>C0626</v>
      </c>
      <c r="B627" s="4">
        <v>48</v>
      </c>
      <c r="C627" s="5" t="str">
        <f>IF(recruitment_data3[[#This Row],[Gender]]=1,"Female","Male")</f>
        <v>Male</v>
      </c>
      <c r="D627" s="5">
        <v>0</v>
      </c>
      <c r="E627" s="5" t="str">
        <f>_xlfn.SWITCH(recruitment_data3[[#This Row],[EducationLevel]], 1,"Bachelor Type 1", 2,"Bachelor Type 2", 3,"Masters", 4,"PhD")</f>
        <v>Bachelor Type 2</v>
      </c>
      <c r="F627" s="5">
        <v>2</v>
      </c>
      <c r="G627" s="5">
        <v>15</v>
      </c>
      <c r="H627" s="5">
        <v>1</v>
      </c>
      <c r="I627" s="5">
        <v>34.583011549894934</v>
      </c>
      <c r="J627" s="5">
        <v>53</v>
      </c>
      <c r="K627" s="5">
        <v>15</v>
      </c>
      <c r="L627" s="5">
        <v>24</v>
      </c>
      <c r="M627" s="5" t="str">
        <f>_xlfn.SWITCH(recruitment_data3[[#This Row],[RecruitmentStrategy]], 1,"Aggressive", 2,"Moderate", 3,"Conservative")</f>
        <v>Aggressive</v>
      </c>
      <c r="N627" s="5">
        <v>1</v>
      </c>
      <c r="O627" s="5" t="str">
        <f>IF(recruitment_data3[[#This Row],[HiringDecision]]=1,"Hired","Rejected")</f>
        <v>Rejected</v>
      </c>
      <c r="P627" s="6">
        <v>0</v>
      </c>
    </row>
    <row r="628" spans="1:16" x14ac:dyDescent="0.25">
      <c r="A628" s="4" t="str">
        <f t="shared" si="9"/>
        <v>C0627</v>
      </c>
      <c r="B628" s="4">
        <v>42</v>
      </c>
      <c r="C628" s="5" t="str">
        <f>IF(recruitment_data3[[#This Row],[Gender]]=1,"Female","Male")</f>
        <v>Female</v>
      </c>
      <c r="D628" s="5">
        <v>1</v>
      </c>
      <c r="E628" s="5" t="str">
        <f>_xlfn.SWITCH(recruitment_data3[[#This Row],[EducationLevel]], 1,"Bachelor Type 1", 2,"Bachelor Type 2", 3,"Masters", 4,"PhD")</f>
        <v>Bachelor Type 1</v>
      </c>
      <c r="F628" s="5">
        <v>1</v>
      </c>
      <c r="G628" s="5">
        <v>9</v>
      </c>
      <c r="H628" s="5">
        <v>2</v>
      </c>
      <c r="I628" s="5">
        <v>17.695123576327696</v>
      </c>
      <c r="J628" s="5">
        <v>97</v>
      </c>
      <c r="K628" s="5">
        <v>23</v>
      </c>
      <c r="L628" s="5">
        <v>85</v>
      </c>
      <c r="M628" s="5" t="str">
        <f>_xlfn.SWITCH(recruitment_data3[[#This Row],[RecruitmentStrategy]], 1,"Aggressive", 2,"Moderate", 3,"Conservative")</f>
        <v>Moderate</v>
      </c>
      <c r="N628" s="5">
        <v>2</v>
      </c>
      <c r="O628" s="5" t="str">
        <f>IF(recruitment_data3[[#This Row],[HiringDecision]]=1,"Hired","Rejected")</f>
        <v>Rejected</v>
      </c>
      <c r="P628" s="6">
        <v>0</v>
      </c>
    </row>
    <row r="629" spans="1:16" x14ac:dyDescent="0.25">
      <c r="A629" s="4" t="str">
        <f t="shared" si="9"/>
        <v>C0628</v>
      </c>
      <c r="B629" s="4">
        <v>22</v>
      </c>
      <c r="C629" s="5" t="str">
        <f>IF(recruitment_data3[[#This Row],[Gender]]=1,"Female","Male")</f>
        <v>Female</v>
      </c>
      <c r="D629" s="5">
        <v>1</v>
      </c>
      <c r="E629" s="5" t="str">
        <f>_xlfn.SWITCH(recruitment_data3[[#This Row],[EducationLevel]], 1,"Bachelor Type 1", 2,"Bachelor Type 2", 3,"Masters", 4,"PhD")</f>
        <v>Bachelor Type 1</v>
      </c>
      <c r="F629" s="5">
        <v>1</v>
      </c>
      <c r="G629" s="5">
        <v>3</v>
      </c>
      <c r="H629" s="5">
        <v>1</v>
      </c>
      <c r="I629" s="5">
        <v>13.712958049446527</v>
      </c>
      <c r="J629" s="5">
        <v>71</v>
      </c>
      <c r="K629" s="5">
        <v>68</v>
      </c>
      <c r="L629" s="5">
        <v>47</v>
      </c>
      <c r="M629" s="5" t="str">
        <f>_xlfn.SWITCH(recruitment_data3[[#This Row],[RecruitmentStrategy]], 1,"Aggressive", 2,"Moderate", 3,"Conservative")</f>
        <v>Aggressive</v>
      </c>
      <c r="N629" s="5">
        <v>1</v>
      </c>
      <c r="O629" s="5" t="str">
        <f>IF(recruitment_data3[[#This Row],[HiringDecision]]=1,"Hired","Rejected")</f>
        <v>Hired</v>
      </c>
      <c r="P629" s="6">
        <v>1</v>
      </c>
    </row>
    <row r="630" spans="1:16" x14ac:dyDescent="0.25">
      <c r="A630" s="4" t="str">
        <f t="shared" si="9"/>
        <v>C0629</v>
      </c>
      <c r="B630" s="4">
        <v>31</v>
      </c>
      <c r="C630" s="5" t="str">
        <f>IF(recruitment_data3[[#This Row],[Gender]]=1,"Female","Male")</f>
        <v>Male</v>
      </c>
      <c r="D630" s="5">
        <v>0</v>
      </c>
      <c r="E630" s="5" t="str">
        <f>_xlfn.SWITCH(recruitment_data3[[#This Row],[EducationLevel]], 1,"Bachelor Type 1", 2,"Bachelor Type 2", 3,"Masters", 4,"PhD")</f>
        <v>Masters</v>
      </c>
      <c r="F630" s="5">
        <v>3</v>
      </c>
      <c r="G630" s="5">
        <v>9</v>
      </c>
      <c r="H630" s="5">
        <v>5</v>
      </c>
      <c r="I630" s="5">
        <v>32.552469663511033</v>
      </c>
      <c r="J630" s="5">
        <v>58</v>
      </c>
      <c r="K630" s="5">
        <v>40</v>
      </c>
      <c r="L630" s="5">
        <v>38</v>
      </c>
      <c r="M630" s="5" t="str">
        <f>_xlfn.SWITCH(recruitment_data3[[#This Row],[RecruitmentStrategy]], 1,"Aggressive", 2,"Moderate", 3,"Conservative")</f>
        <v>Conservative</v>
      </c>
      <c r="N630" s="5">
        <v>3</v>
      </c>
      <c r="O630" s="5" t="str">
        <f>IF(recruitment_data3[[#This Row],[HiringDecision]]=1,"Hired","Rejected")</f>
        <v>Rejected</v>
      </c>
      <c r="P630" s="6">
        <v>0</v>
      </c>
    </row>
    <row r="631" spans="1:16" x14ac:dyDescent="0.25">
      <c r="A631" s="4" t="str">
        <f t="shared" si="9"/>
        <v>C0630</v>
      </c>
      <c r="B631" s="4">
        <v>45</v>
      </c>
      <c r="C631" s="5" t="str">
        <f>IF(recruitment_data3[[#This Row],[Gender]]=1,"Female","Male")</f>
        <v>Male</v>
      </c>
      <c r="D631" s="5">
        <v>0</v>
      </c>
      <c r="E631" s="5" t="str">
        <f>_xlfn.SWITCH(recruitment_data3[[#This Row],[EducationLevel]], 1,"Bachelor Type 1", 2,"Bachelor Type 2", 3,"Masters", 4,"PhD")</f>
        <v>Bachelor Type 2</v>
      </c>
      <c r="F631" s="5">
        <v>2</v>
      </c>
      <c r="G631" s="5">
        <v>4</v>
      </c>
      <c r="H631" s="5">
        <v>3</v>
      </c>
      <c r="I631" s="5">
        <v>2.2492041140924726</v>
      </c>
      <c r="J631" s="5">
        <v>40</v>
      </c>
      <c r="K631" s="5">
        <v>76</v>
      </c>
      <c r="L631" s="5">
        <v>46</v>
      </c>
      <c r="M631" s="5" t="str">
        <f>_xlfn.SWITCH(recruitment_data3[[#This Row],[RecruitmentStrategy]], 1,"Aggressive", 2,"Moderate", 3,"Conservative")</f>
        <v>Moderate</v>
      </c>
      <c r="N631" s="5">
        <v>2</v>
      </c>
      <c r="O631" s="5" t="str">
        <f>IF(recruitment_data3[[#This Row],[HiringDecision]]=1,"Hired","Rejected")</f>
        <v>Rejected</v>
      </c>
      <c r="P631" s="6">
        <v>0</v>
      </c>
    </row>
    <row r="632" spans="1:16" x14ac:dyDescent="0.25">
      <c r="A632" s="4" t="str">
        <f t="shared" si="9"/>
        <v>C0631</v>
      </c>
      <c r="B632" s="4">
        <v>35</v>
      </c>
      <c r="C632" s="5" t="str">
        <f>IF(recruitment_data3[[#This Row],[Gender]]=1,"Female","Male")</f>
        <v>Female</v>
      </c>
      <c r="D632" s="5">
        <v>1</v>
      </c>
      <c r="E632" s="5" t="str">
        <f>_xlfn.SWITCH(recruitment_data3[[#This Row],[EducationLevel]], 1,"Bachelor Type 1", 2,"Bachelor Type 2", 3,"Masters", 4,"PhD")</f>
        <v>PhD</v>
      </c>
      <c r="F632" s="5">
        <v>4</v>
      </c>
      <c r="G632" s="5">
        <v>4</v>
      </c>
      <c r="H632" s="5">
        <v>5</v>
      </c>
      <c r="I632" s="5">
        <v>37.036255601333941</v>
      </c>
      <c r="J632" s="5">
        <v>65</v>
      </c>
      <c r="K632" s="5">
        <v>46</v>
      </c>
      <c r="L632" s="5">
        <v>93</v>
      </c>
      <c r="M632" s="5" t="str">
        <f>_xlfn.SWITCH(recruitment_data3[[#This Row],[RecruitmentStrategy]], 1,"Aggressive", 2,"Moderate", 3,"Conservative")</f>
        <v>Moderate</v>
      </c>
      <c r="N632" s="5">
        <v>2</v>
      </c>
      <c r="O632" s="5" t="str">
        <f>IF(recruitment_data3[[#This Row],[HiringDecision]]=1,"Hired","Rejected")</f>
        <v>Rejected</v>
      </c>
      <c r="P632" s="6">
        <v>0</v>
      </c>
    </row>
    <row r="633" spans="1:16" x14ac:dyDescent="0.25">
      <c r="A633" s="4" t="str">
        <f t="shared" si="9"/>
        <v>C0632</v>
      </c>
      <c r="B633" s="4">
        <v>38</v>
      </c>
      <c r="C633" s="5" t="str">
        <f>IF(recruitment_data3[[#This Row],[Gender]]=1,"Female","Male")</f>
        <v>Male</v>
      </c>
      <c r="D633" s="5">
        <v>0</v>
      </c>
      <c r="E633" s="5" t="str">
        <f>_xlfn.SWITCH(recruitment_data3[[#This Row],[EducationLevel]], 1,"Bachelor Type 1", 2,"Bachelor Type 2", 3,"Masters", 4,"PhD")</f>
        <v>Masters</v>
      </c>
      <c r="F633" s="5">
        <v>3</v>
      </c>
      <c r="G633" s="5">
        <v>5</v>
      </c>
      <c r="H633" s="5">
        <v>3</v>
      </c>
      <c r="I633" s="5">
        <v>26.701168493825488</v>
      </c>
      <c r="J633" s="5">
        <v>95</v>
      </c>
      <c r="K633" s="5">
        <v>75</v>
      </c>
      <c r="L633" s="5">
        <v>20</v>
      </c>
      <c r="M633" s="5" t="str">
        <f>_xlfn.SWITCH(recruitment_data3[[#This Row],[RecruitmentStrategy]], 1,"Aggressive", 2,"Moderate", 3,"Conservative")</f>
        <v>Conservative</v>
      </c>
      <c r="N633" s="5">
        <v>3</v>
      </c>
      <c r="O633" s="5" t="str">
        <f>IF(recruitment_data3[[#This Row],[HiringDecision]]=1,"Hired","Rejected")</f>
        <v>Rejected</v>
      </c>
      <c r="P633" s="6">
        <v>0</v>
      </c>
    </row>
    <row r="634" spans="1:16" x14ac:dyDescent="0.25">
      <c r="A634" s="4" t="str">
        <f t="shared" si="9"/>
        <v>C0633</v>
      </c>
      <c r="B634" s="4">
        <v>24</v>
      </c>
      <c r="C634" s="5" t="str">
        <f>IF(recruitment_data3[[#This Row],[Gender]]=1,"Female","Male")</f>
        <v>Male</v>
      </c>
      <c r="D634" s="5">
        <v>0</v>
      </c>
      <c r="E634" s="5" t="str">
        <f>_xlfn.SWITCH(recruitment_data3[[#This Row],[EducationLevel]], 1,"Bachelor Type 1", 2,"Bachelor Type 2", 3,"Masters", 4,"PhD")</f>
        <v>Bachelor Type 1</v>
      </c>
      <c r="F634" s="5">
        <v>1</v>
      </c>
      <c r="G634" s="5">
        <v>13</v>
      </c>
      <c r="H634" s="5">
        <v>4</v>
      </c>
      <c r="I634" s="5">
        <v>31.28768652604672</v>
      </c>
      <c r="J634" s="5">
        <v>53</v>
      </c>
      <c r="K634" s="5">
        <v>68</v>
      </c>
      <c r="L634" s="5">
        <v>29</v>
      </c>
      <c r="M634" s="5" t="str">
        <f>_xlfn.SWITCH(recruitment_data3[[#This Row],[RecruitmentStrategy]], 1,"Aggressive", 2,"Moderate", 3,"Conservative")</f>
        <v>Moderate</v>
      </c>
      <c r="N634" s="5">
        <v>2</v>
      </c>
      <c r="O634" s="5" t="str">
        <f>IF(recruitment_data3[[#This Row],[HiringDecision]]=1,"Hired","Rejected")</f>
        <v>Rejected</v>
      </c>
      <c r="P634" s="6">
        <v>0</v>
      </c>
    </row>
    <row r="635" spans="1:16" x14ac:dyDescent="0.25">
      <c r="A635" s="4" t="str">
        <f t="shared" si="9"/>
        <v>C0634</v>
      </c>
      <c r="B635" s="4">
        <v>41</v>
      </c>
      <c r="C635" s="5" t="str">
        <f>IF(recruitment_data3[[#This Row],[Gender]]=1,"Female","Male")</f>
        <v>Male</v>
      </c>
      <c r="D635" s="5">
        <v>0</v>
      </c>
      <c r="E635" s="5" t="str">
        <f>_xlfn.SWITCH(recruitment_data3[[#This Row],[EducationLevel]], 1,"Bachelor Type 1", 2,"Bachelor Type 2", 3,"Masters", 4,"PhD")</f>
        <v>Bachelor Type 2</v>
      </c>
      <c r="F635" s="5">
        <v>2</v>
      </c>
      <c r="G635" s="5">
        <v>9</v>
      </c>
      <c r="H635" s="5">
        <v>2</v>
      </c>
      <c r="I635" s="5">
        <v>32.594007962344257</v>
      </c>
      <c r="J635" s="5">
        <v>39</v>
      </c>
      <c r="K635" s="5">
        <v>100</v>
      </c>
      <c r="L635" s="5">
        <v>91</v>
      </c>
      <c r="M635" s="5" t="str">
        <f>_xlfn.SWITCH(recruitment_data3[[#This Row],[RecruitmentStrategy]], 1,"Aggressive", 2,"Moderate", 3,"Conservative")</f>
        <v>Moderate</v>
      </c>
      <c r="N635" s="5">
        <v>2</v>
      </c>
      <c r="O635" s="5" t="str">
        <f>IF(recruitment_data3[[#This Row],[HiringDecision]]=1,"Hired","Rejected")</f>
        <v>Rejected</v>
      </c>
      <c r="P635" s="6">
        <v>0</v>
      </c>
    </row>
    <row r="636" spans="1:16" x14ac:dyDescent="0.25">
      <c r="A636" s="4" t="str">
        <f t="shared" si="9"/>
        <v>C0635</v>
      </c>
      <c r="B636" s="4">
        <v>44</v>
      </c>
      <c r="C636" s="5" t="str">
        <f>IF(recruitment_data3[[#This Row],[Gender]]=1,"Female","Male")</f>
        <v>Female</v>
      </c>
      <c r="D636" s="5">
        <v>1</v>
      </c>
      <c r="E636" s="5" t="str">
        <f>_xlfn.SWITCH(recruitment_data3[[#This Row],[EducationLevel]], 1,"Bachelor Type 1", 2,"Bachelor Type 2", 3,"Masters", 4,"PhD")</f>
        <v>Bachelor Type 2</v>
      </c>
      <c r="F636" s="5">
        <v>2</v>
      </c>
      <c r="G636" s="5">
        <v>11</v>
      </c>
      <c r="H636" s="5">
        <v>4</v>
      </c>
      <c r="I636" s="5">
        <v>27.352507824628184</v>
      </c>
      <c r="J636" s="5">
        <v>27</v>
      </c>
      <c r="K636" s="5">
        <v>30</v>
      </c>
      <c r="L636" s="5">
        <v>30</v>
      </c>
      <c r="M636" s="5" t="str">
        <f>_xlfn.SWITCH(recruitment_data3[[#This Row],[RecruitmentStrategy]], 1,"Aggressive", 2,"Moderate", 3,"Conservative")</f>
        <v>Moderate</v>
      </c>
      <c r="N636" s="5">
        <v>2</v>
      </c>
      <c r="O636" s="5" t="str">
        <f>IF(recruitment_data3[[#This Row],[HiringDecision]]=1,"Hired","Rejected")</f>
        <v>Rejected</v>
      </c>
      <c r="P636" s="6">
        <v>0</v>
      </c>
    </row>
    <row r="637" spans="1:16" x14ac:dyDescent="0.25">
      <c r="A637" s="4" t="str">
        <f t="shared" si="9"/>
        <v>C0636</v>
      </c>
      <c r="B637" s="4">
        <v>48</v>
      </c>
      <c r="C637" s="5" t="str">
        <f>IF(recruitment_data3[[#This Row],[Gender]]=1,"Female","Male")</f>
        <v>Female</v>
      </c>
      <c r="D637" s="5">
        <v>1</v>
      </c>
      <c r="E637" s="5" t="str">
        <f>_xlfn.SWITCH(recruitment_data3[[#This Row],[EducationLevel]], 1,"Bachelor Type 1", 2,"Bachelor Type 2", 3,"Masters", 4,"PhD")</f>
        <v>Bachelor Type 2</v>
      </c>
      <c r="F637" s="5">
        <v>2</v>
      </c>
      <c r="G637" s="5">
        <v>9</v>
      </c>
      <c r="H637" s="5">
        <v>3</v>
      </c>
      <c r="I637" s="5">
        <v>30.126688872036798</v>
      </c>
      <c r="J637" s="5">
        <v>36</v>
      </c>
      <c r="K637" s="5">
        <v>91</v>
      </c>
      <c r="L637" s="5">
        <v>25</v>
      </c>
      <c r="M637" s="5" t="str">
        <f>_xlfn.SWITCH(recruitment_data3[[#This Row],[RecruitmentStrategy]], 1,"Aggressive", 2,"Moderate", 3,"Conservative")</f>
        <v>Moderate</v>
      </c>
      <c r="N637" s="5">
        <v>2</v>
      </c>
      <c r="O637" s="5" t="str">
        <f>IF(recruitment_data3[[#This Row],[HiringDecision]]=1,"Hired","Rejected")</f>
        <v>Rejected</v>
      </c>
      <c r="P637" s="6">
        <v>0</v>
      </c>
    </row>
    <row r="638" spans="1:16" x14ac:dyDescent="0.25">
      <c r="A638" s="4" t="str">
        <f t="shared" si="9"/>
        <v>C0637</v>
      </c>
      <c r="B638" s="4">
        <v>33</v>
      </c>
      <c r="C638" s="5" t="str">
        <f>IF(recruitment_data3[[#This Row],[Gender]]=1,"Female","Male")</f>
        <v>Male</v>
      </c>
      <c r="D638" s="5">
        <v>0</v>
      </c>
      <c r="E638" s="5" t="str">
        <f>_xlfn.SWITCH(recruitment_data3[[#This Row],[EducationLevel]], 1,"Bachelor Type 1", 2,"Bachelor Type 2", 3,"Masters", 4,"PhD")</f>
        <v>Masters</v>
      </c>
      <c r="F638" s="5">
        <v>3</v>
      </c>
      <c r="G638" s="5">
        <v>12</v>
      </c>
      <c r="H638" s="5">
        <v>3</v>
      </c>
      <c r="I638" s="5">
        <v>35.189410044493727</v>
      </c>
      <c r="J638" s="5">
        <v>64</v>
      </c>
      <c r="K638" s="5">
        <v>91</v>
      </c>
      <c r="L638" s="5">
        <v>21</v>
      </c>
      <c r="M638" s="5" t="str">
        <f>_xlfn.SWITCH(recruitment_data3[[#This Row],[RecruitmentStrategy]], 1,"Aggressive", 2,"Moderate", 3,"Conservative")</f>
        <v>Moderate</v>
      </c>
      <c r="N638" s="5">
        <v>2</v>
      </c>
      <c r="O638" s="5" t="str">
        <f>IF(recruitment_data3[[#This Row],[HiringDecision]]=1,"Hired","Rejected")</f>
        <v>Rejected</v>
      </c>
      <c r="P638" s="6">
        <v>0</v>
      </c>
    </row>
    <row r="639" spans="1:16" x14ac:dyDescent="0.25">
      <c r="A639" s="4" t="str">
        <f t="shared" si="9"/>
        <v>C0638</v>
      </c>
      <c r="B639" s="4">
        <v>47</v>
      </c>
      <c r="C639" s="5" t="str">
        <f>IF(recruitment_data3[[#This Row],[Gender]]=1,"Female","Male")</f>
        <v>Female</v>
      </c>
      <c r="D639" s="5">
        <v>1</v>
      </c>
      <c r="E639" s="5" t="str">
        <f>_xlfn.SWITCH(recruitment_data3[[#This Row],[EducationLevel]], 1,"Bachelor Type 1", 2,"Bachelor Type 2", 3,"Masters", 4,"PhD")</f>
        <v>Masters</v>
      </c>
      <c r="F639" s="5">
        <v>3</v>
      </c>
      <c r="G639" s="5">
        <v>12</v>
      </c>
      <c r="H639" s="5">
        <v>3</v>
      </c>
      <c r="I639" s="5">
        <v>38.655942358983708</v>
      </c>
      <c r="J639" s="5">
        <v>73</v>
      </c>
      <c r="K639" s="5">
        <v>29</v>
      </c>
      <c r="L639" s="5">
        <v>20</v>
      </c>
      <c r="M639" s="5" t="str">
        <f>_xlfn.SWITCH(recruitment_data3[[#This Row],[RecruitmentStrategy]], 1,"Aggressive", 2,"Moderate", 3,"Conservative")</f>
        <v>Moderate</v>
      </c>
      <c r="N639" s="5">
        <v>2</v>
      </c>
      <c r="O639" s="5" t="str">
        <f>IF(recruitment_data3[[#This Row],[HiringDecision]]=1,"Hired","Rejected")</f>
        <v>Rejected</v>
      </c>
      <c r="P639" s="6">
        <v>0</v>
      </c>
    </row>
    <row r="640" spans="1:16" x14ac:dyDescent="0.25">
      <c r="A640" s="4" t="str">
        <f t="shared" si="9"/>
        <v>C0639</v>
      </c>
      <c r="B640" s="4">
        <v>24</v>
      </c>
      <c r="C640" s="5" t="str">
        <f>IF(recruitment_data3[[#This Row],[Gender]]=1,"Female","Male")</f>
        <v>Male</v>
      </c>
      <c r="D640" s="5">
        <v>0</v>
      </c>
      <c r="E640" s="5" t="str">
        <f>_xlfn.SWITCH(recruitment_data3[[#This Row],[EducationLevel]], 1,"Bachelor Type 1", 2,"Bachelor Type 2", 3,"Masters", 4,"PhD")</f>
        <v>Masters</v>
      </c>
      <c r="F640" s="5">
        <v>3</v>
      </c>
      <c r="G640" s="5">
        <v>10</v>
      </c>
      <c r="H640" s="5">
        <v>1</v>
      </c>
      <c r="I640" s="5">
        <v>37.372619564306028</v>
      </c>
      <c r="J640" s="5">
        <v>54</v>
      </c>
      <c r="K640" s="5">
        <v>17</v>
      </c>
      <c r="L640" s="5">
        <v>0</v>
      </c>
      <c r="M640" s="5" t="str">
        <f>_xlfn.SWITCH(recruitment_data3[[#This Row],[RecruitmentStrategy]], 1,"Aggressive", 2,"Moderate", 3,"Conservative")</f>
        <v>Conservative</v>
      </c>
      <c r="N640" s="5">
        <v>3</v>
      </c>
      <c r="O640" s="5" t="str">
        <f>IF(recruitment_data3[[#This Row],[HiringDecision]]=1,"Hired","Rejected")</f>
        <v>Rejected</v>
      </c>
      <c r="P640" s="6">
        <v>0</v>
      </c>
    </row>
    <row r="641" spans="1:16" x14ac:dyDescent="0.25">
      <c r="A641" s="4" t="str">
        <f t="shared" si="9"/>
        <v>C0640</v>
      </c>
      <c r="B641" s="4">
        <v>34</v>
      </c>
      <c r="C641" s="5" t="str">
        <f>IF(recruitment_data3[[#This Row],[Gender]]=1,"Female","Male")</f>
        <v>Female</v>
      </c>
      <c r="D641" s="5">
        <v>1</v>
      </c>
      <c r="E641" s="5" t="str">
        <f>_xlfn.SWITCH(recruitment_data3[[#This Row],[EducationLevel]], 1,"Bachelor Type 1", 2,"Bachelor Type 2", 3,"Masters", 4,"PhD")</f>
        <v>Bachelor Type 2</v>
      </c>
      <c r="F641" s="5">
        <v>2</v>
      </c>
      <c r="G641" s="5">
        <v>5</v>
      </c>
      <c r="H641" s="5">
        <v>2</v>
      </c>
      <c r="I641" s="5">
        <v>44.480822886613083</v>
      </c>
      <c r="J641" s="5">
        <v>3</v>
      </c>
      <c r="K641" s="5">
        <v>43</v>
      </c>
      <c r="L641" s="5">
        <v>36</v>
      </c>
      <c r="M641" s="5" t="str">
        <f>_xlfn.SWITCH(recruitment_data3[[#This Row],[RecruitmentStrategy]], 1,"Aggressive", 2,"Moderate", 3,"Conservative")</f>
        <v>Moderate</v>
      </c>
      <c r="N641" s="5">
        <v>2</v>
      </c>
      <c r="O641" s="5" t="str">
        <f>IF(recruitment_data3[[#This Row],[HiringDecision]]=1,"Hired","Rejected")</f>
        <v>Rejected</v>
      </c>
      <c r="P641" s="6">
        <v>0</v>
      </c>
    </row>
    <row r="642" spans="1:16" x14ac:dyDescent="0.25">
      <c r="A642" s="4" t="str">
        <f t="shared" ref="A642:A705" si="10">"C"&amp;TEXT(ROW()-1,"0000")</f>
        <v>C0641</v>
      </c>
      <c r="B642" s="4">
        <v>36</v>
      </c>
      <c r="C642" s="5" t="str">
        <f>IF(recruitment_data3[[#This Row],[Gender]]=1,"Female","Male")</f>
        <v>Male</v>
      </c>
      <c r="D642" s="5">
        <v>0</v>
      </c>
      <c r="E642" s="5" t="str">
        <f>_xlfn.SWITCH(recruitment_data3[[#This Row],[EducationLevel]], 1,"Bachelor Type 1", 2,"Bachelor Type 2", 3,"Masters", 4,"PhD")</f>
        <v>Bachelor Type 1</v>
      </c>
      <c r="F642" s="5">
        <v>1</v>
      </c>
      <c r="G642" s="5">
        <v>15</v>
      </c>
      <c r="H642" s="5">
        <v>4</v>
      </c>
      <c r="I642" s="5">
        <v>10.472171658370138</v>
      </c>
      <c r="J642" s="5">
        <v>98</v>
      </c>
      <c r="K642" s="5">
        <v>26</v>
      </c>
      <c r="L642" s="5">
        <v>76</v>
      </c>
      <c r="M642" s="5" t="str">
        <f>_xlfn.SWITCH(recruitment_data3[[#This Row],[RecruitmentStrategy]], 1,"Aggressive", 2,"Moderate", 3,"Conservative")</f>
        <v>Conservative</v>
      </c>
      <c r="N642" s="5">
        <v>3</v>
      </c>
      <c r="O642" s="5" t="str">
        <f>IF(recruitment_data3[[#This Row],[HiringDecision]]=1,"Hired","Rejected")</f>
        <v>Rejected</v>
      </c>
      <c r="P642" s="6">
        <v>0</v>
      </c>
    </row>
    <row r="643" spans="1:16" x14ac:dyDescent="0.25">
      <c r="A643" s="4" t="str">
        <f t="shared" si="10"/>
        <v>C0642</v>
      </c>
      <c r="B643" s="4">
        <v>49</v>
      </c>
      <c r="C643" s="5" t="str">
        <f>IF(recruitment_data3[[#This Row],[Gender]]=1,"Female","Male")</f>
        <v>Male</v>
      </c>
      <c r="D643" s="5">
        <v>0</v>
      </c>
      <c r="E643" s="5" t="str">
        <f>_xlfn.SWITCH(recruitment_data3[[#This Row],[EducationLevel]], 1,"Bachelor Type 1", 2,"Bachelor Type 2", 3,"Masters", 4,"PhD")</f>
        <v>Masters</v>
      </c>
      <c r="F643" s="5">
        <v>3</v>
      </c>
      <c r="G643" s="5">
        <v>7</v>
      </c>
      <c r="H643" s="5">
        <v>4</v>
      </c>
      <c r="I643" s="5">
        <v>21.057398474589878</v>
      </c>
      <c r="J643" s="5">
        <v>9</v>
      </c>
      <c r="K643" s="5">
        <v>98</v>
      </c>
      <c r="L643" s="5">
        <v>84</v>
      </c>
      <c r="M643" s="5" t="str">
        <f>_xlfn.SWITCH(recruitment_data3[[#This Row],[RecruitmentStrategy]], 1,"Aggressive", 2,"Moderate", 3,"Conservative")</f>
        <v>Moderate</v>
      </c>
      <c r="N643" s="5">
        <v>2</v>
      </c>
      <c r="O643" s="5" t="str">
        <f>IF(recruitment_data3[[#This Row],[HiringDecision]]=1,"Hired","Rejected")</f>
        <v>Hired</v>
      </c>
      <c r="P643" s="6">
        <v>1</v>
      </c>
    </row>
    <row r="644" spans="1:16" x14ac:dyDescent="0.25">
      <c r="A644" s="4" t="str">
        <f t="shared" si="10"/>
        <v>C0643</v>
      </c>
      <c r="B644" s="4">
        <v>33</v>
      </c>
      <c r="C644" s="5" t="str">
        <f>IF(recruitment_data3[[#This Row],[Gender]]=1,"Female","Male")</f>
        <v>Female</v>
      </c>
      <c r="D644" s="5">
        <v>1</v>
      </c>
      <c r="E644" s="5" t="str">
        <f>_xlfn.SWITCH(recruitment_data3[[#This Row],[EducationLevel]], 1,"Bachelor Type 1", 2,"Bachelor Type 2", 3,"Masters", 4,"PhD")</f>
        <v>Bachelor Type 1</v>
      </c>
      <c r="F644" s="5">
        <v>1</v>
      </c>
      <c r="G644" s="5">
        <v>7</v>
      </c>
      <c r="H644" s="5">
        <v>5</v>
      </c>
      <c r="I644" s="5">
        <v>48.389803300722853</v>
      </c>
      <c r="J644" s="5">
        <v>46</v>
      </c>
      <c r="K644" s="5">
        <v>25</v>
      </c>
      <c r="L644" s="5">
        <v>45</v>
      </c>
      <c r="M644" s="5" t="str">
        <f>_xlfn.SWITCH(recruitment_data3[[#This Row],[RecruitmentStrategy]], 1,"Aggressive", 2,"Moderate", 3,"Conservative")</f>
        <v>Moderate</v>
      </c>
      <c r="N644" s="5">
        <v>2</v>
      </c>
      <c r="O644" s="5" t="str">
        <f>IF(recruitment_data3[[#This Row],[HiringDecision]]=1,"Hired","Rejected")</f>
        <v>Rejected</v>
      </c>
      <c r="P644" s="6">
        <v>0</v>
      </c>
    </row>
    <row r="645" spans="1:16" x14ac:dyDescent="0.25">
      <c r="A645" s="4" t="str">
        <f t="shared" si="10"/>
        <v>C0644</v>
      </c>
      <c r="B645" s="4">
        <v>49</v>
      </c>
      <c r="C645" s="5" t="str">
        <f>IF(recruitment_data3[[#This Row],[Gender]]=1,"Female","Male")</f>
        <v>Male</v>
      </c>
      <c r="D645" s="5">
        <v>0</v>
      </c>
      <c r="E645" s="5" t="str">
        <f>_xlfn.SWITCH(recruitment_data3[[#This Row],[EducationLevel]], 1,"Bachelor Type 1", 2,"Bachelor Type 2", 3,"Masters", 4,"PhD")</f>
        <v>Bachelor Type 2</v>
      </c>
      <c r="F645" s="5">
        <v>2</v>
      </c>
      <c r="G645" s="5">
        <v>10</v>
      </c>
      <c r="H645" s="5">
        <v>3</v>
      </c>
      <c r="I645" s="5">
        <v>20.829528719316485</v>
      </c>
      <c r="J645" s="5">
        <v>74</v>
      </c>
      <c r="K645" s="5">
        <v>59</v>
      </c>
      <c r="L645" s="5">
        <v>8</v>
      </c>
      <c r="M645" s="5" t="str">
        <f>_xlfn.SWITCH(recruitment_data3[[#This Row],[RecruitmentStrategy]], 1,"Aggressive", 2,"Moderate", 3,"Conservative")</f>
        <v>Conservative</v>
      </c>
      <c r="N645" s="5">
        <v>3</v>
      </c>
      <c r="O645" s="5" t="str">
        <f>IF(recruitment_data3[[#This Row],[HiringDecision]]=1,"Hired","Rejected")</f>
        <v>Rejected</v>
      </c>
      <c r="P645" s="6">
        <v>0</v>
      </c>
    </row>
    <row r="646" spans="1:16" x14ac:dyDescent="0.25">
      <c r="A646" s="4" t="str">
        <f t="shared" si="10"/>
        <v>C0645</v>
      </c>
      <c r="B646" s="4">
        <v>39</v>
      </c>
      <c r="C646" s="5" t="str">
        <f>IF(recruitment_data3[[#This Row],[Gender]]=1,"Female","Male")</f>
        <v>Female</v>
      </c>
      <c r="D646" s="5">
        <v>1</v>
      </c>
      <c r="E646" s="5" t="str">
        <f>_xlfn.SWITCH(recruitment_data3[[#This Row],[EducationLevel]], 1,"Bachelor Type 1", 2,"Bachelor Type 2", 3,"Masters", 4,"PhD")</f>
        <v>Bachelor Type 1</v>
      </c>
      <c r="F646" s="5">
        <v>1</v>
      </c>
      <c r="G646" s="5">
        <v>8</v>
      </c>
      <c r="H646" s="5">
        <v>3</v>
      </c>
      <c r="I646" s="5">
        <v>7.2435038452961331</v>
      </c>
      <c r="J646" s="5">
        <v>13</v>
      </c>
      <c r="K646" s="5">
        <v>17</v>
      </c>
      <c r="L646" s="5">
        <v>16</v>
      </c>
      <c r="M646" s="5" t="str">
        <f>_xlfn.SWITCH(recruitment_data3[[#This Row],[RecruitmentStrategy]], 1,"Aggressive", 2,"Moderate", 3,"Conservative")</f>
        <v>Aggressive</v>
      </c>
      <c r="N646" s="5">
        <v>1</v>
      </c>
      <c r="O646" s="5" t="str">
        <f>IF(recruitment_data3[[#This Row],[HiringDecision]]=1,"Hired","Rejected")</f>
        <v>Rejected</v>
      </c>
      <c r="P646" s="6">
        <v>0</v>
      </c>
    </row>
    <row r="647" spans="1:16" x14ac:dyDescent="0.25">
      <c r="A647" s="4" t="str">
        <f t="shared" si="10"/>
        <v>C0646</v>
      </c>
      <c r="B647" s="4">
        <v>24</v>
      </c>
      <c r="C647" s="5" t="str">
        <f>IF(recruitment_data3[[#This Row],[Gender]]=1,"Female","Male")</f>
        <v>Female</v>
      </c>
      <c r="D647" s="5">
        <v>1</v>
      </c>
      <c r="E647" s="5" t="str">
        <f>_xlfn.SWITCH(recruitment_data3[[#This Row],[EducationLevel]], 1,"Bachelor Type 1", 2,"Bachelor Type 2", 3,"Masters", 4,"PhD")</f>
        <v>Bachelor Type 2</v>
      </c>
      <c r="F647" s="5">
        <v>2</v>
      </c>
      <c r="G647" s="5">
        <v>7</v>
      </c>
      <c r="H647" s="5">
        <v>3</v>
      </c>
      <c r="I647" s="5">
        <v>27.272256318108976</v>
      </c>
      <c r="J647" s="5">
        <v>37</v>
      </c>
      <c r="K647" s="5">
        <v>96</v>
      </c>
      <c r="L647" s="5">
        <v>46</v>
      </c>
      <c r="M647" s="5" t="str">
        <f>_xlfn.SWITCH(recruitment_data3[[#This Row],[RecruitmentStrategy]], 1,"Aggressive", 2,"Moderate", 3,"Conservative")</f>
        <v>Moderate</v>
      </c>
      <c r="N647" s="5">
        <v>2</v>
      </c>
      <c r="O647" s="5" t="str">
        <f>IF(recruitment_data3[[#This Row],[HiringDecision]]=1,"Hired","Rejected")</f>
        <v>Rejected</v>
      </c>
      <c r="P647" s="6">
        <v>0</v>
      </c>
    </row>
    <row r="648" spans="1:16" x14ac:dyDescent="0.25">
      <c r="A648" s="4" t="str">
        <f t="shared" si="10"/>
        <v>C0647</v>
      </c>
      <c r="B648" s="4">
        <v>31</v>
      </c>
      <c r="C648" s="5" t="str">
        <f>IF(recruitment_data3[[#This Row],[Gender]]=1,"Female","Male")</f>
        <v>Male</v>
      </c>
      <c r="D648" s="5">
        <v>0</v>
      </c>
      <c r="E648" s="5" t="str">
        <f>_xlfn.SWITCH(recruitment_data3[[#This Row],[EducationLevel]], 1,"Bachelor Type 1", 2,"Bachelor Type 2", 3,"Masters", 4,"PhD")</f>
        <v>Bachelor Type 1</v>
      </c>
      <c r="F648" s="5">
        <v>1</v>
      </c>
      <c r="G648" s="5">
        <v>12</v>
      </c>
      <c r="H648" s="5">
        <v>4</v>
      </c>
      <c r="I648" s="5">
        <v>6.4745486277231077</v>
      </c>
      <c r="J648" s="5">
        <v>11</v>
      </c>
      <c r="K648" s="5">
        <v>88</v>
      </c>
      <c r="L648" s="5">
        <v>84</v>
      </c>
      <c r="M648" s="5" t="str">
        <f>_xlfn.SWITCH(recruitment_data3[[#This Row],[RecruitmentStrategy]], 1,"Aggressive", 2,"Moderate", 3,"Conservative")</f>
        <v>Moderate</v>
      </c>
      <c r="N648" s="5">
        <v>2</v>
      </c>
      <c r="O648" s="5" t="str">
        <f>IF(recruitment_data3[[#This Row],[HiringDecision]]=1,"Hired","Rejected")</f>
        <v>Rejected</v>
      </c>
      <c r="P648" s="6">
        <v>0</v>
      </c>
    </row>
    <row r="649" spans="1:16" x14ac:dyDescent="0.25">
      <c r="A649" s="4" t="str">
        <f t="shared" si="10"/>
        <v>C0648</v>
      </c>
      <c r="B649" s="4">
        <v>35</v>
      </c>
      <c r="C649" s="5" t="str">
        <f>IF(recruitment_data3[[#This Row],[Gender]]=1,"Female","Male")</f>
        <v>Male</v>
      </c>
      <c r="D649" s="5">
        <v>0</v>
      </c>
      <c r="E649" s="5" t="str">
        <f>_xlfn.SWITCH(recruitment_data3[[#This Row],[EducationLevel]], 1,"Bachelor Type 1", 2,"Bachelor Type 2", 3,"Masters", 4,"PhD")</f>
        <v>Bachelor Type 2</v>
      </c>
      <c r="F649" s="5">
        <v>2</v>
      </c>
      <c r="G649" s="5">
        <v>10</v>
      </c>
      <c r="H649" s="5">
        <v>5</v>
      </c>
      <c r="I649" s="5">
        <v>11.14266193639326</v>
      </c>
      <c r="J649" s="5">
        <v>44</v>
      </c>
      <c r="K649" s="5">
        <v>55</v>
      </c>
      <c r="L649" s="5">
        <v>94</v>
      </c>
      <c r="M649" s="5" t="str">
        <f>_xlfn.SWITCH(recruitment_data3[[#This Row],[RecruitmentStrategy]], 1,"Aggressive", 2,"Moderate", 3,"Conservative")</f>
        <v>Moderate</v>
      </c>
      <c r="N649" s="5">
        <v>2</v>
      </c>
      <c r="O649" s="5" t="str">
        <f>IF(recruitment_data3[[#This Row],[HiringDecision]]=1,"Hired","Rejected")</f>
        <v>Rejected</v>
      </c>
      <c r="P649" s="6">
        <v>0</v>
      </c>
    </row>
    <row r="650" spans="1:16" x14ac:dyDescent="0.25">
      <c r="A650" s="4" t="str">
        <f t="shared" si="10"/>
        <v>C0649</v>
      </c>
      <c r="B650" s="4">
        <v>45</v>
      </c>
      <c r="C650" s="5" t="str">
        <f>IF(recruitment_data3[[#This Row],[Gender]]=1,"Female","Male")</f>
        <v>Female</v>
      </c>
      <c r="D650" s="5">
        <v>1</v>
      </c>
      <c r="E650" s="5" t="str">
        <f>_xlfn.SWITCH(recruitment_data3[[#This Row],[EducationLevel]], 1,"Bachelor Type 1", 2,"Bachelor Type 2", 3,"Masters", 4,"PhD")</f>
        <v>PhD</v>
      </c>
      <c r="F650" s="5">
        <v>4</v>
      </c>
      <c r="G650" s="5">
        <v>1</v>
      </c>
      <c r="H650" s="5">
        <v>1</v>
      </c>
      <c r="I650" s="5">
        <v>50.915937828547833</v>
      </c>
      <c r="J650" s="5">
        <v>16</v>
      </c>
      <c r="K650" s="5">
        <v>30</v>
      </c>
      <c r="L650" s="5">
        <v>58</v>
      </c>
      <c r="M650" s="5" t="str">
        <f>_xlfn.SWITCH(recruitment_data3[[#This Row],[RecruitmentStrategy]], 1,"Aggressive", 2,"Moderate", 3,"Conservative")</f>
        <v>Aggressive</v>
      </c>
      <c r="N650" s="5">
        <v>1</v>
      </c>
      <c r="O650" s="5" t="str">
        <f>IF(recruitment_data3[[#This Row],[HiringDecision]]=1,"Hired","Rejected")</f>
        <v>Rejected</v>
      </c>
      <c r="P650" s="6">
        <v>0</v>
      </c>
    </row>
    <row r="651" spans="1:16" x14ac:dyDescent="0.25">
      <c r="A651" s="4" t="str">
        <f t="shared" si="10"/>
        <v>C0650</v>
      </c>
      <c r="B651" s="4">
        <v>45</v>
      </c>
      <c r="C651" s="5" t="str">
        <f>IF(recruitment_data3[[#This Row],[Gender]]=1,"Female","Male")</f>
        <v>Male</v>
      </c>
      <c r="D651" s="5">
        <v>0</v>
      </c>
      <c r="E651" s="5" t="str">
        <f>_xlfn.SWITCH(recruitment_data3[[#This Row],[EducationLevel]], 1,"Bachelor Type 1", 2,"Bachelor Type 2", 3,"Masters", 4,"PhD")</f>
        <v>Bachelor Type 1</v>
      </c>
      <c r="F651" s="5">
        <v>1</v>
      </c>
      <c r="G651" s="5">
        <v>13</v>
      </c>
      <c r="H651" s="5">
        <v>2</v>
      </c>
      <c r="I651" s="5">
        <v>28.0681319198066</v>
      </c>
      <c r="J651" s="5">
        <v>79</v>
      </c>
      <c r="K651" s="5">
        <v>100</v>
      </c>
      <c r="L651" s="5">
        <v>53</v>
      </c>
      <c r="M651" s="5" t="str">
        <f>_xlfn.SWITCH(recruitment_data3[[#This Row],[RecruitmentStrategy]], 1,"Aggressive", 2,"Moderate", 3,"Conservative")</f>
        <v>Moderate</v>
      </c>
      <c r="N651" s="5">
        <v>2</v>
      </c>
      <c r="O651" s="5" t="str">
        <f>IF(recruitment_data3[[#This Row],[HiringDecision]]=1,"Hired","Rejected")</f>
        <v>Rejected</v>
      </c>
      <c r="P651" s="6">
        <v>0</v>
      </c>
    </row>
    <row r="652" spans="1:16" x14ac:dyDescent="0.25">
      <c r="A652" s="4" t="str">
        <f t="shared" si="10"/>
        <v>C0651</v>
      </c>
      <c r="B652" s="4">
        <v>35</v>
      </c>
      <c r="C652" s="5" t="str">
        <f>IF(recruitment_data3[[#This Row],[Gender]]=1,"Female","Male")</f>
        <v>Male</v>
      </c>
      <c r="D652" s="5">
        <v>0</v>
      </c>
      <c r="E652" s="5" t="str">
        <f>_xlfn.SWITCH(recruitment_data3[[#This Row],[EducationLevel]], 1,"Bachelor Type 1", 2,"Bachelor Type 2", 3,"Masters", 4,"PhD")</f>
        <v>Bachelor Type 1</v>
      </c>
      <c r="F652" s="5">
        <v>1</v>
      </c>
      <c r="G652" s="5">
        <v>13</v>
      </c>
      <c r="H652" s="5">
        <v>1</v>
      </c>
      <c r="I652" s="5">
        <v>15.202919452021451</v>
      </c>
      <c r="J652" s="5">
        <v>34</v>
      </c>
      <c r="K652" s="5">
        <v>58</v>
      </c>
      <c r="L652" s="5">
        <v>85</v>
      </c>
      <c r="M652" s="5" t="str">
        <f>_xlfn.SWITCH(recruitment_data3[[#This Row],[RecruitmentStrategy]], 1,"Aggressive", 2,"Moderate", 3,"Conservative")</f>
        <v>Moderate</v>
      </c>
      <c r="N652" s="5">
        <v>2</v>
      </c>
      <c r="O652" s="5" t="str">
        <f>IF(recruitment_data3[[#This Row],[HiringDecision]]=1,"Hired","Rejected")</f>
        <v>Rejected</v>
      </c>
      <c r="P652" s="6">
        <v>0</v>
      </c>
    </row>
    <row r="653" spans="1:16" x14ac:dyDescent="0.25">
      <c r="A653" s="4" t="str">
        <f t="shared" si="10"/>
        <v>C0652</v>
      </c>
      <c r="B653" s="4">
        <v>40</v>
      </c>
      <c r="C653" s="5" t="str">
        <f>IF(recruitment_data3[[#This Row],[Gender]]=1,"Female","Male")</f>
        <v>Male</v>
      </c>
      <c r="D653" s="5">
        <v>0</v>
      </c>
      <c r="E653" s="5" t="str">
        <f>_xlfn.SWITCH(recruitment_data3[[#This Row],[EducationLevel]], 1,"Bachelor Type 1", 2,"Bachelor Type 2", 3,"Masters", 4,"PhD")</f>
        <v>Bachelor Type 2</v>
      </c>
      <c r="F653" s="5">
        <v>2</v>
      </c>
      <c r="G653" s="5">
        <v>11</v>
      </c>
      <c r="H653" s="5">
        <v>4</v>
      </c>
      <c r="I653" s="5">
        <v>50.738747728695301</v>
      </c>
      <c r="J653" s="5">
        <v>65</v>
      </c>
      <c r="K653" s="5">
        <v>1</v>
      </c>
      <c r="L653" s="5">
        <v>11</v>
      </c>
      <c r="M653" s="5" t="str">
        <f>_xlfn.SWITCH(recruitment_data3[[#This Row],[RecruitmentStrategy]], 1,"Aggressive", 2,"Moderate", 3,"Conservative")</f>
        <v>Moderate</v>
      </c>
      <c r="N653" s="5">
        <v>2</v>
      </c>
      <c r="O653" s="5" t="str">
        <f>IF(recruitment_data3[[#This Row],[HiringDecision]]=1,"Hired","Rejected")</f>
        <v>Rejected</v>
      </c>
      <c r="P653" s="6">
        <v>0</v>
      </c>
    </row>
    <row r="654" spans="1:16" x14ac:dyDescent="0.25">
      <c r="A654" s="4" t="str">
        <f t="shared" si="10"/>
        <v>C0653</v>
      </c>
      <c r="B654" s="4">
        <v>26</v>
      </c>
      <c r="C654" s="5" t="str">
        <f>IF(recruitment_data3[[#This Row],[Gender]]=1,"Female","Male")</f>
        <v>Male</v>
      </c>
      <c r="D654" s="5">
        <v>0</v>
      </c>
      <c r="E654" s="5" t="str">
        <f>_xlfn.SWITCH(recruitment_data3[[#This Row],[EducationLevel]], 1,"Bachelor Type 1", 2,"Bachelor Type 2", 3,"Masters", 4,"PhD")</f>
        <v>Masters</v>
      </c>
      <c r="F654" s="5">
        <v>3</v>
      </c>
      <c r="G654" s="5">
        <v>9</v>
      </c>
      <c r="H654" s="5">
        <v>3</v>
      </c>
      <c r="I654" s="5">
        <v>49.327945927757163</v>
      </c>
      <c r="J654" s="5">
        <v>74</v>
      </c>
      <c r="K654" s="5">
        <v>96</v>
      </c>
      <c r="L654" s="5">
        <v>63</v>
      </c>
      <c r="M654" s="5" t="str">
        <f>_xlfn.SWITCH(recruitment_data3[[#This Row],[RecruitmentStrategy]], 1,"Aggressive", 2,"Moderate", 3,"Conservative")</f>
        <v>Conservative</v>
      </c>
      <c r="N654" s="5">
        <v>3</v>
      </c>
      <c r="O654" s="5" t="str">
        <f>IF(recruitment_data3[[#This Row],[HiringDecision]]=1,"Hired","Rejected")</f>
        <v>Hired</v>
      </c>
      <c r="P654" s="6">
        <v>1</v>
      </c>
    </row>
    <row r="655" spans="1:16" x14ac:dyDescent="0.25">
      <c r="A655" s="4" t="str">
        <f t="shared" si="10"/>
        <v>C0654</v>
      </c>
      <c r="B655" s="4">
        <v>23</v>
      </c>
      <c r="C655" s="5" t="str">
        <f>IF(recruitment_data3[[#This Row],[Gender]]=1,"Female","Male")</f>
        <v>Male</v>
      </c>
      <c r="D655" s="5">
        <v>0</v>
      </c>
      <c r="E655" s="5" t="str">
        <f>_xlfn.SWITCH(recruitment_data3[[#This Row],[EducationLevel]], 1,"Bachelor Type 1", 2,"Bachelor Type 2", 3,"Masters", 4,"PhD")</f>
        <v>Bachelor Type 2</v>
      </c>
      <c r="F655" s="5">
        <v>2</v>
      </c>
      <c r="G655" s="5">
        <v>11</v>
      </c>
      <c r="H655" s="5">
        <v>2</v>
      </c>
      <c r="I655" s="5">
        <v>23.036952054213177</v>
      </c>
      <c r="J655" s="5">
        <v>40</v>
      </c>
      <c r="K655" s="5">
        <v>38</v>
      </c>
      <c r="L655" s="5">
        <v>5</v>
      </c>
      <c r="M655" s="5" t="str">
        <f>_xlfn.SWITCH(recruitment_data3[[#This Row],[RecruitmentStrategy]], 1,"Aggressive", 2,"Moderate", 3,"Conservative")</f>
        <v>Conservative</v>
      </c>
      <c r="N655" s="5">
        <v>3</v>
      </c>
      <c r="O655" s="5" t="str">
        <f>IF(recruitment_data3[[#This Row],[HiringDecision]]=1,"Hired","Rejected")</f>
        <v>Rejected</v>
      </c>
      <c r="P655" s="6">
        <v>0</v>
      </c>
    </row>
    <row r="656" spans="1:16" x14ac:dyDescent="0.25">
      <c r="A656" s="4" t="str">
        <f t="shared" si="10"/>
        <v>C0655</v>
      </c>
      <c r="B656" s="4">
        <v>20</v>
      </c>
      <c r="C656" s="5" t="str">
        <f>IF(recruitment_data3[[#This Row],[Gender]]=1,"Female","Male")</f>
        <v>Female</v>
      </c>
      <c r="D656" s="5">
        <v>1</v>
      </c>
      <c r="E656" s="5" t="str">
        <f>_xlfn.SWITCH(recruitment_data3[[#This Row],[EducationLevel]], 1,"Bachelor Type 1", 2,"Bachelor Type 2", 3,"Masters", 4,"PhD")</f>
        <v>Bachelor Type 2</v>
      </c>
      <c r="F656" s="5">
        <v>2</v>
      </c>
      <c r="G656" s="5">
        <v>10</v>
      </c>
      <c r="H656" s="5">
        <v>4</v>
      </c>
      <c r="I656" s="5">
        <v>14.02015543939542</v>
      </c>
      <c r="J656" s="5">
        <v>66</v>
      </c>
      <c r="K656" s="5">
        <v>60</v>
      </c>
      <c r="L656" s="5">
        <v>52</v>
      </c>
      <c r="M656" s="5" t="str">
        <f>_xlfn.SWITCH(recruitment_data3[[#This Row],[RecruitmentStrategy]], 1,"Aggressive", 2,"Moderate", 3,"Conservative")</f>
        <v>Moderate</v>
      </c>
      <c r="N656" s="5">
        <v>2</v>
      </c>
      <c r="O656" s="5" t="str">
        <f>IF(recruitment_data3[[#This Row],[HiringDecision]]=1,"Hired","Rejected")</f>
        <v>Rejected</v>
      </c>
      <c r="P656" s="6">
        <v>0</v>
      </c>
    </row>
    <row r="657" spans="1:16" x14ac:dyDescent="0.25">
      <c r="A657" s="4" t="str">
        <f t="shared" si="10"/>
        <v>C0656</v>
      </c>
      <c r="B657" s="4">
        <v>49</v>
      </c>
      <c r="C657" s="5" t="str">
        <f>IF(recruitment_data3[[#This Row],[Gender]]=1,"Female","Male")</f>
        <v>Female</v>
      </c>
      <c r="D657" s="5">
        <v>1</v>
      </c>
      <c r="E657" s="5" t="str">
        <f>_xlfn.SWITCH(recruitment_data3[[#This Row],[EducationLevel]], 1,"Bachelor Type 1", 2,"Bachelor Type 2", 3,"Masters", 4,"PhD")</f>
        <v>Bachelor Type 1</v>
      </c>
      <c r="F657" s="5">
        <v>1</v>
      </c>
      <c r="G657" s="5">
        <v>14</v>
      </c>
      <c r="H657" s="5">
        <v>4</v>
      </c>
      <c r="I657" s="5">
        <v>42.9199819046095</v>
      </c>
      <c r="J657" s="5">
        <v>28</v>
      </c>
      <c r="K657" s="5">
        <v>62</v>
      </c>
      <c r="L657" s="5">
        <v>15</v>
      </c>
      <c r="M657" s="5" t="str">
        <f>_xlfn.SWITCH(recruitment_data3[[#This Row],[RecruitmentStrategy]], 1,"Aggressive", 2,"Moderate", 3,"Conservative")</f>
        <v>Conservative</v>
      </c>
      <c r="N657" s="5">
        <v>3</v>
      </c>
      <c r="O657" s="5" t="str">
        <f>IF(recruitment_data3[[#This Row],[HiringDecision]]=1,"Hired","Rejected")</f>
        <v>Rejected</v>
      </c>
      <c r="P657" s="6">
        <v>0</v>
      </c>
    </row>
    <row r="658" spans="1:16" x14ac:dyDescent="0.25">
      <c r="A658" s="4" t="str">
        <f t="shared" si="10"/>
        <v>C0657</v>
      </c>
      <c r="B658" s="4">
        <v>49</v>
      </c>
      <c r="C658" s="5" t="str">
        <f>IF(recruitment_data3[[#This Row],[Gender]]=1,"Female","Male")</f>
        <v>Male</v>
      </c>
      <c r="D658" s="5">
        <v>0</v>
      </c>
      <c r="E658" s="5" t="str">
        <f>_xlfn.SWITCH(recruitment_data3[[#This Row],[EducationLevel]], 1,"Bachelor Type 1", 2,"Bachelor Type 2", 3,"Masters", 4,"PhD")</f>
        <v>Masters</v>
      </c>
      <c r="F658" s="5">
        <v>3</v>
      </c>
      <c r="G658" s="5">
        <v>15</v>
      </c>
      <c r="H658" s="5">
        <v>4</v>
      </c>
      <c r="I658" s="5">
        <v>36.781035848589291</v>
      </c>
      <c r="J658" s="5">
        <v>17</v>
      </c>
      <c r="K658" s="5">
        <v>95</v>
      </c>
      <c r="L658" s="5">
        <v>89</v>
      </c>
      <c r="M658" s="5" t="str">
        <f>_xlfn.SWITCH(recruitment_data3[[#This Row],[RecruitmentStrategy]], 1,"Aggressive", 2,"Moderate", 3,"Conservative")</f>
        <v>Moderate</v>
      </c>
      <c r="N658" s="5">
        <v>2</v>
      </c>
      <c r="O658" s="5" t="str">
        <f>IF(recruitment_data3[[#This Row],[HiringDecision]]=1,"Hired","Rejected")</f>
        <v>Hired</v>
      </c>
      <c r="P658" s="6">
        <v>1</v>
      </c>
    </row>
    <row r="659" spans="1:16" x14ac:dyDescent="0.25">
      <c r="A659" s="4" t="str">
        <f t="shared" si="10"/>
        <v>C0658</v>
      </c>
      <c r="B659" s="4">
        <v>24</v>
      </c>
      <c r="C659" s="5" t="str">
        <f>IF(recruitment_data3[[#This Row],[Gender]]=1,"Female","Male")</f>
        <v>Male</v>
      </c>
      <c r="D659" s="5">
        <v>0</v>
      </c>
      <c r="E659" s="5" t="str">
        <f>_xlfn.SWITCH(recruitment_data3[[#This Row],[EducationLevel]], 1,"Bachelor Type 1", 2,"Bachelor Type 2", 3,"Masters", 4,"PhD")</f>
        <v>Bachelor Type 2</v>
      </c>
      <c r="F659" s="5">
        <v>2</v>
      </c>
      <c r="G659" s="5">
        <v>0</v>
      </c>
      <c r="H659" s="5">
        <v>2</v>
      </c>
      <c r="I659" s="5">
        <v>35.347071750175516</v>
      </c>
      <c r="J659" s="5">
        <v>19</v>
      </c>
      <c r="K659" s="5">
        <v>17</v>
      </c>
      <c r="L659" s="5">
        <v>4</v>
      </c>
      <c r="M659" s="5" t="str">
        <f>_xlfn.SWITCH(recruitment_data3[[#This Row],[RecruitmentStrategy]], 1,"Aggressive", 2,"Moderate", 3,"Conservative")</f>
        <v>Moderate</v>
      </c>
      <c r="N659" s="5">
        <v>2</v>
      </c>
      <c r="O659" s="5" t="str">
        <f>IF(recruitment_data3[[#This Row],[HiringDecision]]=1,"Hired","Rejected")</f>
        <v>Rejected</v>
      </c>
      <c r="P659" s="6">
        <v>0</v>
      </c>
    </row>
    <row r="660" spans="1:16" x14ac:dyDescent="0.25">
      <c r="A660" s="4" t="str">
        <f t="shared" si="10"/>
        <v>C0659</v>
      </c>
      <c r="B660" s="4">
        <v>42</v>
      </c>
      <c r="C660" s="5" t="str">
        <f>IF(recruitment_data3[[#This Row],[Gender]]=1,"Female","Male")</f>
        <v>Male</v>
      </c>
      <c r="D660" s="5">
        <v>0</v>
      </c>
      <c r="E660" s="5" t="str">
        <f>_xlfn.SWITCH(recruitment_data3[[#This Row],[EducationLevel]], 1,"Bachelor Type 1", 2,"Bachelor Type 2", 3,"Masters", 4,"PhD")</f>
        <v>Masters</v>
      </c>
      <c r="F660" s="5">
        <v>3</v>
      </c>
      <c r="G660" s="5">
        <v>9</v>
      </c>
      <c r="H660" s="5">
        <v>2</v>
      </c>
      <c r="I660" s="5">
        <v>45.655687066123626</v>
      </c>
      <c r="J660" s="5">
        <v>13</v>
      </c>
      <c r="K660" s="5">
        <v>16</v>
      </c>
      <c r="L660" s="5">
        <v>72</v>
      </c>
      <c r="M660" s="5" t="str">
        <f>_xlfn.SWITCH(recruitment_data3[[#This Row],[RecruitmentStrategy]], 1,"Aggressive", 2,"Moderate", 3,"Conservative")</f>
        <v>Moderate</v>
      </c>
      <c r="N660" s="5">
        <v>2</v>
      </c>
      <c r="O660" s="5" t="str">
        <f>IF(recruitment_data3[[#This Row],[HiringDecision]]=1,"Hired","Rejected")</f>
        <v>Rejected</v>
      </c>
      <c r="P660" s="6">
        <v>0</v>
      </c>
    </row>
    <row r="661" spans="1:16" x14ac:dyDescent="0.25">
      <c r="A661" s="4" t="str">
        <f t="shared" si="10"/>
        <v>C0660</v>
      </c>
      <c r="B661" s="4">
        <v>45</v>
      </c>
      <c r="C661" s="5" t="str">
        <f>IF(recruitment_data3[[#This Row],[Gender]]=1,"Female","Male")</f>
        <v>Female</v>
      </c>
      <c r="D661" s="5">
        <v>1</v>
      </c>
      <c r="E661" s="5" t="str">
        <f>_xlfn.SWITCH(recruitment_data3[[#This Row],[EducationLevel]], 1,"Bachelor Type 1", 2,"Bachelor Type 2", 3,"Masters", 4,"PhD")</f>
        <v>PhD</v>
      </c>
      <c r="F661" s="5">
        <v>4</v>
      </c>
      <c r="G661" s="5">
        <v>1</v>
      </c>
      <c r="H661" s="5">
        <v>5</v>
      </c>
      <c r="I661" s="5">
        <v>35.470856693566233</v>
      </c>
      <c r="J661" s="5">
        <v>33</v>
      </c>
      <c r="K661" s="5">
        <v>97</v>
      </c>
      <c r="L661" s="5">
        <v>45</v>
      </c>
      <c r="M661" s="5" t="str">
        <f>_xlfn.SWITCH(recruitment_data3[[#This Row],[RecruitmentStrategy]], 1,"Aggressive", 2,"Moderate", 3,"Conservative")</f>
        <v>Moderate</v>
      </c>
      <c r="N661" s="5">
        <v>2</v>
      </c>
      <c r="O661" s="5" t="str">
        <f>IF(recruitment_data3[[#This Row],[HiringDecision]]=1,"Hired","Rejected")</f>
        <v>Rejected</v>
      </c>
      <c r="P661" s="6">
        <v>0</v>
      </c>
    </row>
    <row r="662" spans="1:16" x14ac:dyDescent="0.25">
      <c r="A662" s="4" t="str">
        <f t="shared" si="10"/>
        <v>C0661</v>
      </c>
      <c r="B662" s="4">
        <v>29</v>
      </c>
      <c r="C662" s="5" t="str">
        <f>IF(recruitment_data3[[#This Row],[Gender]]=1,"Female","Male")</f>
        <v>Male</v>
      </c>
      <c r="D662" s="5">
        <v>0</v>
      </c>
      <c r="E662" s="5" t="str">
        <f>_xlfn.SWITCH(recruitment_data3[[#This Row],[EducationLevel]], 1,"Bachelor Type 1", 2,"Bachelor Type 2", 3,"Masters", 4,"PhD")</f>
        <v>Bachelor Type 2</v>
      </c>
      <c r="F662" s="5">
        <v>2</v>
      </c>
      <c r="G662" s="5">
        <v>1</v>
      </c>
      <c r="H662" s="5">
        <v>5</v>
      </c>
      <c r="I662" s="5">
        <v>15.189897152077457</v>
      </c>
      <c r="J662" s="5">
        <v>48</v>
      </c>
      <c r="K662" s="5">
        <v>38</v>
      </c>
      <c r="L662" s="5">
        <v>13</v>
      </c>
      <c r="M662" s="5" t="str">
        <f>_xlfn.SWITCH(recruitment_data3[[#This Row],[RecruitmentStrategy]], 1,"Aggressive", 2,"Moderate", 3,"Conservative")</f>
        <v>Aggressive</v>
      </c>
      <c r="N662" s="5">
        <v>1</v>
      </c>
      <c r="O662" s="5" t="str">
        <f>IF(recruitment_data3[[#This Row],[HiringDecision]]=1,"Hired","Rejected")</f>
        <v>Rejected</v>
      </c>
      <c r="P662" s="6">
        <v>0</v>
      </c>
    </row>
    <row r="663" spans="1:16" x14ac:dyDescent="0.25">
      <c r="A663" s="4" t="str">
        <f t="shared" si="10"/>
        <v>C0662</v>
      </c>
      <c r="B663" s="4">
        <v>41</v>
      </c>
      <c r="C663" s="5" t="str">
        <f>IF(recruitment_data3[[#This Row],[Gender]]=1,"Female","Male")</f>
        <v>Female</v>
      </c>
      <c r="D663" s="5">
        <v>1</v>
      </c>
      <c r="E663" s="5" t="str">
        <f>_xlfn.SWITCH(recruitment_data3[[#This Row],[EducationLevel]], 1,"Bachelor Type 1", 2,"Bachelor Type 2", 3,"Masters", 4,"PhD")</f>
        <v>Masters</v>
      </c>
      <c r="F663" s="5">
        <v>3</v>
      </c>
      <c r="G663" s="5">
        <v>11</v>
      </c>
      <c r="H663" s="5">
        <v>1</v>
      </c>
      <c r="I663" s="5">
        <v>35.693158093786614</v>
      </c>
      <c r="J663" s="5">
        <v>53</v>
      </c>
      <c r="K663" s="5">
        <v>70</v>
      </c>
      <c r="L663" s="5">
        <v>43</v>
      </c>
      <c r="M663" s="5" t="str">
        <f>_xlfn.SWITCH(recruitment_data3[[#This Row],[RecruitmentStrategy]], 1,"Aggressive", 2,"Moderate", 3,"Conservative")</f>
        <v>Moderate</v>
      </c>
      <c r="N663" s="5">
        <v>2</v>
      </c>
      <c r="O663" s="5" t="str">
        <f>IF(recruitment_data3[[#This Row],[HiringDecision]]=1,"Hired","Rejected")</f>
        <v>Rejected</v>
      </c>
      <c r="P663" s="6">
        <v>0</v>
      </c>
    </row>
    <row r="664" spans="1:16" x14ac:dyDescent="0.25">
      <c r="A664" s="4" t="str">
        <f t="shared" si="10"/>
        <v>C0663</v>
      </c>
      <c r="B664" s="4">
        <v>24</v>
      </c>
      <c r="C664" s="5" t="str">
        <f>IF(recruitment_data3[[#This Row],[Gender]]=1,"Female","Male")</f>
        <v>Female</v>
      </c>
      <c r="D664" s="5">
        <v>1</v>
      </c>
      <c r="E664" s="5" t="str">
        <f>_xlfn.SWITCH(recruitment_data3[[#This Row],[EducationLevel]], 1,"Bachelor Type 1", 2,"Bachelor Type 2", 3,"Masters", 4,"PhD")</f>
        <v>Bachelor Type 1</v>
      </c>
      <c r="F664" s="5">
        <v>1</v>
      </c>
      <c r="G664" s="5">
        <v>2</v>
      </c>
      <c r="H664" s="5">
        <v>2</v>
      </c>
      <c r="I664" s="5">
        <v>16.290675564183196</v>
      </c>
      <c r="J664" s="5">
        <v>30</v>
      </c>
      <c r="K664" s="5">
        <v>53</v>
      </c>
      <c r="L664" s="5">
        <v>62</v>
      </c>
      <c r="M664" s="5" t="str">
        <f>_xlfn.SWITCH(recruitment_data3[[#This Row],[RecruitmentStrategy]], 1,"Aggressive", 2,"Moderate", 3,"Conservative")</f>
        <v>Moderate</v>
      </c>
      <c r="N664" s="5">
        <v>2</v>
      </c>
      <c r="O664" s="5" t="str">
        <f>IF(recruitment_data3[[#This Row],[HiringDecision]]=1,"Hired","Rejected")</f>
        <v>Rejected</v>
      </c>
      <c r="P664" s="6">
        <v>0</v>
      </c>
    </row>
    <row r="665" spans="1:16" x14ac:dyDescent="0.25">
      <c r="A665" s="4" t="str">
        <f t="shared" si="10"/>
        <v>C0664</v>
      </c>
      <c r="B665" s="4">
        <v>23</v>
      </c>
      <c r="C665" s="5" t="str">
        <f>IF(recruitment_data3[[#This Row],[Gender]]=1,"Female","Male")</f>
        <v>Female</v>
      </c>
      <c r="D665" s="5">
        <v>1</v>
      </c>
      <c r="E665" s="5" t="str">
        <f>_xlfn.SWITCH(recruitment_data3[[#This Row],[EducationLevel]], 1,"Bachelor Type 1", 2,"Bachelor Type 2", 3,"Masters", 4,"PhD")</f>
        <v>Masters</v>
      </c>
      <c r="F665" s="5">
        <v>3</v>
      </c>
      <c r="G665" s="5">
        <v>9</v>
      </c>
      <c r="H665" s="5">
        <v>2</v>
      </c>
      <c r="I665" s="5">
        <v>38.961948982849755</v>
      </c>
      <c r="J665" s="5">
        <v>57</v>
      </c>
      <c r="K665" s="5">
        <v>98</v>
      </c>
      <c r="L665" s="5">
        <v>93</v>
      </c>
      <c r="M665" s="5" t="str">
        <f>_xlfn.SWITCH(recruitment_data3[[#This Row],[RecruitmentStrategy]], 1,"Aggressive", 2,"Moderate", 3,"Conservative")</f>
        <v>Moderate</v>
      </c>
      <c r="N665" s="5">
        <v>2</v>
      </c>
      <c r="O665" s="5" t="str">
        <f>IF(recruitment_data3[[#This Row],[HiringDecision]]=1,"Hired","Rejected")</f>
        <v>Hired</v>
      </c>
      <c r="P665" s="6">
        <v>1</v>
      </c>
    </row>
    <row r="666" spans="1:16" x14ac:dyDescent="0.25">
      <c r="A666" s="4" t="str">
        <f t="shared" si="10"/>
        <v>C0665</v>
      </c>
      <c r="B666" s="4">
        <v>21</v>
      </c>
      <c r="C666" s="5" t="str">
        <f>IF(recruitment_data3[[#This Row],[Gender]]=1,"Female","Male")</f>
        <v>Male</v>
      </c>
      <c r="D666" s="5">
        <v>0</v>
      </c>
      <c r="E666" s="5" t="str">
        <f>_xlfn.SWITCH(recruitment_data3[[#This Row],[EducationLevel]], 1,"Bachelor Type 1", 2,"Bachelor Type 2", 3,"Masters", 4,"PhD")</f>
        <v>Bachelor Type 2</v>
      </c>
      <c r="F666" s="5">
        <v>2</v>
      </c>
      <c r="G666" s="5">
        <v>6</v>
      </c>
      <c r="H666" s="5">
        <v>2</v>
      </c>
      <c r="I666" s="5">
        <v>31.987392724578299</v>
      </c>
      <c r="J666" s="5">
        <v>41</v>
      </c>
      <c r="K666" s="5">
        <v>93</v>
      </c>
      <c r="L666" s="5">
        <v>51</v>
      </c>
      <c r="M666" s="5" t="str">
        <f>_xlfn.SWITCH(recruitment_data3[[#This Row],[RecruitmentStrategy]], 1,"Aggressive", 2,"Moderate", 3,"Conservative")</f>
        <v>Conservative</v>
      </c>
      <c r="N666" s="5">
        <v>3</v>
      </c>
      <c r="O666" s="5" t="str">
        <f>IF(recruitment_data3[[#This Row],[HiringDecision]]=1,"Hired","Rejected")</f>
        <v>Rejected</v>
      </c>
      <c r="P666" s="6">
        <v>0</v>
      </c>
    </row>
    <row r="667" spans="1:16" x14ac:dyDescent="0.25">
      <c r="A667" s="4" t="str">
        <f t="shared" si="10"/>
        <v>C0666</v>
      </c>
      <c r="B667" s="4">
        <v>39</v>
      </c>
      <c r="C667" s="5" t="str">
        <f>IF(recruitment_data3[[#This Row],[Gender]]=1,"Female","Male")</f>
        <v>Female</v>
      </c>
      <c r="D667" s="5">
        <v>1</v>
      </c>
      <c r="E667" s="5" t="str">
        <f>_xlfn.SWITCH(recruitment_data3[[#This Row],[EducationLevel]], 1,"Bachelor Type 1", 2,"Bachelor Type 2", 3,"Masters", 4,"PhD")</f>
        <v>Masters</v>
      </c>
      <c r="F667" s="5">
        <v>3</v>
      </c>
      <c r="G667" s="5">
        <v>1</v>
      </c>
      <c r="H667" s="5">
        <v>5</v>
      </c>
      <c r="I667" s="5">
        <v>4.8705775992375289</v>
      </c>
      <c r="J667" s="5">
        <v>57</v>
      </c>
      <c r="K667" s="5">
        <v>75</v>
      </c>
      <c r="L667" s="5">
        <v>25</v>
      </c>
      <c r="M667" s="5" t="str">
        <f>_xlfn.SWITCH(recruitment_data3[[#This Row],[RecruitmentStrategy]], 1,"Aggressive", 2,"Moderate", 3,"Conservative")</f>
        <v>Moderate</v>
      </c>
      <c r="N667" s="5">
        <v>2</v>
      </c>
      <c r="O667" s="5" t="str">
        <f>IF(recruitment_data3[[#This Row],[HiringDecision]]=1,"Hired","Rejected")</f>
        <v>Rejected</v>
      </c>
      <c r="P667" s="6">
        <v>0</v>
      </c>
    </row>
    <row r="668" spans="1:16" x14ac:dyDescent="0.25">
      <c r="A668" s="4" t="str">
        <f t="shared" si="10"/>
        <v>C0667</v>
      </c>
      <c r="B668" s="4">
        <v>50</v>
      </c>
      <c r="C668" s="5" t="str">
        <f>IF(recruitment_data3[[#This Row],[Gender]]=1,"Female","Male")</f>
        <v>Male</v>
      </c>
      <c r="D668" s="5">
        <v>0</v>
      </c>
      <c r="E668" s="5" t="str">
        <f>_xlfn.SWITCH(recruitment_data3[[#This Row],[EducationLevel]], 1,"Bachelor Type 1", 2,"Bachelor Type 2", 3,"Masters", 4,"PhD")</f>
        <v>Bachelor Type 1</v>
      </c>
      <c r="F668" s="5">
        <v>1</v>
      </c>
      <c r="G668" s="5">
        <v>13</v>
      </c>
      <c r="H668" s="5">
        <v>4</v>
      </c>
      <c r="I668" s="5">
        <v>26.641768121757103</v>
      </c>
      <c r="J668" s="5">
        <v>81</v>
      </c>
      <c r="K668" s="5">
        <v>34</v>
      </c>
      <c r="L668" s="5">
        <v>52</v>
      </c>
      <c r="M668" s="5" t="str">
        <f>_xlfn.SWITCH(recruitment_data3[[#This Row],[RecruitmentStrategy]], 1,"Aggressive", 2,"Moderate", 3,"Conservative")</f>
        <v>Aggressive</v>
      </c>
      <c r="N668" s="5">
        <v>1</v>
      </c>
      <c r="O668" s="5" t="str">
        <f>IF(recruitment_data3[[#This Row],[HiringDecision]]=1,"Hired","Rejected")</f>
        <v>Hired</v>
      </c>
      <c r="P668" s="6">
        <v>1</v>
      </c>
    </row>
    <row r="669" spans="1:16" x14ac:dyDescent="0.25">
      <c r="A669" s="4" t="str">
        <f t="shared" si="10"/>
        <v>C0668</v>
      </c>
      <c r="B669" s="4">
        <v>29</v>
      </c>
      <c r="C669" s="5" t="str">
        <f>IF(recruitment_data3[[#This Row],[Gender]]=1,"Female","Male")</f>
        <v>Female</v>
      </c>
      <c r="D669" s="5">
        <v>1</v>
      </c>
      <c r="E669" s="5" t="str">
        <f>_xlfn.SWITCH(recruitment_data3[[#This Row],[EducationLevel]], 1,"Bachelor Type 1", 2,"Bachelor Type 2", 3,"Masters", 4,"PhD")</f>
        <v>Bachelor Type 1</v>
      </c>
      <c r="F669" s="5">
        <v>1</v>
      </c>
      <c r="G669" s="5">
        <v>15</v>
      </c>
      <c r="H669" s="5">
        <v>3</v>
      </c>
      <c r="I669" s="5">
        <v>18.165048459787048</v>
      </c>
      <c r="J669" s="5">
        <v>29</v>
      </c>
      <c r="K669" s="5">
        <v>10</v>
      </c>
      <c r="L669" s="5">
        <v>28</v>
      </c>
      <c r="M669" s="5" t="str">
        <f>_xlfn.SWITCH(recruitment_data3[[#This Row],[RecruitmentStrategy]], 1,"Aggressive", 2,"Moderate", 3,"Conservative")</f>
        <v>Moderate</v>
      </c>
      <c r="N669" s="5">
        <v>2</v>
      </c>
      <c r="O669" s="5" t="str">
        <f>IF(recruitment_data3[[#This Row],[HiringDecision]]=1,"Hired","Rejected")</f>
        <v>Rejected</v>
      </c>
      <c r="P669" s="6">
        <v>0</v>
      </c>
    </row>
    <row r="670" spans="1:16" x14ac:dyDescent="0.25">
      <c r="A670" s="4" t="str">
        <f t="shared" si="10"/>
        <v>C0669</v>
      </c>
      <c r="B670" s="4">
        <v>45</v>
      </c>
      <c r="C670" s="5" t="str">
        <f>IF(recruitment_data3[[#This Row],[Gender]]=1,"Female","Male")</f>
        <v>Male</v>
      </c>
      <c r="D670" s="5">
        <v>0</v>
      </c>
      <c r="E670" s="5" t="str">
        <f>_xlfn.SWITCH(recruitment_data3[[#This Row],[EducationLevel]], 1,"Bachelor Type 1", 2,"Bachelor Type 2", 3,"Masters", 4,"PhD")</f>
        <v>Bachelor Type 2</v>
      </c>
      <c r="F670" s="5">
        <v>2</v>
      </c>
      <c r="G670" s="5">
        <v>0</v>
      </c>
      <c r="H670" s="5">
        <v>5</v>
      </c>
      <c r="I670" s="5">
        <v>17.428531636614714</v>
      </c>
      <c r="J670" s="5">
        <v>24</v>
      </c>
      <c r="K670" s="5">
        <v>60</v>
      </c>
      <c r="L670" s="5">
        <v>18</v>
      </c>
      <c r="M670" s="5" t="str">
        <f>_xlfn.SWITCH(recruitment_data3[[#This Row],[RecruitmentStrategy]], 1,"Aggressive", 2,"Moderate", 3,"Conservative")</f>
        <v>Moderate</v>
      </c>
      <c r="N670" s="5">
        <v>2</v>
      </c>
      <c r="O670" s="5" t="str">
        <f>IF(recruitment_data3[[#This Row],[HiringDecision]]=1,"Hired","Rejected")</f>
        <v>Rejected</v>
      </c>
      <c r="P670" s="6">
        <v>0</v>
      </c>
    </row>
    <row r="671" spans="1:16" x14ac:dyDescent="0.25">
      <c r="A671" s="4" t="str">
        <f t="shared" si="10"/>
        <v>C0670</v>
      </c>
      <c r="B671" s="4">
        <v>38</v>
      </c>
      <c r="C671" s="5" t="str">
        <f>IF(recruitment_data3[[#This Row],[Gender]]=1,"Female","Male")</f>
        <v>Female</v>
      </c>
      <c r="D671" s="5">
        <v>1</v>
      </c>
      <c r="E671" s="5" t="str">
        <f>_xlfn.SWITCH(recruitment_data3[[#This Row],[EducationLevel]], 1,"Bachelor Type 1", 2,"Bachelor Type 2", 3,"Masters", 4,"PhD")</f>
        <v>Bachelor Type 2</v>
      </c>
      <c r="F671" s="5">
        <v>2</v>
      </c>
      <c r="G671" s="5">
        <v>15</v>
      </c>
      <c r="H671" s="5">
        <v>2</v>
      </c>
      <c r="I671" s="5">
        <v>31.112815118862862</v>
      </c>
      <c r="J671" s="5">
        <v>62</v>
      </c>
      <c r="K671" s="5">
        <v>43</v>
      </c>
      <c r="L671" s="5">
        <v>46</v>
      </c>
      <c r="M671" s="5" t="str">
        <f>_xlfn.SWITCH(recruitment_data3[[#This Row],[RecruitmentStrategy]], 1,"Aggressive", 2,"Moderate", 3,"Conservative")</f>
        <v>Moderate</v>
      </c>
      <c r="N671" s="5">
        <v>2</v>
      </c>
      <c r="O671" s="5" t="str">
        <f>IF(recruitment_data3[[#This Row],[HiringDecision]]=1,"Hired","Rejected")</f>
        <v>Rejected</v>
      </c>
      <c r="P671" s="6">
        <v>0</v>
      </c>
    </row>
    <row r="672" spans="1:16" x14ac:dyDescent="0.25">
      <c r="A672" s="4" t="str">
        <f t="shared" si="10"/>
        <v>C0671</v>
      </c>
      <c r="B672" s="4">
        <v>45</v>
      </c>
      <c r="C672" s="5" t="str">
        <f>IF(recruitment_data3[[#This Row],[Gender]]=1,"Female","Male")</f>
        <v>Male</v>
      </c>
      <c r="D672" s="5">
        <v>0</v>
      </c>
      <c r="E672" s="5" t="str">
        <f>_xlfn.SWITCH(recruitment_data3[[#This Row],[EducationLevel]], 1,"Bachelor Type 1", 2,"Bachelor Type 2", 3,"Masters", 4,"PhD")</f>
        <v>Bachelor Type 2</v>
      </c>
      <c r="F672" s="5">
        <v>2</v>
      </c>
      <c r="G672" s="5">
        <v>13</v>
      </c>
      <c r="H672" s="5">
        <v>5</v>
      </c>
      <c r="I672" s="5">
        <v>17.116241223471246</v>
      </c>
      <c r="J672" s="5">
        <v>18</v>
      </c>
      <c r="K672" s="5">
        <v>67</v>
      </c>
      <c r="L672" s="5">
        <v>7</v>
      </c>
      <c r="M672" s="5" t="str">
        <f>_xlfn.SWITCH(recruitment_data3[[#This Row],[RecruitmentStrategy]], 1,"Aggressive", 2,"Moderate", 3,"Conservative")</f>
        <v>Aggressive</v>
      </c>
      <c r="N672" s="5">
        <v>1</v>
      </c>
      <c r="O672" s="5" t="str">
        <f>IF(recruitment_data3[[#This Row],[HiringDecision]]=1,"Hired","Rejected")</f>
        <v>Hired</v>
      </c>
      <c r="P672" s="6">
        <v>1</v>
      </c>
    </row>
    <row r="673" spans="1:16" x14ac:dyDescent="0.25">
      <c r="A673" s="4" t="str">
        <f t="shared" si="10"/>
        <v>C0672</v>
      </c>
      <c r="B673" s="4">
        <v>20</v>
      </c>
      <c r="C673" s="5" t="str">
        <f>IF(recruitment_data3[[#This Row],[Gender]]=1,"Female","Male")</f>
        <v>Female</v>
      </c>
      <c r="D673" s="5">
        <v>1</v>
      </c>
      <c r="E673" s="5" t="str">
        <f>_xlfn.SWITCH(recruitment_data3[[#This Row],[EducationLevel]], 1,"Bachelor Type 1", 2,"Bachelor Type 2", 3,"Masters", 4,"PhD")</f>
        <v>Bachelor Type 2</v>
      </c>
      <c r="F673" s="5">
        <v>2</v>
      </c>
      <c r="G673" s="5">
        <v>5</v>
      </c>
      <c r="H673" s="5">
        <v>1</v>
      </c>
      <c r="I673" s="5">
        <v>39.844687410243637</v>
      </c>
      <c r="J673" s="5">
        <v>71</v>
      </c>
      <c r="K673" s="5">
        <v>24</v>
      </c>
      <c r="L673" s="5">
        <v>22</v>
      </c>
      <c r="M673" s="5" t="str">
        <f>_xlfn.SWITCH(recruitment_data3[[#This Row],[RecruitmentStrategy]], 1,"Aggressive", 2,"Moderate", 3,"Conservative")</f>
        <v>Moderate</v>
      </c>
      <c r="N673" s="5">
        <v>2</v>
      </c>
      <c r="O673" s="5" t="str">
        <f>IF(recruitment_data3[[#This Row],[HiringDecision]]=1,"Hired","Rejected")</f>
        <v>Rejected</v>
      </c>
      <c r="P673" s="6">
        <v>0</v>
      </c>
    </row>
    <row r="674" spans="1:16" x14ac:dyDescent="0.25">
      <c r="A674" s="4" t="str">
        <f t="shared" si="10"/>
        <v>C0673</v>
      </c>
      <c r="B674" s="4">
        <v>43</v>
      </c>
      <c r="C674" s="5" t="str">
        <f>IF(recruitment_data3[[#This Row],[Gender]]=1,"Female","Male")</f>
        <v>Male</v>
      </c>
      <c r="D674" s="5">
        <v>0</v>
      </c>
      <c r="E674" s="5" t="str">
        <f>_xlfn.SWITCH(recruitment_data3[[#This Row],[EducationLevel]], 1,"Bachelor Type 1", 2,"Bachelor Type 2", 3,"Masters", 4,"PhD")</f>
        <v>Bachelor Type 1</v>
      </c>
      <c r="F674" s="5">
        <v>1</v>
      </c>
      <c r="G674" s="5">
        <v>8</v>
      </c>
      <c r="H674" s="5">
        <v>2</v>
      </c>
      <c r="I674" s="5">
        <v>4.539571800558722</v>
      </c>
      <c r="J674" s="5">
        <v>91</v>
      </c>
      <c r="K674" s="5">
        <v>47</v>
      </c>
      <c r="L674" s="5">
        <v>34</v>
      </c>
      <c r="M674" s="5" t="str">
        <f>_xlfn.SWITCH(recruitment_data3[[#This Row],[RecruitmentStrategy]], 1,"Aggressive", 2,"Moderate", 3,"Conservative")</f>
        <v>Conservative</v>
      </c>
      <c r="N674" s="5">
        <v>3</v>
      </c>
      <c r="O674" s="5" t="str">
        <f>IF(recruitment_data3[[#This Row],[HiringDecision]]=1,"Hired","Rejected")</f>
        <v>Rejected</v>
      </c>
      <c r="P674" s="6">
        <v>0</v>
      </c>
    </row>
    <row r="675" spans="1:16" x14ac:dyDescent="0.25">
      <c r="A675" s="4" t="str">
        <f t="shared" si="10"/>
        <v>C0674</v>
      </c>
      <c r="B675" s="4">
        <v>24</v>
      </c>
      <c r="C675" s="5" t="str">
        <f>IF(recruitment_data3[[#This Row],[Gender]]=1,"Female","Male")</f>
        <v>Male</v>
      </c>
      <c r="D675" s="5">
        <v>0</v>
      </c>
      <c r="E675" s="5" t="str">
        <f>_xlfn.SWITCH(recruitment_data3[[#This Row],[EducationLevel]], 1,"Bachelor Type 1", 2,"Bachelor Type 2", 3,"Masters", 4,"PhD")</f>
        <v>Bachelor Type 2</v>
      </c>
      <c r="F675" s="5">
        <v>2</v>
      </c>
      <c r="G675" s="5">
        <v>14</v>
      </c>
      <c r="H675" s="5">
        <v>1</v>
      </c>
      <c r="I675" s="5">
        <v>34.019412619791275</v>
      </c>
      <c r="J675" s="5">
        <v>7</v>
      </c>
      <c r="K675" s="5">
        <v>31</v>
      </c>
      <c r="L675" s="5">
        <v>94</v>
      </c>
      <c r="M675" s="5" t="str">
        <f>_xlfn.SWITCH(recruitment_data3[[#This Row],[RecruitmentStrategy]], 1,"Aggressive", 2,"Moderate", 3,"Conservative")</f>
        <v>Moderate</v>
      </c>
      <c r="N675" s="5">
        <v>2</v>
      </c>
      <c r="O675" s="5" t="str">
        <f>IF(recruitment_data3[[#This Row],[HiringDecision]]=1,"Hired","Rejected")</f>
        <v>Rejected</v>
      </c>
      <c r="P675" s="6">
        <v>0</v>
      </c>
    </row>
    <row r="676" spans="1:16" x14ac:dyDescent="0.25">
      <c r="A676" s="4" t="str">
        <f t="shared" si="10"/>
        <v>C0675</v>
      </c>
      <c r="B676" s="4">
        <v>32</v>
      </c>
      <c r="C676" s="5" t="str">
        <f>IF(recruitment_data3[[#This Row],[Gender]]=1,"Female","Male")</f>
        <v>Male</v>
      </c>
      <c r="D676" s="5">
        <v>0</v>
      </c>
      <c r="E676" s="5" t="str">
        <f>_xlfn.SWITCH(recruitment_data3[[#This Row],[EducationLevel]], 1,"Bachelor Type 1", 2,"Bachelor Type 2", 3,"Masters", 4,"PhD")</f>
        <v>Masters</v>
      </c>
      <c r="F676" s="5">
        <v>3</v>
      </c>
      <c r="G676" s="5">
        <v>2</v>
      </c>
      <c r="H676" s="5">
        <v>2</v>
      </c>
      <c r="I676" s="5">
        <v>41.459740182837059</v>
      </c>
      <c r="J676" s="5">
        <v>94</v>
      </c>
      <c r="K676" s="5">
        <v>83</v>
      </c>
      <c r="L676" s="5">
        <v>52</v>
      </c>
      <c r="M676" s="5" t="str">
        <f>_xlfn.SWITCH(recruitment_data3[[#This Row],[RecruitmentStrategy]], 1,"Aggressive", 2,"Moderate", 3,"Conservative")</f>
        <v>Conservative</v>
      </c>
      <c r="N676" s="5">
        <v>3</v>
      </c>
      <c r="O676" s="5" t="str">
        <f>IF(recruitment_data3[[#This Row],[HiringDecision]]=1,"Hired","Rejected")</f>
        <v>Rejected</v>
      </c>
      <c r="P676" s="6">
        <v>0</v>
      </c>
    </row>
    <row r="677" spans="1:16" x14ac:dyDescent="0.25">
      <c r="A677" s="4" t="str">
        <f t="shared" si="10"/>
        <v>C0676</v>
      </c>
      <c r="B677" s="4">
        <v>23</v>
      </c>
      <c r="C677" s="5" t="str">
        <f>IF(recruitment_data3[[#This Row],[Gender]]=1,"Female","Male")</f>
        <v>Male</v>
      </c>
      <c r="D677" s="5">
        <v>0</v>
      </c>
      <c r="E677" s="5" t="str">
        <f>_xlfn.SWITCH(recruitment_data3[[#This Row],[EducationLevel]], 1,"Bachelor Type 1", 2,"Bachelor Type 2", 3,"Masters", 4,"PhD")</f>
        <v>Bachelor Type 2</v>
      </c>
      <c r="F677" s="5">
        <v>2</v>
      </c>
      <c r="G677" s="5">
        <v>5</v>
      </c>
      <c r="H677" s="5">
        <v>5</v>
      </c>
      <c r="I677" s="5">
        <v>34.641584496021501</v>
      </c>
      <c r="J677" s="5">
        <v>2</v>
      </c>
      <c r="K677" s="5">
        <v>94</v>
      </c>
      <c r="L677" s="5">
        <v>98</v>
      </c>
      <c r="M677" s="5" t="str">
        <f>_xlfn.SWITCH(recruitment_data3[[#This Row],[RecruitmentStrategy]], 1,"Aggressive", 2,"Moderate", 3,"Conservative")</f>
        <v>Conservative</v>
      </c>
      <c r="N677" s="5">
        <v>3</v>
      </c>
      <c r="O677" s="5" t="str">
        <f>IF(recruitment_data3[[#This Row],[HiringDecision]]=1,"Hired","Rejected")</f>
        <v>Rejected</v>
      </c>
      <c r="P677" s="6">
        <v>0</v>
      </c>
    </row>
    <row r="678" spans="1:16" x14ac:dyDescent="0.25">
      <c r="A678" s="4" t="str">
        <f t="shared" si="10"/>
        <v>C0677</v>
      </c>
      <c r="B678" s="4">
        <v>35</v>
      </c>
      <c r="C678" s="5" t="str">
        <f>IF(recruitment_data3[[#This Row],[Gender]]=1,"Female","Male")</f>
        <v>Female</v>
      </c>
      <c r="D678" s="5">
        <v>1</v>
      </c>
      <c r="E678" s="5" t="str">
        <f>_xlfn.SWITCH(recruitment_data3[[#This Row],[EducationLevel]], 1,"Bachelor Type 1", 2,"Bachelor Type 2", 3,"Masters", 4,"PhD")</f>
        <v>Bachelor Type 1</v>
      </c>
      <c r="F678" s="5">
        <v>1</v>
      </c>
      <c r="G678" s="5">
        <v>2</v>
      </c>
      <c r="H678" s="5">
        <v>4</v>
      </c>
      <c r="I678" s="5">
        <v>25.861459750999789</v>
      </c>
      <c r="J678" s="5">
        <v>66</v>
      </c>
      <c r="K678" s="5">
        <v>3</v>
      </c>
      <c r="L678" s="5">
        <v>95</v>
      </c>
      <c r="M678" s="5" t="str">
        <f>_xlfn.SWITCH(recruitment_data3[[#This Row],[RecruitmentStrategy]], 1,"Aggressive", 2,"Moderate", 3,"Conservative")</f>
        <v>Aggressive</v>
      </c>
      <c r="N678" s="5">
        <v>1</v>
      </c>
      <c r="O678" s="5" t="str">
        <f>IF(recruitment_data3[[#This Row],[HiringDecision]]=1,"Hired","Rejected")</f>
        <v>Rejected</v>
      </c>
      <c r="P678" s="6">
        <v>0</v>
      </c>
    </row>
    <row r="679" spans="1:16" x14ac:dyDescent="0.25">
      <c r="A679" s="4" t="str">
        <f t="shared" si="10"/>
        <v>C0678</v>
      </c>
      <c r="B679" s="4">
        <v>43</v>
      </c>
      <c r="C679" s="5" t="str">
        <f>IF(recruitment_data3[[#This Row],[Gender]]=1,"Female","Male")</f>
        <v>Female</v>
      </c>
      <c r="D679" s="5">
        <v>1</v>
      </c>
      <c r="E679" s="5" t="str">
        <f>_xlfn.SWITCH(recruitment_data3[[#This Row],[EducationLevel]], 1,"Bachelor Type 1", 2,"Bachelor Type 2", 3,"Masters", 4,"PhD")</f>
        <v>Bachelor Type 2</v>
      </c>
      <c r="F679" s="5">
        <v>2</v>
      </c>
      <c r="G679" s="5">
        <v>13</v>
      </c>
      <c r="H679" s="5">
        <v>3</v>
      </c>
      <c r="I679" s="5">
        <v>48.515350686809057</v>
      </c>
      <c r="J679" s="5">
        <v>85</v>
      </c>
      <c r="K679" s="5">
        <v>37</v>
      </c>
      <c r="L679" s="5">
        <v>57</v>
      </c>
      <c r="M679" s="5" t="str">
        <f>_xlfn.SWITCH(recruitment_data3[[#This Row],[RecruitmentStrategy]], 1,"Aggressive", 2,"Moderate", 3,"Conservative")</f>
        <v>Moderate</v>
      </c>
      <c r="N679" s="5">
        <v>2</v>
      </c>
      <c r="O679" s="5" t="str">
        <f>IF(recruitment_data3[[#This Row],[HiringDecision]]=1,"Hired","Rejected")</f>
        <v>Rejected</v>
      </c>
      <c r="P679" s="6">
        <v>0</v>
      </c>
    </row>
    <row r="680" spans="1:16" x14ac:dyDescent="0.25">
      <c r="A680" s="4" t="str">
        <f t="shared" si="10"/>
        <v>C0679</v>
      </c>
      <c r="B680" s="4">
        <v>35</v>
      </c>
      <c r="C680" s="5" t="str">
        <f>IF(recruitment_data3[[#This Row],[Gender]]=1,"Female","Male")</f>
        <v>Male</v>
      </c>
      <c r="D680" s="5">
        <v>0</v>
      </c>
      <c r="E680" s="5" t="str">
        <f>_xlfn.SWITCH(recruitment_data3[[#This Row],[EducationLevel]], 1,"Bachelor Type 1", 2,"Bachelor Type 2", 3,"Masters", 4,"PhD")</f>
        <v>Bachelor Type 1</v>
      </c>
      <c r="F680" s="5">
        <v>1</v>
      </c>
      <c r="G680" s="5">
        <v>12</v>
      </c>
      <c r="H680" s="5">
        <v>1</v>
      </c>
      <c r="I680" s="5">
        <v>15.996924489903179</v>
      </c>
      <c r="J680" s="5">
        <v>80</v>
      </c>
      <c r="K680" s="5">
        <v>62</v>
      </c>
      <c r="L680" s="5">
        <v>4</v>
      </c>
      <c r="M680" s="5" t="str">
        <f>_xlfn.SWITCH(recruitment_data3[[#This Row],[RecruitmentStrategy]], 1,"Aggressive", 2,"Moderate", 3,"Conservative")</f>
        <v>Moderate</v>
      </c>
      <c r="N680" s="5">
        <v>2</v>
      </c>
      <c r="O680" s="5" t="str">
        <f>IF(recruitment_data3[[#This Row],[HiringDecision]]=1,"Hired","Rejected")</f>
        <v>Rejected</v>
      </c>
      <c r="P680" s="6">
        <v>0</v>
      </c>
    </row>
    <row r="681" spans="1:16" x14ac:dyDescent="0.25">
      <c r="A681" s="4" t="str">
        <f t="shared" si="10"/>
        <v>C0680</v>
      </c>
      <c r="B681" s="4">
        <v>42</v>
      </c>
      <c r="C681" s="5" t="str">
        <f>IF(recruitment_data3[[#This Row],[Gender]]=1,"Female","Male")</f>
        <v>Female</v>
      </c>
      <c r="D681" s="5">
        <v>1</v>
      </c>
      <c r="E681" s="5" t="str">
        <f>_xlfn.SWITCH(recruitment_data3[[#This Row],[EducationLevel]], 1,"Bachelor Type 1", 2,"Bachelor Type 2", 3,"Masters", 4,"PhD")</f>
        <v>PhD</v>
      </c>
      <c r="F681" s="5">
        <v>4</v>
      </c>
      <c r="G681" s="5">
        <v>0</v>
      </c>
      <c r="H681" s="5">
        <v>5</v>
      </c>
      <c r="I681" s="5">
        <v>1.9583943762488889</v>
      </c>
      <c r="J681" s="5">
        <v>99</v>
      </c>
      <c r="K681" s="5">
        <v>46</v>
      </c>
      <c r="L681" s="5">
        <v>15</v>
      </c>
      <c r="M681" s="5" t="str">
        <f>_xlfn.SWITCH(recruitment_data3[[#This Row],[RecruitmentStrategy]], 1,"Aggressive", 2,"Moderate", 3,"Conservative")</f>
        <v>Aggressive</v>
      </c>
      <c r="N681" s="5">
        <v>1</v>
      </c>
      <c r="O681" s="5" t="str">
        <f>IF(recruitment_data3[[#This Row],[HiringDecision]]=1,"Hired","Rejected")</f>
        <v>Hired</v>
      </c>
      <c r="P681" s="6">
        <v>1</v>
      </c>
    </row>
    <row r="682" spans="1:16" x14ac:dyDescent="0.25">
      <c r="A682" s="4" t="str">
        <f t="shared" si="10"/>
        <v>C0681</v>
      </c>
      <c r="B682" s="4">
        <v>21</v>
      </c>
      <c r="C682" s="5" t="str">
        <f>IF(recruitment_data3[[#This Row],[Gender]]=1,"Female","Male")</f>
        <v>Male</v>
      </c>
      <c r="D682" s="5">
        <v>0</v>
      </c>
      <c r="E682" s="5" t="str">
        <f>_xlfn.SWITCH(recruitment_data3[[#This Row],[EducationLevel]], 1,"Bachelor Type 1", 2,"Bachelor Type 2", 3,"Masters", 4,"PhD")</f>
        <v>Bachelor Type 1</v>
      </c>
      <c r="F682" s="5">
        <v>1</v>
      </c>
      <c r="G682" s="5">
        <v>13</v>
      </c>
      <c r="H682" s="5">
        <v>4</v>
      </c>
      <c r="I682" s="5">
        <v>22.599468573172043</v>
      </c>
      <c r="J682" s="5">
        <v>16</v>
      </c>
      <c r="K682" s="5">
        <v>0</v>
      </c>
      <c r="L682" s="5">
        <v>16</v>
      </c>
      <c r="M682" s="5" t="str">
        <f>_xlfn.SWITCH(recruitment_data3[[#This Row],[RecruitmentStrategy]], 1,"Aggressive", 2,"Moderate", 3,"Conservative")</f>
        <v>Moderate</v>
      </c>
      <c r="N682" s="5">
        <v>2</v>
      </c>
      <c r="O682" s="5" t="str">
        <f>IF(recruitment_data3[[#This Row],[HiringDecision]]=1,"Hired","Rejected")</f>
        <v>Rejected</v>
      </c>
      <c r="P682" s="6">
        <v>0</v>
      </c>
    </row>
    <row r="683" spans="1:16" x14ac:dyDescent="0.25">
      <c r="A683" s="4" t="str">
        <f t="shared" si="10"/>
        <v>C0682</v>
      </c>
      <c r="B683" s="4">
        <v>36</v>
      </c>
      <c r="C683" s="5" t="str">
        <f>IF(recruitment_data3[[#This Row],[Gender]]=1,"Female","Male")</f>
        <v>Male</v>
      </c>
      <c r="D683" s="5">
        <v>0</v>
      </c>
      <c r="E683" s="5" t="str">
        <f>_xlfn.SWITCH(recruitment_data3[[#This Row],[EducationLevel]], 1,"Bachelor Type 1", 2,"Bachelor Type 2", 3,"Masters", 4,"PhD")</f>
        <v>Masters</v>
      </c>
      <c r="F683" s="5">
        <v>3</v>
      </c>
      <c r="G683" s="5">
        <v>12</v>
      </c>
      <c r="H683" s="5">
        <v>5</v>
      </c>
      <c r="I683" s="5">
        <v>2.6505967950163623</v>
      </c>
      <c r="J683" s="5">
        <v>13</v>
      </c>
      <c r="K683" s="5">
        <v>2</v>
      </c>
      <c r="L683" s="5">
        <v>31</v>
      </c>
      <c r="M683" s="5" t="str">
        <f>_xlfn.SWITCH(recruitment_data3[[#This Row],[RecruitmentStrategy]], 1,"Aggressive", 2,"Moderate", 3,"Conservative")</f>
        <v>Moderate</v>
      </c>
      <c r="N683" s="5">
        <v>2</v>
      </c>
      <c r="O683" s="5" t="str">
        <f>IF(recruitment_data3[[#This Row],[HiringDecision]]=1,"Hired","Rejected")</f>
        <v>Rejected</v>
      </c>
      <c r="P683" s="6">
        <v>0</v>
      </c>
    </row>
    <row r="684" spans="1:16" x14ac:dyDescent="0.25">
      <c r="A684" s="4" t="str">
        <f t="shared" si="10"/>
        <v>C0683</v>
      </c>
      <c r="B684" s="4">
        <v>47</v>
      </c>
      <c r="C684" s="5" t="str">
        <f>IF(recruitment_data3[[#This Row],[Gender]]=1,"Female","Male")</f>
        <v>Female</v>
      </c>
      <c r="D684" s="5">
        <v>1</v>
      </c>
      <c r="E684" s="5" t="str">
        <f>_xlfn.SWITCH(recruitment_data3[[#This Row],[EducationLevel]], 1,"Bachelor Type 1", 2,"Bachelor Type 2", 3,"Masters", 4,"PhD")</f>
        <v>PhD</v>
      </c>
      <c r="F684" s="5">
        <v>4</v>
      </c>
      <c r="G684" s="5">
        <v>15</v>
      </c>
      <c r="H684" s="5">
        <v>1</v>
      </c>
      <c r="I684" s="5">
        <v>48.696837626320438</v>
      </c>
      <c r="J684" s="5">
        <v>8</v>
      </c>
      <c r="K684" s="5">
        <v>100</v>
      </c>
      <c r="L684" s="5">
        <v>95</v>
      </c>
      <c r="M684" s="5" t="str">
        <f>_xlfn.SWITCH(recruitment_data3[[#This Row],[RecruitmentStrategy]], 1,"Aggressive", 2,"Moderate", 3,"Conservative")</f>
        <v>Aggressive</v>
      </c>
      <c r="N684" s="5">
        <v>1</v>
      </c>
      <c r="O684" s="5" t="str">
        <f>IF(recruitment_data3[[#This Row],[HiringDecision]]=1,"Hired","Rejected")</f>
        <v>Hired</v>
      </c>
      <c r="P684" s="6">
        <v>1</v>
      </c>
    </row>
    <row r="685" spans="1:16" x14ac:dyDescent="0.25">
      <c r="A685" s="4" t="str">
        <f t="shared" si="10"/>
        <v>C0684</v>
      </c>
      <c r="B685" s="4">
        <v>46</v>
      </c>
      <c r="C685" s="5" t="str">
        <f>IF(recruitment_data3[[#This Row],[Gender]]=1,"Female","Male")</f>
        <v>Male</v>
      </c>
      <c r="D685" s="5">
        <v>0</v>
      </c>
      <c r="E685" s="5" t="str">
        <f>_xlfn.SWITCH(recruitment_data3[[#This Row],[EducationLevel]], 1,"Bachelor Type 1", 2,"Bachelor Type 2", 3,"Masters", 4,"PhD")</f>
        <v>Masters</v>
      </c>
      <c r="F685" s="5">
        <v>3</v>
      </c>
      <c r="G685" s="5">
        <v>11</v>
      </c>
      <c r="H685" s="5">
        <v>3</v>
      </c>
      <c r="I685" s="5">
        <v>11.495902287402576</v>
      </c>
      <c r="J685" s="5">
        <v>61</v>
      </c>
      <c r="K685" s="5">
        <v>85</v>
      </c>
      <c r="L685" s="5">
        <v>51</v>
      </c>
      <c r="M685" s="5" t="str">
        <f>_xlfn.SWITCH(recruitment_data3[[#This Row],[RecruitmentStrategy]], 1,"Aggressive", 2,"Moderate", 3,"Conservative")</f>
        <v>Conservative</v>
      </c>
      <c r="N685" s="5">
        <v>3</v>
      </c>
      <c r="O685" s="5" t="str">
        <f>IF(recruitment_data3[[#This Row],[HiringDecision]]=1,"Hired","Rejected")</f>
        <v>Rejected</v>
      </c>
      <c r="P685" s="6">
        <v>0</v>
      </c>
    </row>
    <row r="686" spans="1:16" x14ac:dyDescent="0.25">
      <c r="A686" s="4" t="str">
        <f t="shared" si="10"/>
        <v>C0685</v>
      </c>
      <c r="B686" s="4">
        <v>39</v>
      </c>
      <c r="C686" s="5" t="str">
        <f>IF(recruitment_data3[[#This Row],[Gender]]=1,"Female","Male")</f>
        <v>Male</v>
      </c>
      <c r="D686" s="5">
        <v>0</v>
      </c>
      <c r="E686" s="5" t="str">
        <f>_xlfn.SWITCH(recruitment_data3[[#This Row],[EducationLevel]], 1,"Bachelor Type 1", 2,"Bachelor Type 2", 3,"Masters", 4,"PhD")</f>
        <v>Bachelor Type 2</v>
      </c>
      <c r="F686" s="5">
        <v>2</v>
      </c>
      <c r="G686" s="5">
        <v>4</v>
      </c>
      <c r="H686" s="5">
        <v>5</v>
      </c>
      <c r="I686" s="5">
        <v>40.446351197443974</v>
      </c>
      <c r="J686" s="5">
        <v>93</v>
      </c>
      <c r="K686" s="5">
        <v>61</v>
      </c>
      <c r="L686" s="5">
        <v>19</v>
      </c>
      <c r="M686" s="5" t="str">
        <f>_xlfn.SWITCH(recruitment_data3[[#This Row],[RecruitmentStrategy]], 1,"Aggressive", 2,"Moderate", 3,"Conservative")</f>
        <v>Moderate</v>
      </c>
      <c r="N686" s="5">
        <v>2</v>
      </c>
      <c r="O686" s="5" t="str">
        <f>IF(recruitment_data3[[#This Row],[HiringDecision]]=1,"Hired","Rejected")</f>
        <v>Rejected</v>
      </c>
      <c r="P686" s="6">
        <v>0</v>
      </c>
    </row>
    <row r="687" spans="1:16" x14ac:dyDescent="0.25">
      <c r="A687" s="4" t="str">
        <f t="shared" si="10"/>
        <v>C0686</v>
      </c>
      <c r="B687" s="4">
        <v>43</v>
      </c>
      <c r="C687" s="5" t="str">
        <f>IF(recruitment_data3[[#This Row],[Gender]]=1,"Female","Male")</f>
        <v>Female</v>
      </c>
      <c r="D687" s="5">
        <v>1</v>
      </c>
      <c r="E687" s="5" t="str">
        <f>_xlfn.SWITCH(recruitment_data3[[#This Row],[EducationLevel]], 1,"Bachelor Type 1", 2,"Bachelor Type 2", 3,"Masters", 4,"PhD")</f>
        <v>Masters</v>
      </c>
      <c r="F687" s="5">
        <v>3</v>
      </c>
      <c r="G687" s="5">
        <v>9</v>
      </c>
      <c r="H687" s="5">
        <v>2</v>
      </c>
      <c r="I687" s="5">
        <v>39.728604158718241</v>
      </c>
      <c r="J687" s="5">
        <v>20</v>
      </c>
      <c r="K687" s="5">
        <v>63</v>
      </c>
      <c r="L687" s="5">
        <v>65</v>
      </c>
      <c r="M687" s="5" t="str">
        <f>_xlfn.SWITCH(recruitment_data3[[#This Row],[RecruitmentStrategy]], 1,"Aggressive", 2,"Moderate", 3,"Conservative")</f>
        <v>Conservative</v>
      </c>
      <c r="N687" s="5">
        <v>3</v>
      </c>
      <c r="O687" s="5" t="str">
        <f>IF(recruitment_data3[[#This Row],[HiringDecision]]=1,"Hired","Rejected")</f>
        <v>Hired</v>
      </c>
      <c r="P687" s="6">
        <v>1</v>
      </c>
    </row>
    <row r="688" spans="1:16" x14ac:dyDescent="0.25">
      <c r="A688" s="4" t="str">
        <f t="shared" si="10"/>
        <v>C0687</v>
      </c>
      <c r="B688" s="4">
        <v>31</v>
      </c>
      <c r="C688" s="5" t="str">
        <f>IF(recruitment_data3[[#This Row],[Gender]]=1,"Female","Male")</f>
        <v>Male</v>
      </c>
      <c r="D688" s="5">
        <v>0</v>
      </c>
      <c r="E688" s="5" t="str">
        <f>_xlfn.SWITCH(recruitment_data3[[#This Row],[EducationLevel]], 1,"Bachelor Type 1", 2,"Bachelor Type 2", 3,"Masters", 4,"PhD")</f>
        <v>PhD</v>
      </c>
      <c r="F688" s="5">
        <v>4</v>
      </c>
      <c r="G688" s="5">
        <v>13</v>
      </c>
      <c r="H688" s="5">
        <v>4</v>
      </c>
      <c r="I688" s="5">
        <v>11.886444984146676</v>
      </c>
      <c r="J688" s="5">
        <v>75</v>
      </c>
      <c r="K688" s="5">
        <v>16</v>
      </c>
      <c r="L688" s="5">
        <v>83</v>
      </c>
      <c r="M688" s="5" t="str">
        <f>_xlfn.SWITCH(recruitment_data3[[#This Row],[RecruitmentStrategy]], 1,"Aggressive", 2,"Moderate", 3,"Conservative")</f>
        <v>Moderate</v>
      </c>
      <c r="N688" s="5">
        <v>2</v>
      </c>
      <c r="O688" s="5" t="str">
        <f>IF(recruitment_data3[[#This Row],[HiringDecision]]=1,"Hired","Rejected")</f>
        <v>Hired</v>
      </c>
      <c r="P688" s="6">
        <v>1</v>
      </c>
    </row>
    <row r="689" spans="1:16" x14ac:dyDescent="0.25">
      <c r="A689" s="4" t="str">
        <f t="shared" si="10"/>
        <v>C0688</v>
      </c>
      <c r="B689" s="4">
        <v>37</v>
      </c>
      <c r="C689" s="5" t="str">
        <f>IF(recruitment_data3[[#This Row],[Gender]]=1,"Female","Male")</f>
        <v>Male</v>
      </c>
      <c r="D689" s="5">
        <v>0</v>
      </c>
      <c r="E689" s="5" t="str">
        <f>_xlfn.SWITCH(recruitment_data3[[#This Row],[EducationLevel]], 1,"Bachelor Type 1", 2,"Bachelor Type 2", 3,"Masters", 4,"PhD")</f>
        <v>Bachelor Type 2</v>
      </c>
      <c r="F689" s="5">
        <v>2</v>
      </c>
      <c r="G689" s="5">
        <v>12</v>
      </c>
      <c r="H689" s="5">
        <v>5</v>
      </c>
      <c r="I689" s="5">
        <v>32.061326524008365</v>
      </c>
      <c r="J689" s="5">
        <v>36</v>
      </c>
      <c r="K689" s="5">
        <v>77</v>
      </c>
      <c r="L689" s="5">
        <v>81</v>
      </c>
      <c r="M689" s="5" t="str">
        <f>_xlfn.SWITCH(recruitment_data3[[#This Row],[RecruitmentStrategy]], 1,"Aggressive", 2,"Moderate", 3,"Conservative")</f>
        <v>Conservative</v>
      </c>
      <c r="N689" s="5">
        <v>3</v>
      </c>
      <c r="O689" s="5" t="str">
        <f>IF(recruitment_data3[[#This Row],[HiringDecision]]=1,"Hired","Rejected")</f>
        <v>Rejected</v>
      </c>
      <c r="P689" s="6">
        <v>0</v>
      </c>
    </row>
    <row r="690" spans="1:16" x14ac:dyDescent="0.25">
      <c r="A690" s="4" t="str">
        <f t="shared" si="10"/>
        <v>C0689</v>
      </c>
      <c r="B690" s="4">
        <v>22</v>
      </c>
      <c r="C690" s="5" t="str">
        <f>IF(recruitment_data3[[#This Row],[Gender]]=1,"Female","Male")</f>
        <v>Male</v>
      </c>
      <c r="D690" s="5">
        <v>0</v>
      </c>
      <c r="E690" s="5" t="str">
        <f>_xlfn.SWITCH(recruitment_data3[[#This Row],[EducationLevel]], 1,"Bachelor Type 1", 2,"Bachelor Type 2", 3,"Masters", 4,"PhD")</f>
        <v>Bachelor Type 2</v>
      </c>
      <c r="F690" s="5">
        <v>2</v>
      </c>
      <c r="G690" s="5">
        <v>10</v>
      </c>
      <c r="H690" s="5">
        <v>4</v>
      </c>
      <c r="I690" s="5">
        <v>3.4039484243225107</v>
      </c>
      <c r="J690" s="5">
        <v>95</v>
      </c>
      <c r="K690" s="5">
        <v>61</v>
      </c>
      <c r="L690" s="5">
        <v>0</v>
      </c>
      <c r="M690" s="5" t="str">
        <f>_xlfn.SWITCH(recruitment_data3[[#This Row],[RecruitmentStrategy]], 1,"Aggressive", 2,"Moderate", 3,"Conservative")</f>
        <v>Moderate</v>
      </c>
      <c r="N690" s="5">
        <v>2</v>
      </c>
      <c r="O690" s="5" t="str">
        <f>IF(recruitment_data3[[#This Row],[HiringDecision]]=1,"Hired","Rejected")</f>
        <v>Rejected</v>
      </c>
      <c r="P690" s="6">
        <v>0</v>
      </c>
    </row>
    <row r="691" spans="1:16" x14ac:dyDescent="0.25">
      <c r="A691" s="4" t="str">
        <f t="shared" si="10"/>
        <v>C0690</v>
      </c>
      <c r="B691" s="4">
        <v>47</v>
      </c>
      <c r="C691" s="5" t="str">
        <f>IF(recruitment_data3[[#This Row],[Gender]]=1,"Female","Male")</f>
        <v>Male</v>
      </c>
      <c r="D691" s="5">
        <v>0</v>
      </c>
      <c r="E691" s="5" t="str">
        <f>_xlfn.SWITCH(recruitment_data3[[#This Row],[EducationLevel]], 1,"Bachelor Type 1", 2,"Bachelor Type 2", 3,"Masters", 4,"PhD")</f>
        <v>Bachelor Type 2</v>
      </c>
      <c r="F691" s="5">
        <v>2</v>
      </c>
      <c r="G691" s="5">
        <v>3</v>
      </c>
      <c r="H691" s="5">
        <v>2</v>
      </c>
      <c r="I691" s="5">
        <v>25.178729285193373</v>
      </c>
      <c r="J691" s="5">
        <v>10</v>
      </c>
      <c r="K691" s="5">
        <v>34</v>
      </c>
      <c r="L691" s="5">
        <v>57</v>
      </c>
      <c r="M691" s="5" t="str">
        <f>_xlfn.SWITCH(recruitment_data3[[#This Row],[RecruitmentStrategy]], 1,"Aggressive", 2,"Moderate", 3,"Conservative")</f>
        <v>Aggressive</v>
      </c>
      <c r="N691" s="5">
        <v>1</v>
      </c>
      <c r="O691" s="5" t="str">
        <f>IF(recruitment_data3[[#This Row],[HiringDecision]]=1,"Hired","Rejected")</f>
        <v>Rejected</v>
      </c>
      <c r="P691" s="6">
        <v>0</v>
      </c>
    </row>
    <row r="692" spans="1:16" x14ac:dyDescent="0.25">
      <c r="A692" s="4" t="str">
        <f t="shared" si="10"/>
        <v>C0691</v>
      </c>
      <c r="B692" s="4">
        <v>20</v>
      </c>
      <c r="C692" s="5" t="str">
        <f>IF(recruitment_data3[[#This Row],[Gender]]=1,"Female","Male")</f>
        <v>Female</v>
      </c>
      <c r="D692" s="5">
        <v>1</v>
      </c>
      <c r="E692" s="5" t="str">
        <f>_xlfn.SWITCH(recruitment_data3[[#This Row],[EducationLevel]], 1,"Bachelor Type 1", 2,"Bachelor Type 2", 3,"Masters", 4,"PhD")</f>
        <v>Bachelor Type 2</v>
      </c>
      <c r="F692" s="5">
        <v>2</v>
      </c>
      <c r="G692" s="5">
        <v>6</v>
      </c>
      <c r="H692" s="5">
        <v>3</v>
      </c>
      <c r="I692" s="5">
        <v>1.7323563636243369</v>
      </c>
      <c r="J692" s="5">
        <v>19</v>
      </c>
      <c r="K692" s="5">
        <v>12</v>
      </c>
      <c r="L692" s="5">
        <v>92</v>
      </c>
      <c r="M692" s="5" t="str">
        <f>_xlfn.SWITCH(recruitment_data3[[#This Row],[RecruitmentStrategy]], 1,"Aggressive", 2,"Moderate", 3,"Conservative")</f>
        <v>Moderate</v>
      </c>
      <c r="N692" s="5">
        <v>2</v>
      </c>
      <c r="O692" s="5" t="str">
        <f>IF(recruitment_data3[[#This Row],[HiringDecision]]=1,"Hired","Rejected")</f>
        <v>Rejected</v>
      </c>
      <c r="P692" s="6">
        <v>0</v>
      </c>
    </row>
    <row r="693" spans="1:16" x14ac:dyDescent="0.25">
      <c r="A693" s="4" t="str">
        <f t="shared" si="10"/>
        <v>C0692</v>
      </c>
      <c r="B693" s="4">
        <v>20</v>
      </c>
      <c r="C693" s="5" t="str">
        <f>IF(recruitment_data3[[#This Row],[Gender]]=1,"Female","Male")</f>
        <v>Female</v>
      </c>
      <c r="D693" s="5">
        <v>1</v>
      </c>
      <c r="E693" s="5" t="str">
        <f>_xlfn.SWITCH(recruitment_data3[[#This Row],[EducationLevel]], 1,"Bachelor Type 1", 2,"Bachelor Type 2", 3,"Masters", 4,"PhD")</f>
        <v>Bachelor Type 2</v>
      </c>
      <c r="F693" s="5">
        <v>2</v>
      </c>
      <c r="G693" s="5">
        <v>5</v>
      </c>
      <c r="H693" s="5">
        <v>3</v>
      </c>
      <c r="I693" s="5">
        <v>47.057194009042092</v>
      </c>
      <c r="J693" s="5">
        <v>34</v>
      </c>
      <c r="K693" s="5">
        <v>34</v>
      </c>
      <c r="L693" s="5">
        <v>92</v>
      </c>
      <c r="M693" s="5" t="str">
        <f>_xlfn.SWITCH(recruitment_data3[[#This Row],[RecruitmentStrategy]], 1,"Aggressive", 2,"Moderate", 3,"Conservative")</f>
        <v>Moderate</v>
      </c>
      <c r="N693" s="5">
        <v>2</v>
      </c>
      <c r="O693" s="5" t="str">
        <f>IF(recruitment_data3[[#This Row],[HiringDecision]]=1,"Hired","Rejected")</f>
        <v>Rejected</v>
      </c>
      <c r="P693" s="6">
        <v>0</v>
      </c>
    </row>
    <row r="694" spans="1:16" x14ac:dyDescent="0.25">
      <c r="A694" s="4" t="str">
        <f t="shared" si="10"/>
        <v>C0693</v>
      </c>
      <c r="B694" s="4">
        <v>48</v>
      </c>
      <c r="C694" s="5" t="str">
        <f>IF(recruitment_data3[[#This Row],[Gender]]=1,"Female","Male")</f>
        <v>Female</v>
      </c>
      <c r="D694" s="5">
        <v>1</v>
      </c>
      <c r="E694" s="5" t="str">
        <f>_xlfn.SWITCH(recruitment_data3[[#This Row],[EducationLevel]], 1,"Bachelor Type 1", 2,"Bachelor Type 2", 3,"Masters", 4,"PhD")</f>
        <v>Bachelor Type 2</v>
      </c>
      <c r="F694" s="5">
        <v>2</v>
      </c>
      <c r="G694" s="5">
        <v>9</v>
      </c>
      <c r="H694" s="5">
        <v>2</v>
      </c>
      <c r="I694" s="5">
        <v>49.804301209978583</v>
      </c>
      <c r="J694" s="5">
        <v>52</v>
      </c>
      <c r="K694" s="5">
        <v>42</v>
      </c>
      <c r="L694" s="5">
        <v>82</v>
      </c>
      <c r="M694" s="5" t="str">
        <f>_xlfn.SWITCH(recruitment_data3[[#This Row],[RecruitmentStrategy]], 1,"Aggressive", 2,"Moderate", 3,"Conservative")</f>
        <v>Moderate</v>
      </c>
      <c r="N694" s="5">
        <v>2</v>
      </c>
      <c r="O694" s="5" t="str">
        <f>IF(recruitment_data3[[#This Row],[HiringDecision]]=1,"Hired","Rejected")</f>
        <v>Rejected</v>
      </c>
      <c r="P694" s="6">
        <v>0</v>
      </c>
    </row>
    <row r="695" spans="1:16" x14ac:dyDescent="0.25">
      <c r="A695" s="4" t="str">
        <f t="shared" si="10"/>
        <v>C0694</v>
      </c>
      <c r="B695" s="4">
        <v>38</v>
      </c>
      <c r="C695" s="5" t="str">
        <f>IF(recruitment_data3[[#This Row],[Gender]]=1,"Female","Male")</f>
        <v>Male</v>
      </c>
      <c r="D695" s="5">
        <v>0</v>
      </c>
      <c r="E695" s="5" t="str">
        <f>_xlfn.SWITCH(recruitment_data3[[#This Row],[EducationLevel]], 1,"Bachelor Type 1", 2,"Bachelor Type 2", 3,"Masters", 4,"PhD")</f>
        <v>Bachelor Type 2</v>
      </c>
      <c r="F695" s="5">
        <v>2</v>
      </c>
      <c r="G695" s="5">
        <v>6</v>
      </c>
      <c r="H695" s="5">
        <v>4</v>
      </c>
      <c r="I695" s="5">
        <v>12.114138331929263</v>
      </c>
      <c r="J695" s="5">
        <v>46</v>
      </c>
      <c r="K695" s="5">
        <v>1</v>
      </c>
      <c r="L695" s="5">
        <v>43</v>
      </c>
      <c r="M695" s="5" t="str">
        <f>_xlfn.SWITCH(recruitment_data3[[#This Row],[RecruitmentStrategy]], 1,"Aggressive", 2,"Moderate", 3,"Conservative")</f>
        <v>Moderate</v>
      </c>
      <c r="N695" s="5">
        <v>2</v>
      </c>
      <c r="O695" s="5" t="str">
        <f>IF(recruitment_data3[[#This Row],[HiringDecision]]=1,"Hired","Rejected")</f>
        <v>Rejected</v>
      </c>
      <c r="P695" s="6">
        <v>0</v>
      </c>
    </row>
    <row r="696" spans="1:16" x14ac:dyDescent="0.25">
      <c r="A696" s="4" t="str">
        <f t="shared" si="10"/>
        <v>C0695</v>
      </c>
      <c r="B696" s="4">
        <v>30</v>
      </c>
      <c r="C696" s="5" t="str">
        <f>IF(recruitment_data3[[#This Row],[Gender]]=1,"Female","Male")</f>
        <v>Male</v>
      </c>
      <c r="D696" s="5">
        <v>0</v>
      </c>
      <c r="E696" s="5" t="str">
        <f>_xlfn.SWITCH(recruitment_data3[[#This Row],[EducationLevel]], 1,"Bachelor Type 1", 2,"Bachelor Type 2", 3,"Masters", 4,"PhD")</f>
        <v>Bachelor Type 1</v>
      </c>
      <c r="F696" s="5">
        <v>1</v>
      </c>
      <c r="G696" s="5">
        <v>4</v>
      </c>
      <c r="H696" s="5">
        <v>5</v>
      </c>
      <c r="I696" s="5">
        <v>11.405301729818639</v>
      </c>
      <c r="J696" s="5">
        <v>74</v>
      </c>
      <c r="K696" s="5">
        <v>55</v>
      </c>
      <c r="L696" s="5">
        <v>5</v>
      </c>
      <c r="M696" s="5" t="str">
        <f>_xlfn.SWITCH(recruitment_data3[[#This Row],[RecruitmentStrategy]], 1,"Aggressive", 2,"Moderate", 3,"Conservative")</f>
        <v>Aggressive</v>
      </c>
      <c r="N696" s="5">
        <v>1</v>
      </c>
      <c r="O696" s="5" t="str">
        <f>IF(recruitment_data3[[#This Row],[HiringDecision]]=1,"Hired","Rejected")</f>
        <v>Hired</v>
      </c>
      <c r="P696" s="6">
        <v>1</v>
      </c>
    </row>
    <row r="697" spans="1:16" x14ac:dyDescent="0.25">
      <c r="A697" s="4" t="str">
        <f t="shared" si="10"/>
        <v>C0696</v>
      </c>
      <c r="B697" s="4">
        <v>24</v>
      </c>
      <c r="C697" s="5" t="str">
        <f>IF(recruitment_data3[[#This Row],[Gender]]=1,"Female","Male")</f>
        <v>Female</v>
      </c>
      <c r="D697" s="5">
        <v>1</v>
      </c>
      <c r="E697" s="5" t="str">
        <f>_xlfn.SWITCH(recruitment_data3[[#This Row],[EducationLevel]], 1,"Bachelor Type 1", 2,"Bachelor Type 2", 3,"Masters", 4,"PhD")</f>
        <v>Bachelor Type 1</v>
      </c>
      <c r="F697" s="5">
        <v>1</v>
      </c>
      <c r="G697" s="5">
        <v>14</v>
      </c>
      <c r="H697" s="5">
        <v>2</v>
      </c>
      <c r="I697" s="5">
        <v>38.68600882810648</v>
      </c>
      <c r="J697" s="5">
        <v>51</v>
      </c>
      <c r="K697" s="5">
        <v>76</v>
      </c>
      <c r="L697" s="5">
        <v>49</v>
      </c>
      <c r="M697" s="5" t="str">
        <f>_xlfn.SWITCH(recruitment_data3[[#This Row],[RecruitmentStrategy]], 1,"Aggressive", 2,"Moderate", 3,"Conservative")</f>
        <v>Moderate</v>
      </c>
      <c r="N697" s="5">
        <v>2</v>
      </c>
      <c r="O697" s="5" t="str">
        <f>IF(recruitment_data3[[#This Row],[HiringDecision]]=1,"Hired","Rejected")</f>
        <v>Rejected</v>
      </c>
      <c r="P697" s="6">
        <v>0</v>
      </c>
    </row>
    <row r="698" spans="1:16" x14ac:dyDescent="0.25">
      <c r="A698" s="4" t="str">
        <f t="shared" si="10"/>
        <v>C0697</v>
      </c>
      <c r="B698" s="4">
        <v>31</v>
      </c>
      <c r="C698" s="5" t="str">
        <f>IF(recruitment_data3[[#This Row],[Gender]]=1,"Female","Male")</f>
        <v>Male</v>
      </c>
      <c r="D698" s="5">
        <v>0</v>
      </c>
      <c r="E698" s="5" t="str">
        <f>_xlfn.SWITCH(recruitment_data3[[#This Row],[EducationLevel]], 1,"Bachelor Type 1", 2,"Bachelor Type 2", 3,"Masters", 4,"PhD")</f>
        <v>Bachelor Type 2</v>
      </c>
      <c r="F698" s="5">
        <v>2</v>
      </c>
      <c r="G698" s="5">
        <v>14</v>
      </c>
      <c r="H698" s="5">
        <v>1</v>
      </c>
      <c r="I698" s="5">
        <v>13.668969941466724</v>
      </c>
      <c r="J698" s="5">
        <v>7</v>
      </c>
      <c r="K698" s="5">
        <v>50</v>
      </c>
      <c r="L698" s="5">
        <v>71</v>
      </c>
      <c r="M698" s="5" t="str">
        <f>_xlfn.SWITCH(recruitment_data3[[#This Row],[RecruitmentStrategy]], 1,"Aggressive", 2,"Moderate", 3,"Conservative")</f>
        <v>Moderate</v>
      </c>
      <c r="N698" s="5">
        <v>2</v>
      </c>
      <c r="O698" s="5" t="str">
        <f>IF(recruitment_data3[[#This Row],[HiringDecision]]=1,"Hired","Rejected")</f>
        <v>Rejected</v>
      </c>
      <c r="P698" s="6">
        <v>0</v>
      </c>
    </row>
    <row r="699" spans="1:16" x14ac:dyDescent="0.25">
      <c r="A699" s="4" t="str">
        <f t="shared" si="10"/>
        <v>C0698</v>
      </c>
      <c r="B699" s="4">
        <v>22</v>
      </c>
      <c r="C699" s="5" t="str">
        <f>IF(recruitment_data3[[#This Row],[Gender]]=1,"Female","Male")</f>
        <v>Male</v>
      </c>
      <c r="D699" s="5">
        <v>0</v>
      </c>
      <c r="E699" s="5" t="str">
        <f>_xlfn.SWITCH(recruitment_data3[[#This Row],[EducationLevel]], 1,"Bachelor Type 1", 2,"Bachelor Type 2", 3,"Masters", 4,"PhD")</f>
        <v>Bachelor Type 1</v>
      </c>
      <c r="F699" s="5">
        <v>1</v>
      </c>
      <c r="G699" s="5">
        <v>3</v>
      </c>
      <c r="H699" s="5">
        <v>4</v>
      </c>
      <c r="I699" s="5">
        <v>45.753827958092252</v>
      </c>
      <c r="J699" s="5">
        <v>3</v>
      </c>
      <c r="K699" s="5">
        <v>53</v>
      </c>
      <c r="L699" s="5">
        <v>87</v>
      </c>
      <c r="M699" s="5" t="str">
        <f>_xlfn.SWITCH(recruitment_data3[[#This Row],[RecruitmentStrategy]], 1,"Aggressive", 2,"Moderate", 3,"Conservative")</f>
        <v>Moderate</v>
      </c>
      <c r="N699" s="5">
        <v>2</v>
      </c>
      <c r="O699" s="5" t="str">
        <f>IF(recruitment_data3[[#This Row],[HiringDecision]]=1,"Hired","Rejected")</f>
        <v>Rejected</v>
      </c>
      <c r="P699" s="6">
        <v>0</v>
      </c>
    </row>
    <row r="700" spans="1:16" x14ac:dyDescent="0.25">
      <c r="A700" s="4" t="str">
        <f t="shared" si="10"/>
        <v>C0699</v>
      </c>
      <c r="B700" s="4">
        <v>20</v>
      </c>
      <c r="C700" s="5" t="str">
        <f>IF(recruitment_data3[[#This Row],[Gender]]=1,"Female","Male")</f>
        <v>Male</v>
      </c>
      <c r="D700" s="5">
        <v>0</v>
      </c>
      <c r="E700" s="5" t="str">
        <f>_xlfn.SWITCH(recruitment_data3[[#This Row],[EducationLevel]], 1,"Bachelor Type 1", 2,"Bachelor Type 2", 3,"Masters", 4,"PhD")</f>
        <v>Bachelor Type 2</v>
      </c>
      <c r="F700" s="5">
        <v>2</v>
      </c>
      <c r="G700" s="5">
        <v>15</v>
      </c>
      <c r="H700" s="5">
        <v>3</v>
      </c>
      <c r="I700" s="5">
        <v>29.696456806149111</v>
      </c>
      <c r="J700" s="5">
        <v>26</v>
      </c>
      <c r="K700" s="5">
        <v>15</v>
      </c>
      <c r="L700" s="5">
        <v>19</v>
      </c>
      <c r="M700" s="5" t="str">
        <f>_xlfn.SWITCH(recruitment_data3[[#This Row],[RecruitmentStrategy]], 1,"Aggressive", 2,"Moderate", 3,"Conservative")</f>
        <v>Moderate</v>
      </c>
      <c r="N700" s="5">
        <v>2</v>
      </c>
      <c r="O700" s="5" t="str">
        <f>IF(recruitment_data3[[#This Row],[HiringDecision]]=1,"Hired","Rejected")</f>
        <v>Rejected</v>
      </c>
      <c r="P700" s="6">
        <v>0</v>
      </c>
    </row>
    <row r="701" spans="1:16" x14ac:dyDescent="0.25">
      <c r="A701" s="4" t="str">
        <f t="shared" si="10"/>
        <v>C0700</v>
      </c>
      <c r="B701" s="4">
        <v>20</v>
      </c>
      <c r="C701" s="5" t="str">
        <f>IF(recruitment_data3[[#This Row],[Gender]]=1,"Female","Male")</f>
        <v>Male</v>
      </c>
      <c r="D701" s="5">
        <v>0</v>
      </c>
      <c r="E701" s="5" t="str">
        <f>_xlfn.SWITCH(recruitment_data3[[#This Row],[EducationLevel]], 1,"Bachelor Type 1", 2,"Bachelor Type 2", 3,"Masters", 4,"PhD")</f>
        <v>Bachelor Type 2</v>
      </c>
      <c r="F701" s="5">
        <v>2</v>
      </c>
      <c r="G701" s="5">
        <v>6</v>
      </c>
      <c r="H701" s="5">
        <v>2</v>
      </c>
      <c r="I701" s="5">
        <v>18.538881150515607</v>
      </c>
      <c r="J701" s="5">
        <v>43</v>
      </c>
      <c r="K701" s="5">
        <v>17</v>
      </c>
      <c r="L701" s="5">
        <v>13</v>
      </c>
      <c r="M701" s="5" t="str">
        <f>_xlfn.SWITCH(recruitment_data3[[#This Row],[RecruitmentStrategy]], 1,"Aggressive", 2,"Moderate", 3,"Conservative")</f>
        <v>Conservative</v>
      </c>
      <c r="N701" s="5">
        <v>3</v>
      </c>
      <c r="O701" s="5" t="str">
        <f>IF(recruitment_data3[[#This Row],[HiringDecision]]=1,"Hired","Rejected")</f>
        <v>Rejected</v>
      </c>
      <c r="P701" s="6">
        <v>0</v>
      </c>
    </row>
    <row r="702" spans="1:16" x14ac:dyDescent="0.25">
      <c r="A702" s="4" t="str">
        <f t="shared" si="10"/>
        <v>C0701</v>
      </c>
      <c r="B702" s="4">
        <v>27</v>
      </c>
      <c r="C702" s="5" t="str">
        <f>IF(recruitment_data3[[#This Row],[Gender]]=1,"Female","Male")</f>
        <v>Female</v>
      </c>
      <c r="D702" s="5">
        <v>1</v>
      </c>
      <c r="E702" s="5" t="str">
        <f>_xlfn.SWITCH(recruitment_data3[[#This Row],[EducationLevel]], 1,"Bachelor Type 1", 2,"Bachelor Type 2", 3,"Masters", 4,"PhD")</f>
        <v>Masters</v>
      </c>
      <c r="F702" s="5">
        <v>3</v>
      </c>
      <c r="G702" s="5">
        <v>6</v>
      </c>
      <c r="H702" s="5">
        <v>3</v>
      </c>
      <c r="I702" s="5">
        <v>42.634687317471005</v>
      </c>
      <c r="J702" s="5">
        <v>39</v>
      </c>
      <c r="K702" s="5">
        <v>6</v>
      </c>
      <c r="L702" s="5">
        <v>4</v>
      </c>
      <c r="M702" s="5" t="str">
        <f>_xlfn.SWITCH(recruitment_data3[[#This Row],[RecruitmentStrategy]], 1,"Aggressive", 2,"Moderate", 3,"Conservative")</f>
        <v>Moderate</v>
      </c>
      <c r="N702" s="5">
        <v>2</v>
      </c>
      <c r="O702" s="5" t="str">
        <f>IF(recruitment_data3[[#This Row],[HiringDecision]]=1,"Hired","Rejected")</f>
        <v>Rejected</v>
      </c>
      <c r="P702" s="6">
        <v>0</v>
      </c>
    </row>
    <row r="703" spans="1:16" x14ac:dyDescent="0.25">
      <c r="A703" s="4" t="str">
        <f t="shared" si="10"/>
        <v>C0702</v>
      </c>
      <c r="B703" s="4">
        <v>29</v>
      </c>
      <c r="C703" s="5" t="str">
        <f>IF(recruitment_data3[[#This Row],[Gender]]=1,"Female","Male")</f>
        <v>Female</v>
      </c>
      <c r="D703" s="5">
        <v>1</v>
      </c>
      <c r="E703" s="5" t="str">
        <f>_xlfn.SWITCH(recruitment_data3[[#This Row],[EducationLevel]], 1,"Bachelor Type 1", 2,"Bachelor Type 2", 3,"Masters", 4,"PhD")</f>
        <v>Bachelor Type 1</v>
      </c>
      <c r="F703" s="5">
        <v>1</v>
      </c>
      <c r="G703" s="5">
        <v>5</v>
      </c>
      <c r="H703" s="5">
        <v>4</v>
      </c>
      <c r="I703" s="5">
        <v>25.670335020669761</v>
      </c>
      <c r="J703" s="5">
        <v>46</v>
      </c>
      <c r="K703" s="5">
        <v>44</v>
      </c>
      <c r="L703" s="5">
        <v>40</v>
      </c>
      <c r="M703" s="5" t="str">
        <f>_xlfn.SWITCH(recruitment_data3[[#This Row],[RecruitmentStrategy]], 1,"Aggressive", 2,"Moderate", 3,"Conservative")</f>
        <v>Moderate</v>
      </c>
      <c r="N703" s="5">
        <v>2</v>
      </c>
      <c r="O703" s="5" t="str">
        <f>IF(recruitment_data3[[#This Row],[HiringDecision]]=1,"Hired","Rejected")</f>
        <v>Rejected</v>
      </c>
      <c r="P703" s="6">
        <v>0</v>
      </c>
    </row>
    <row r="704" spans="1:16" x14ac:dyDescent="0.25">
      <c r="A704" s="4" t="str">
        <f t="shared" si="10"/>
        <v>C0703</v>
      </c>
      <c r="B704" s="4">
        <v>30</v>
      </c>
      <c r="C704" s="5" t="str">
        <f>IF(recruitment_data3[[#This Row],[Gender]]=1,"Female","Male")</f>
        <v>Female</v>
      </c>
      <c r="D704" s="5">
        <v>1</v>
      </c>
      <c r="E704" s="5" t="str">
        <f>_xlfn.SWITCH(recruitment_data3[[#This Row],[EducationLevel]], 1,"Bachelor Type 1", 2,"Bachelor Type 2", 3,"Masters", 4,"PhD")</f>
        <v>Bachelor Type 2</v>
      </c>
      <c r="F704" s="5">
        <v>2</v>
      </c>
      <c r="G704" s="5">
        <v>7</v>
      </c>
      <c r="H704" s="5">
        <v>3</v>
      </c>
      <c r="I704" s="5">
        <v>46.58164568542378</v>
      </c>
      <c r="J704" s="5">
        <v>93</v>
      </c>
      <c r="K704" s="5">
        <v>35</v>
      </c>
      <c r="L704" s="5">
        <v>39</v>
      </c>
      <c r="M704" s="5" t="str">
        <f>_xlfn.SWITCH(recruitment_data3[[#This Row],[RecruitmentStrategy]], 1,"Aggressive", 2,"Moderate", 3,"Conservative")</f>
        <v>Conservative</v>
      </c>
      <c r="N704" s="5">
        <v>3</v>
      </c>
      <c r="O704" s="5" t="str">
        <f>IF(recruitment_data3[[#This Row],[HiringDecision]]=1,"Hired","Rejected")</f>
        <v>Rejected</v>
      </c>
      <c r="P704" s="6">
        <v>0</v>
      </c>
    </row>
    <row r="705" spans="1:16" x14ac:dyDescent="0.25">
      <c r="A705" s="4" t="str">
        <f t="shared" si="10"/>
        <v>C0704</v>
      </c>
      <c r="B705" s="4">
        <v>31</v>
      </c>
      <c r="C705" s="5" t="str">
        <f>IF(recruitment_data3[[#This Row],[Gender]]=1,"Female","Male")</f>
        <v>Male</v>
      </c>
      <c r="D705" s="5">
        <v>0</v>
      </c>
      <c r="E705" s="5" t="str">
        <f>_xlfn.SWITCH(recruitment_data3[[#This Row],[EducationLevel]], 1,"Bachelor Type 1", 2,"Bachelor Type 2", 3,"Masters", 4,"PhD")</f>
        <v>Masters</v>
      </c>
      <c r="F705" s="5">
        <v>3</v>
      </c>
      <c r="G705" s="5">
        <v>3</v>
      </c>
      <c r="H705" s="5">
        <v>2</v>
      </c>
      <c r="I705" s="5">
        <v>47.40071183646905</v>
      </c>
      <c r="J705" s="5">
        <v>43</v>
      </c>
      <c r="K705" s="5">
        <v>40</v>
      </c>
      <c r="L705" s="5">
        <v>33</v>
      </c>
      <c r="M705" s="5" t="str">
        <f>_xlfn.SWITCH(recruitment_data3[[#This Row],[RecruitmentStrategy]], 1,"Aggressive", 2,"Moderate", 3,"Conservative")</f>
        <v>Moderate</v>
      </c>
      <c r="N705" s="5">
        <v>2</v>
      </c>
      <c r="O705" s="5" t="str">
        <f>IF(recruitment_data3[[#This Row],[HiringDecision]]=1,"Hired","Rejected")</f>
        <v>Rejected</v>
      </c>
      <c r="P705" s="6">
        <v>0</v>
      </c>
    </row>
    <row r="706" spans="1:16" x14ac:dyDescent="0.25">
      <c r="A706" s="4" t="str">
        <f t="shared" ref="A706:A769" si="11">"C"&amp;TEXT(ROW()-1,"0000")</f>
        <v>C0705</v>
      </c>
      <c r="B706" s="4">
        <v>48</v>
      </c>
      <c r="C706" s="5" t="str">
        <f>IF(recruitment_data3[[#This Row],[Gender]]=1,"Female","Male")</f>
        <v>Female</v>
      </c>
      <c r="D706" s="5">
        <v>1</v>
      </c>
      <c r="E706" s="5" t="str">
        <f>_xlfn.SWITCH(recruitment_data3[[#This Row],[EducationLevel]], 1,"Bachelor Type 1", 2,"Bachelor Type 2", 3,"Masters", 4,"PhD")</f>
        <v>Bachelor Type 2</v>
      </c>
      <c r="F706" s="5">
        <v>2</v>
      </c>
      <c r="G706" s="5">
        <v>9</v>
      </c>
      <c r="H706" s="5">
        <v>4</v>
      </c>
      <c r="I706" s="5">
        <v>9.2710076064204667</v>
      </c>
      <c r="J706" s="5">
        <v>47</v>
      </c>
      <c r="K706" s="5">
        <v>93</v>
      </c>
      <c r="L706" s="5">
        <v>79</v>
      </c>
      <c r="M706" s="5" t="str">
        <f>_xlfn.SWITCH(recruitment_data3[[#This Row],[RecruitmentStrategy]], 1,"Aggressive", 2,"Moderate", 3,"Conservative")</f>
        <v>Aggressive</v>
      </c>
      <c r="N706" s="5">
        <v>1</v>
      </c>
      <c r="O706" s="5" t="str">
        <f>IF(recruitment_data3[[#This Row],[HiringDecision]]=1,"Hired","Rejected")</f>
        <v>Hired</v>
      </c>
      <c r="P706" s="6">
        <v>1</v>
      </c>
    </row>
    <row r="707" spans="1:16" x14ac:dyDescent="0.25">
      <c r="A707" s="4" t="str">
        <f t="shared" si="11"/>
        <v>C0706</v>
      </c>
      <c r="B707" s="4">
        <v>32</v>
      </c>
      <c r="C707" s="5" t="str">
        <f>IF(recruitment_data3[[#This Row],[Gender]]=1,"Female","Male")</f>
        <v>Female</v>
      </c>
      <c r="D707" s="5">
        <v>1</v>
      </c>
      <c r="E707" s="5" t="str">
        <f>_xlfn.SWITCH(recruitment_data3[[#This Row],[EducationLevel]], 1,"Bachelor Type 1", 2,"Bachelor Type 2", 3,"Masters", 4,"PhD")</f>
        <v>Bachelor Type 1</v>
      </c>
      <c r="F707" s="5">
        <v>1</v>
      </c>
      <c r="G707" s="5">
        <v>4</v>
      </c>
      <c r="H707" s="5">
        <v>1</v>
      </c>
      <c r="I707" s="5">
        <v>1.1161703065965136</v>
      </c>
      <c r="J707" s="5">
        <v>90</v>
      </c>
      <c r="K707" s="5">
        <v>41</v>
      </c>
      <c r="L707" s="5">
        <v>44</v>
      </c>
      <c r="M707" s="5" t="str">
        <f>_xlfn.SWITCH(recruitment_data3[[#This Row],[RecruitmentStrategy]], 1,"Aggressive", 2,"Moderate", 3,"Conservative")</f>
        <v>Aggressive</v>
      </c>
      <c r="N707" s="5">
        <v>1</v>
      </c>
      <c r="O707" s="5" t="str">
        <f>IF(recruitment_data3[[#This Row],[HiringDecision]]=1,"Hired","Rejected")</f>
        <v>Rejected</v>
      </c>
      <c r="P707" s="6">
        <v>0</v>
      </c>
    </row>
    <row r="708" spans="1:16" x14ac:dyDescent="0.25">
      <c r="A708" s="4" t="str">
        <f t="shared" si="11"/>
        <v>C0707</v>
      </c>
      <c r="B708" s="4">
        <v>31</v>
      </c>
      <c r="C708" s="5" t="str">
        <f>IF(recruitment_data3[[#This Row],[Gender]]=1,"Female","Male")</f>
        <v>Male</v>
      </c>
      <c r="D708" s="5">
        <v>0</v>
      </c>
      <c r="E708" s="5" t="str">
        <f>_xlfn.SWITCH(recruitment_data3[[#This Row],[EducationLevel]], 1,"Bachelor Type 1", 2,"Bachelor Type 2", 3,"Masters", 4,"PhD")</f>
        <v>Masters</v>
      </c>
      <c r="F708" s="5">
        <v>3</v>
      </c>
      <c r="G708" s="5">
        <v>3</v>
      </c>
      <c r="H708" s="5">
        <v>2</v>
      </c>
      <c r="I708" s="5">
        <v>50.19654700712011</v>
      </c>
      <c r="J708" s="5">
        <v>84</v>
      </c>
      <c r="K708" s="5">
        <v>6</v>
      </c>
      <c r="L708" s="5">
        <v>70</v>
      </c>
      <c r="M708" s="5" t="str">
        <f>_xlfn.SWITCH(recruitment_data3[[#This Row],[RecruitmentStrategy]], 1,"Aggressive", 2,"Moderate", 3,"Conservative")</f>
        <v>Moderate</v>
      </c>
      <c r="N708" s="5">
        <v>2</v>
      </c>
      <c r="O708" s="5" t="str">
        <f>IF(recruitment_data3[[#This Row],[HiringDecision]]=1,"Hired","Rejected")</f>
        <v>Rejected</v>
      </c>
      <c r="P708" s="6">
        <v>0</v>
      </c>
    </row>
    <row r="709" spans="1:16" x14ac:dyDescent="0.25">
      <c r="A709" s="4" t="str">
        <f t="shared" si="11"/>
        <v>C0708</v>
      </c>
      <c r="B709" s="4">
        <v>50</v>
      </c>
      <c r="C709" s="5" t="str">
        <f>IF(recruitment_data3[[#This Row],[Gender]]=1,"Female","Male")</f>
        <v>Male</v>
      </c>
      <c r="D709" s="5">
        <v>0</v>
      </c>
      <c r="E709" s="5" t="str">
        <f>_xlfn.SWITCH(recruitment_data3[[#This Row],[EducationLevel]], 1,"Bachelor Type 1", 2,"Bachelor Type 2", 3,"Masters", 4,"PhD")</f>
        <v>Masters</v>
      </c>
      <c r="F709" s="5">
        <v>3</v>
      </c>
      <c r="G709" s="5">
        <v>11</v>
      </c>
      <c r="H709" s="5">
        <v>5</v>
      </c>
      <c r="I709" s="5">
        <v>46.306876806373971</v>
      </c>
      <c r="J709" s="5">
        <v>51</v>
      </c>
      <c r="K709" s="5">
        <v>14</v>
      </c>
      <c r="L709" s="5">
        <v>79</v>
      </c>
      <c r="M709" s="5" t="str">
        <f>_xlfn.SWITCH(recruitment_data3[[#This Row],[RecruitmentStrategy]], 1,"Aggressive", 2,"Moderate", 3,"Conservative")</f>
        <v>Aggressive</v>
      </c>
      <c r="N709" s="5">
        <v>1</v>
      </c>
      <c r="O709" s="5" t="str">
        <f>IF(recruitment_data3[[#This Row],[HiringDecision]]=1,"Hired","Rejected")</f>
        <v>Hired</v>
      </c>
      <c r="P709" s="6">
        <v>1</v>
      </c>
    </row>
    <row r="710" spans="1:16" x14ac:dyDescent="0.25">
      <c r="A710" s="4" t="str">
        <f t="shared" si="11"/>
        <v>C0709</v>
      </c>
      <c r="B710" s="4">
        <v>33</v>
      </c>
      <c r="C710" s="5" t="str">
        <f>IF(recruitment_data3[[#This Row],[Gender]]=1,"Female","Male")</f>
        <v>Female</v>
      </c>
      <c r="D710" s="5">
        <v>1</v>
      </c>
      <c r="E710" s="5" t="str">
        <f>_xlfn.SWITCH(recruitment_data3[[#This Row],[EducationLevel]], 1,"Bachelor Type 1", 2,"Bachelor Type 2", 3,"Masters", 4,"PhD")</f>
        <v>Bachelor Type 2</v>
      </c>
      <c r="F710" s="5">
        <v>2</v>
      </c>
      <c r="G710" s="5">
        <v>0</v>
      </c>
      <c r="H710" s="5">
        <v>2</v>
      </c>
      <c r="I710" s="5">
        <v>3.7722617851920708</v>
      </c>
      <c r="J710" s="5">
        <v>83</v>
      </c>
      <c r="K710" s="5">
        <v>59</v>
      </c>
      <c r="L710" s="5">
        <v>70</v>
      </c>
      <c r="M710" s="5" t="str">
        <f>_xlfn.SWITCH(recruitment_data3[[#This Row],[RecruitmentStrategy]], 1,"Aggressive", 2,"Moderate", 3,"Conservative")</f>
        <v>Moderate</v>
      </c>
      <c r="N710" s="5">
        <v>2</v>
      </c>
      <c r="O710" s="5" t="str">
        <f>IF(recruitment_data3[[#This Row],[HiringDecision]]=1,"Hired","Rejected")</f>
        <v>Rejected</v>
      </c>
      <c r="P710" s="6">
        <v>0</v>
      </c>
    </row>
    <row r="711" spans="1:16" x14ac:dyDescent="0.25">
      <c r="A711" s="4" t="str">
        <f t="shared" si="11"/>
        <v>C0710</v>
      </c>
      <c r="B711" s="4">
        <v>21</v>
      </c>
      <c r="C711" s="5" t="str">
        <f>IF(recruitment_data3[[#This Row],[Gender]]=1,"Female","Male")</f>
        <v>Female</v>
      </c>
      <c r="D711" s="5">
        <v>1</v>
      </c>
      <c r="E711" s="5" t="str">
        <f>_xlfn.SWITCH(recruitment_data3[[#This Row],[EducationLevel]], 1,"Bachelor Type 1", 2,"Bachelor Type 2", 3,"Masters", 4,"PhD")</f>
        <v>Bachelor Type 2</v>
      </c>
      <c r="F711" s="5">
        <v>2</v>
      </c>
      <c r="G711" s="5">
        <v>11</v>
      </c>
      <c r="H711" s="5">
        <v>4</v>
      </c>
      <c r="I711" s="5">
        <v>42.651713197053496</v>
      </c>
      <c r="J711" s="5">
        <v>67</v>
      </c>
      <c r="K711" s="5">
        <v>39</v>
      </c>
      <c r="L711" s="5">
        <v>26</v>
      </c>
      <c r="M711" s="5" t="str">
        <f>_xlfn.SWITCH(recruitment_data3[[#This Row],[RecruitmentStrategy]], 1,"Aggressive", 2,"Moderate", 3,"Conservative")</f>
        <v>Aggressive</v>
      </c>
      <c r="N711" s="5">
        <v>1</v>
      </c>
      <c r="O711" s="5" t="str">
        <f>IF(recruitment_data3[[#This Row],[HiringDecision]]=1,"Hired","Rejected")</f>
        <v>Rejected</v>
      </c>
      <c r="P711" s="6">
        <v>0</v>
      </c>
    </row>
    <row r="712" spans="1:16" x14ac:dyDescent="0.25">
      <c r="A712" s="4" t="str">
        <f t="shared" si="11"/>
        <v>C0711</v>
      </c>
      <c r="B712" s="4">
        <v>48</v>
      </c>
      <c r="C712" s="5" t="str">
        <f>IF(recruitment_data3[[#This Row],[Gender]]=1,"Female","Male")</f>
        <v>Female</v>
      </c>
      <c r="D712" s="5">
        <v>1</v>
      </c>
      <c r="E712" s="5" t="str">
        <f>_xlfn.SWITCH(recruitment_data3[[#This Row],[EducationLevel]], 1,"Bachelor Type 1", 2,"Bachelor Type 2", 3,"Masters", 4,"PhD")</f>
        <v>PhD</v>
      </c>
      <c r="F712" s="5">
        <v>4</v>
      </c>
      <c r="G712" s="5">
        <v>7</v>
      </c>
      <c r="H712" s="5">
        <v>2</v>
      </c>
      <c r="I712" s="5">
        <v>23.89024662796033</v>
      </c>
      <c r="J712" s="5">
        <v>10</v>
      </c>
      <c r="K712" s="5">
        <v>82</v>
      </c>
      <c r="L712" s="5">
        <v>77</v>
      </c>
      <c r="M712" s="5" t="str">
        <f>_xlfn.SWITCH(recruitment_data3[[#This Row],[RecruitmentStrategy]], 1,"Aggressive", 2,"Moderate", 3,"Conservative")</f>
        <v>Aggressive</v>
      </c>
      <c r="N712" s="5">
        <v>1</v>
      </c>
      <c r="O712" s="5" t="str">
        <f>IF(recruitment_data3[[#This Row],[HiringDecision]]=1,"Hired","Rejected")</f>
        <v>Hired</v>
      </c>
      <c r="P712" s="6">
        <v>1</v>
      </c>
    </row>
    <row r="713" spans="1:16" x14ac:dyDescent="0.25">
      <c r="A713" s="4" t="str">
        <f t="shared" si="11"/>
        <v>C0712</v>
      </c>
      <c r="B713" s="4">
        <v>38</v>
      </c>
      <c r="C713" s="5" t="str">
        <f>IF(recruitment_data3[[#This Row],[Gender]]=1,"Female","Male")</f>
        <v>Female</v>
      </c>
      <c r="D713" s="5">
        <v>1</v>
      </c>
      <c r="E713" s="5" t="str">
        <f>_xlfn.SWITCH(recruitment_data3[[#This Row],[EducationLevel]], 1,"Bachelor Type 1", 2,"Bachelor Type 2", 3,"Masters", 4,"PhD")</f>
        <v>Bachelor Type 2</v>
      </c>
      <c r="F713" s="5">
        <v>2</v>
      </c>
      <c r="G713" s="5">
        <v>0</v>
      </c>
      <c r="H713" s="5">
        <v>1</v>
      </c>
      <c r="I713" s="5">
        <v>13.948080251248761</v>
      </c>
      <c r="J713" s="5">
        <v>76</v>
      </c>
      <c r="K713" s="5">
        <v>36</v>
      </c>
      <c r="L713" s="5">
        <v>77</v>
      </c>
      <c r="M713" s="5" t="str">
        <f>_xlfn.SWITCH(recruitment_data3[[#This Row],[RecruitmentStrategy]], 1,"Aggressive", 2,"Moderate", 3,"Conservative")</f>
        <v>Moderate</v>
      </c>
      <c r="N713" s="5">
        <v>2</v>
      </c>
      <c r="O713" s="5" t="str">
        <f>IF(recruitment_data3[[#This Row],[HiringDecision]]=1,"Hired","Rejected")</f>
        <v>Rejected</v>
      </c>
      <c r="P713" s="6">
        <v>0</v>
      </c>
    </row>
    <row r="714" spans="1:16" x14ac:dyDescent="0.25">
      <c r="A714" s="4" t="str">
        <f t="shared" si="11"/>
        <v>C0713</v>
      </c>
      <c r="B714" s="4">
        <v>37</v>
      </c>
      <c r="C714" s="5" t="str">
        <f>IF(recruitment_data3[[#This Row],[Gender]]=1,"Female","Male")</f>
        <v>Male</v>
      </c>
      <c r="D714" s="5">
        <v>0</v>
      </c>
      <c r="E714" s="5" t="str">
        <f>_xlfn.SWITCH(recruitment_data3[[#This Row],[EducationLevel]], 1,"Bachelor Type 1", 2,"Bachelor Type 2", 3,"Masters", 4,"PhD")</f>
        <v>Bachelor Type 2</v>
      </c>
      <c r="F714" s="5">
        <v>2</v>
      </c>
      <c r="G714" s="5">
        <v>4</v>
      </c>
      <c r="H714" s="5">
        <v>1</v>
      </c>
      <c r="I714" s="5">
        <v>44.937326183846494</v>
      </c>
      <c r="J714" s="5">
        <v>72</v>
      </c>
      <c r="K714" s="5">
        <v>65</v>
      </c>
      <c r="L714" s="5">
        <v>43</v>
      </c>
      <c r="M714" s="5" t="str">
        <f>_xlfn.SWITCH(recruitment_data3[[#This Row],[RecruitmentStrategy]], 1,"Aggressive", 2,"Moderate", 3,"Conservative")</f>
        <v>Conservative</v>
      </c>
      <c r="N714" s="5">
        <v>3</v>
      </c>
      <c r="O714" s="5" t="str">
        <f>IF(recruitment_data3[[#This Row],[HiringDecision]]=1,"Hired","Rejected")</f>
        <v>Rejected</v>
      </c>
      <c r="P714" s="6">
        <v>0</v>
      </c>
    </row>
    <row r="715" spans="1:16" x14ac:dyDescent="0.25">
      <c r="A715" s="4" t="str">
        <f t="shared" si="11"/>
        <v>C0714</v>
      </c>
      <c r="B715" s="4">
        <v>22</v>
      </c>
      <c r="C715" s="5" t="str">
        <f>IF(recruitment_data3[[#This Row],[Gender]]=1,"Female","Male")</f>
        <v>Female</v>
      </c>
      <c r="D715" s="5">
        <v>1</v>
      </c>
      <c r="E715" s="5" t="str">
        <f>_xlfn.SWITCH(recruitment_data3[[#This Row],[EducationLevel]], 1,"Bachelor Type 1", 2,"Bachelor Type 2", 3,"Masters", 4,"PhD")</f>
        <v>Masters</v>
      </c>
      <c r="F715" s="5">
        <v>3</v>
      </c>
      <c r="G715" s="5">
        <v>14</v>
      </c>
      <c r="H715" s="5">
        <v>5</v>
      </c>
      <c r="I715" s="5">
        <v>10.833361619515363</v>
      </c>
      <c r="J715" s="5">
        <v>3</v>
      </c>
      <c r="K715" s="5">
        <v>54</v>
      </c>
      <c r="L715" s="5">
        <v>32</v>
      </c>
      <c r="M715" s="5" t="str">
        <f>_xlfn.SWITCH(recruitment_data3[[#This Row],[RecruitmentStrategy]], 1,"Aggressive", 2,"Moderate", 3,"Conservative")</f>
        <v>Moderate</v>
      </c>
      <c r="N715" s="5">
        <v>2</v>
      </c>
      <c r="O715" s="5" t="str">
        <f>IF(recruitment_data3[[#This Row],[HiringDecision]]=1,"Hired","Rejected")</f>
        <v>Rejected</v>
      </c>
      <c r="P715" s="6">
        <v>0</v>
      </c>
    </row>
    <row r="716" spans="1:16" x14ac:dyDescent="0.25">
      <c r="A716" s="4" t="str">
        <f t="shared" si="11"/>
        <v>C0715</v>
      </c>
      <c r="B716" s="4">
        <v>42</v>
      </c>
      <c r="C716" s="5" t="str">
        <f>IF(recruitment_data3[[#This Row],[Gender]]=1,"Female","Male")</f>
        <v>Female</v>
      </c>
      <c r="D716" s="5">
        <v>1</v>
      </c>
      <c r="E716" s="5" t="str">
        <f>_xlfn.SWITCH(recruitment_data3[[#This Row],[EducationLevel]], 1,"Bachelor Type 1", 2,"Bachelor Type 2", 3,"Masters", 4,"PhD")</f>
        <v>Bachelor Type 2</v>
      </c>
      <c r="F716" s="5">
        <v>2</v>
      </c>
      <c r="G716" s="5">
        <v>5</v>
      </c>
      <c r="H716" s="5">
        <v>3</v>
      </c>
      <c r="I716" s="5">
        <v>48.36499997100335</v>
      </c>
      <c r="J716" s="5">
        <v>75</v>
      </c>
      <c r="K716" s="5">
        <v>76</v>
      </c>
      <c r="L716" s="5">
        <v>32</v>
      </c>
      <c r="M716" s="5" t="str">
        <f>_xlfn.SWITCH(recruitment_data3[[#This Row],[RecruitmentStrategy]], 1,"Aggressive", 2,"Moderate", 3,"Conservative")</f>
        <v>Conservative</v>
      </c>
      <c r="N716" s="5">
        <v>3</v>
      </c>
      <c r="O716" s="5" t="str">
        <f>IF(recruitment_data3[[#This Row],[HiringDecision]]=1,"Hired","Rejected")</f>
        <v>Rejected</v>
      </c>
      <c r="P716" s="6">
        <v>0</v>
      </c>
    </row>
    <row r="717" spans="1:16" x14ac:dyDescent="0.25">
      <c r="A717" s="4" t="str">
        <f t="shared" si="11"/>
        <v>C0716</v>
      </c>
      <c r="B717" s="4">
        <v>36</v>
      </c>
      <c r="C717" s="5" t="str">
        <f>IF(recruitment_data3[[#This Row],[Gender]]=1,"Female","Male")</f>
        <v>Male</v>
      </c>
      <c r="D717" s="5">
        <v>0</v>
      </c>
      <c r="E717" s="5" t="str">
        <f>_xlfn.SWITCH(recruitment_data3[[#This Row],[EducationLevel]], 1,"Bachelor Type 1", 2,"Bachelor Type 2", 3,"Masters", 4,"PhD")</f>
        <v>Bachelor Type 2</v>
      </c>
      <c r="F717" s="5">
        <v>2</v>
      </c>
      <c r="G717" s="5">
        <v>5</v>
      </c>
      <c r="H717" s="5">
        <v>4</v>
      </c>
      <c r="I717" s="5">
        <v>11.281074384967054</v>
      </c>
      <c r="J717" s="5">
        <v>72</v>
      </c>
      <c r="K717" s="5">
        <v>94</v>
      </c>
      <c r="L717" s="5">
        <v>43</v>
      </c>
      <c r="M717" s="5" t="str">
        <f>_xlfn.SWITCH(recruitment_data3[[#This Row],[RecruitmentStrategy]], 1,"Aggressive", 2,"Moderate", 3,"Conservative")</f>
        <v>Conservative</v>
      </c>
      <c r="N717" s="5">
        <v>3</v>
      </c>
      <c r="O717" s="5" t="str">
        <f>IF(recruitment_data3[[#This Row],[HiringDecision]]=1,"Hired","Rejected")</f>
        <v>Rejected</v>
      </c>
      <c r="P717" s="6">
        <v>0</v>
      </c>
    </row>
    <row r="718" spans="1:16" x14ac:dyDescent="0.25">
      <c r="A718" s="4" t="str">
        <f t="shared" si="11"/>
        <v>C0717</v>
      </c>
      <c r="B718" s="4">
        <v>45</v>
      </c>
      <c r="C718" s="5" t="str">
        <f>IF(recruitment_data3[[#This Row],[Gender]]=1,"Female","Male")</f>
        <v>Female</v>
      </c>
      <c r="D718" s="5">
        <v>1</v>
      </c>
      <c r="E718" s="5" t="str">
        <f>_xlfn.SWITCH(recruitment_data3[[#This Row],[EducationLevel]], 1,"Bachelor Type 1", 2,"Bachelor Type 2", 3,"Masters", 4,"PhD")</f>
        <v>Bachelor Type 2</v>
      </c>
      <c r="F718" s="5">
        <v>2</v>
      </c>
      <c r="G718" s="5">
        <v>12</v>
      </c>
      <c r="H718" s="5">
        <v>4</v>
      </c>
      <c r="I718" s="5">
        <v>31.684159386437177</v>
      </c>
      <c r="J718" s="5">
        <v>76</v>
      </c>
      <c r="K718" s="5">
        <v>79</v>
      </c>
      <c r="L718" s="5">
        <v>19</v>
      </c>
      <c r="M718" s="5" t="str">
        <f>_xlfn.SWITCH(recruitment_data3[[#This Row],[RecruitmentStrategy]], 1,"Aggressive", 2,"Moderate", 3,"Conservative")</f>
        <v>Aggressive</v>
      </c>
      <c r="N718" s="5">
        <v>1</v>
      </c>
      <c r="O718" s="5" t="str">
        <f>IF(recruitment_data3[[#This Row],[HiringDecision]]=1,"Hired","Rejected")</f>
        <v>Hired</v>
      </c>
      <c r="P718" s="6">
        <v>1</v>
      </c>
    </row>
    <row r="719" spans="1:16" x14ac:dyDescent="0.25">
      <c r="A719" s="4" t="str">
        <f t="shared" si="11"/>
        <v>C0718</v>
      </c>
      <c r="B719" s="4">
        <v>27</v>
      </c>
      <c r="C719" s="5" t="str">
        <f>IF(recruitment_data3[[#This Row],[Gender]]=1,"Female","Male")</f>
        <v>Male</v>
      </c>
      <c r="D719" s="5">
        <v>0</v>
      </c>
      <c r="E719" s="5" t="str">
        <f>_xlfn.SWITCH(recruitment_data3[[#This Row],[EducationLevel]], 1,"Bachelor Type 1", 2,"Bachelor Type 2", 3,"Masters", 4,"PhD")</f>
        <v>Masters</v>
      </c>
      <c r="F719" s="5">
        <v>3</v>
      </c>
      <c r="G719" s="5">
        <v>4</v>
      </c>
      <c r="H719" s="5">
        <v>3</v>
      </c>
      <c r="I719" s="5">
        <v>12.154316726448743</v>
      </c>
      <c r="J719" s="5">
        <v>47</v>
      </c>
      <c r="K719" s="5">
        <v>55</v>
      </c>
      <c r="L719" s="5">
        <v>35</v>
      </c>
      <c r="M719" s="5" t="str">
        <f>_xlfn.SWITCH(recruitment_data3[[#This Row],[RecruitmentStrategy]], 1,"Aggressive", 2,"Moderate", 3,"Conservative")</f>
        <v>Moderate</v>
      </c>
      <c r="N719" s="5">
        <v>2</v>
      </c>
      <c r="O719" s="5" t="str">
        <f>IF(recruitment_data3[[#This Row],[HiringDecision]]=1,"Hired","Rejected")</f>
        <v>Rejected</v>
      </c>
      <c r="P719" s="6">
        <v>0</v>
      </c>
    </row>
    <row r="720" spans="1:16" x14ac:dyDescent="0.25">
      <c r="A720" s="4" t="str">
        <f t="shared" si="11"/>
        <v>C0719</v>
      </c>
      <c r="B720" s="4">
        <v>48</v>
      </c>
      <c r="C720" s="5" t="str">
        <f>IF(recruitment_data3[[#This Row],[Gender]]=1,"Female","Male")</f>
        <v>Male</v>
      </c>
      <c r="D720" s="5">
        <v>0</v>
      </c>
      <c r="E720" s="5" t="str">
        <f>_xlfn.SWITCH(recruitment_data3[[#This Row],[EducationLevel]], 1,"Bachelor Type 1", 2,"Bachelor Type 2", 3,"Masters", 4,"PhD")</f>
        <v>Bachelor Type 2</v>
      </c>
      <c r="F720" s="5">
        <v>2</v>
      </c>
      <c r="G720" s="5">
        <v>15</v>
      </c>
      <c r="H720" s="5">
        <v>1</v>
      </c>
      <c r="I720" s="5">
        <v>28.283433248431738</v>
      </c>
      <c r="J720" s="5">
        <v>25</v>
      </c>
      <c r="K720" s="5">
        <v>43</v>
      </c>
      <c r="L720" s="5">
        <v>6</v>
      </c>
      <c r="M720" s="5" t="str">
        <f>_xlfn.SWITCH(recruitment_data3[[#This Row],[RecruitmentStrategy]], 1,"Aggressive", 2,"Moderate", 3,"Conservative")</f>
        <v>Moderate</v>
      </c>
      <c r="N720" s="5">
        <v>2</v>
      </c>
      <c r="O720" s="5" t="str">
        <f>IF(recruitment_data3[[#This Row],[HiringDecision]]=1,"Hired","Rejected")</f>
        <v>Rejected</v>
      </c>
      <c r="P720" s="6">
        <v>0</v>
      </c>
    </row>
    <row r="721" spans="1:16" x14ac:dyDescent="0.25">
      <c r="A721" s="4" t="str">
        <f t="shared" si="11"/>
        <v>C0720</v>
      </c>
      <c r="B721" s="4">
        <v>45</v>
      </c>
      <c r="C721" s="5" t="str">
        <f>IF(recruitment_data3[[#This Row],[Gender]]=1,"Female","Male")</f>
        <v>Male</v>
      </c>
      <c r="D721" s="5">
        <v>0</v>
      </c>
      <c r="E721" s="5" t="str">
        <f>_xlfn.SWITCH(recruitment_data3[[#This Row],[EducationLevel]], 1,"Bachelor Type 1", 2,"Bachelor Type 2", 3,"Masters", 4,"PhD")</f>
        <v>Bachelor Type 2</v>
      </c>
      <c r="F721" s="5">
        <v>2</v>
      </c>
      <c r="G721" s="5">
        <v>2</v>
      </c>
      <c r="H721" s="5">
        <v>1</v>
      </c>
      <c r="I721" s="5">
        <v>35.198756495757067</v>
      </c>
      <c r="J721" s="5">
        <v>76</v>
      </c>
      <c r="K721" s="5">
        <v>56</v>
      </c>
      <c r="L721" s="5">
        <v>31</v>
      </c>
      <c r="M721" s="5" t="str">
        <f>_xlfn.SWITCH(recruitment_data3[[#This Row],[RecruitmentStrategy]], 1,"Aggressive", 2,"Moderate", 3,"Conservative")</f>
        <v>Conservative</v>
      </c>
      <c r="N721" s="5">
        <v>3</v>
      </c>
      <c r="O721" s="5" t="str">
        <f>IF(recruitment_data3[[#This Row],[HiringDecision]]=1,"Hired","Rejected")</f>
        <v>Rejected</v>
      </c>
      <c r="P721" s="6">
        <v>0</v>
      </c>
    </row>
    <row r="722" spans="1:16" x14ac:dyDescent="0.25">
      <c r="A722" s="4" t="str">
        <f t="shared" si="11"/>
        <v>C0721</v>
      </c>
      <c r="B722" s="4">
        <v>29</v>
      </c>
      <c r="C722" s="5" t="str">
        <f>IF(recruitment_data3[[#This Row],[Gender]]=1,"Female","Male")</f>
        <v>Female</v>
      </c>
      <c r="D722" s="5">
        <v>1</v>
      </c>
      <c r="E722" s="5" t="str">
        <f>_xlfn.SWITCH(recruitment_data3[[#This Row],[EducationLevel]], 1,"Bachelor Type 1", 2,"Bachelor Type 2", 3,"Masters", 4,"PhD")</f>
        <v>Bachelor Type 2</v>
      </c>
      <c r="F722" s="5">
        <v>2</v>
      </c>
      <c r="G722" s="5">
        <v>14</v>
      </c>
      <c r="H722" s="5">
        <v>2</v>
      </c>
      <c r="I722" s="5">
        <v>10.511396541006878</v>
      </c>
      <c r="J722" s="5">
        <v>38</v>
      </c>
      <c r="K722" s="5">
        <v>5</v>
      </c>
      <c r="L722" s="5">
        <v>66</v>
      </c>
      <c r="M722" s="5" t="str">
        <f>_xlfn.SWITCH(recruitment_data3[[#This Row],[RecruitmentStrategy]], 1,"Aggressive", 2,"Moderate", 3,"Conservative")</f>
        <v>Moderate</v>
      </c>
      <c r="N722" s="5">
        <v>2</v>
      </c>
      <c r="O722" s="5" t="str">
        <f>IF(recruitment_data3[[#This Row],[HiringDecision]]=1,"Hired","Rejected")</f>
        <v>Rejected</v>
      </c>
      <c r="P722" s="6">
        <v>0</v>
      </c>
    </row>
    <row r="723" spans="1:16" x14ac:dyDescent="0.25">
      <c r="A723" s="4" t="str">
        <f t="shared" si="11"/>
        <v>C0722</v>
      </c>
      <c r="B723" s="4">
        <v>45</v>
      </c>
      <c r="C723" s="5" t="str">
        <f>IF(recruitment_data3[[#This Row],[Gender]]=1,"Female","Male")</f>
        <v>Female</v>
      </c>
      <c r="D723" s="5">
        <v>1</v>
      </c>
      <c r="E723" s="5" t="str">
        <f>_xlfn.SWITCH(recruitment_data3[[#This Row],[EducationLevel]], 1,"Bachelor Type 1", 2,"Bachelor Type 2", 3,"Masters", 4,"PhD")</f>
        <v>Bachelor Type 2</v>
      </c>
      <c r="F723" s="5">
        <v>2</v>
      </c>
      <c r="G723" s="5">
        <v>4</v>
      </c>
      <c r="H723" s="5">
        <v>5</v>
      </c>
      <c r="I723" s="5">
        <v>27.04428913503396</v>
      </c>
      <c r="J723" s="5">
        <v>91</v>
      </c>
      <c r="K723" s="5">
        <v>91</v>
      </c>
      <c r="L723" s="5">
        <v>38</v>
      </c>
      <c r="M723" s="5" t="str">
        <f>_xlfn.SWITCH(recruitment_data3[[#This Row],[RecruitmentStrategy]], 1,"Aggressive", 2,"Moderate", 3,"Conservative")</f>
        <v>Conservative</v>
      </c>
      <c r="N723" s="5">
        <v>3</v>
      </c>
      <c r="O723" s="5" t="str">
        <f>IF(recruitment_data3[[#This Row],[HiringDecision]]=1,"Hired","Rejected")</f>
        <v>Rejected</v>
      </c>
      <c r="P723" s="6">
        <v>0</v>
      </c>
    </row>
    <row r="724" spans="1:16" x14ac:dyDescent="0.25">
      <c r="A724" s="4" t="str">
        <f t="shared" si="11"/>
        <v>C0723</v>
      </c>
      <c r="B724" s="4">
        <v>49</v>
      </c>
      <c r="C724" s="5" t="str">
        <f>IF(recruitment_data3[[#This Row],[Gender]]=1,"Female","Male")</f>
        <v>Male</v>
      </c>
      <c r="D724" s="5">
        <v>0</v>
      </c>
      <c r="E724" s="5" t="str">
        <f>_xlfn.SWITCH(recruitment_data3[[#This Row],[EducationLevel]], 1,"Bachelor Type 1", 2,"Bachelor Type 2", 3,"Masters", 4,"PhD")</f>
        <v>Bachelor Type 2</v>
      </c>
      <c r="F724" s="5">
        <v>2</v>
      </c>
      <c r="G724" s="5">
        <v>11</v>
      </c>
      <c r="H724" s="5">
        <v>5</v>
      </c>
      <c r="I724" s="5">
        <v>24.45298721950595</v>
      </c>
      <c r="J724" s="5">
        <v>57</v>
      </c>
      <c r="K724" s="5">
        <v>31</v>
      </c>
      <c r="L724" s="5">
        <v>92</v>
      </c>
      <c r="M724" s="5" t="str">
        <f>_xlfn.SWITCH(recruitment_data3[[#This Row],[RecruitmentStrategy]], 1,"Aggressive", 2,"Moderate", 3,"Conservative")</f>
        <v>Aggressive</v>
      </c>
      <c r="N724" s="5">
        <v>1</v>
      </c>
      <c r="O724" s="5" t="str">
        <f>IF(recruitment_data3[[#This Row],[HiringDecision]]=1,"Hired","Rejected")</f>
        <v>Hired</v>
      </c>
      <c r="P724" s="6">
        <v>1</v>
      </c>
    </row>
    <row r="725" spans="1:16" x14ac:dyDescent="0.25">
      <c r="A725" s="4" t="str">
        <f t="shared" si="11"/>
        <v>C0724</v>
      </c>
      <c r="B725" s="4">
        <v>21</v>
      </c>
      <c r="C725" s="5" t="str">
        <f>IF(recruitment_data3[[#This Row],[Gender]]=1,"Female","Male")</f>
        <v>Female</v>
      </c>
      <c r="D725" s="5">
        <v>1</v>
      </c>
      <c r="E725" s="5" t="str">
        <f>_xlfn.SWITCH(recruitment_data3[[#This Row],[EducationLevel]], 1,"Bachelor Type 1", 2,"Bachelor Type 2", 3,"Masters", 4,"PhD")</f>
        <v>Masters</v>
      </c>
      <c r="F725" s="5">
        <v>3</v>
      </c>
      <c r="G725" s="5">
        <v>7</v>
      </c>
      <c r="H725" s="5">
        <v>5</v>
      </c>
      <c r="I725" s="5">
        <v>4.5518710701670617</v>
      </c>
      <c r="J725" s="5">
        <v>18</v>
      </c>
      <c r="K725" s="5">
        <v>73</v>
      </c>
      <c r="L725" s="5">
        <v>23</v>
      </c>
      <c r="M725" s="5" t="str">
        <f>_xlfn.SWITCH(recruitment_data3[[#This Row],[RecruitmentStrategy]], 1,"Aggressive", 2,"Moderate", 3,"Conservative")</f>
        <v>Aggressive</v>
      </c>
      <c r="N725" s="5">
        <v>1</v>
      </c>
      <c r="O725" s="5" t="str">
        <f>IF(recruitment_data3[[#This Row],[HiringDecision]]=1,"Hired","Rejected")</f>
        <v>Hired</v>
      </c>
      <c r="P725" s="6">
        <v>1</v>
      </c>
    </row>
    <row r="726" spans="1:16" x14ac:dyDescent="0.25">
      <c r="A726" s="4" t="str">
        <f t="shared" si="11"/>
        <v>C0725</v>
      </c>
      <c r="B726" s="4">
        <v>38</v>
      </c>
      <c r="C726" s="5" t="str">
        <f>IF(recruitment_data3[[#This Row],[Gender]]=1,"Female","Male")</f>
        <v>Female</v>
      </c>
      <c r="D726" s="5">
        <v>1</v>
      </c>
      <c r="E726" s="5" t="str">
        <f>_xlfn.SWITCH(recruitment_data3[[#This Row],[EducationLevel]], 1,"Bachelor Type 1", 2,"Bachelor Type 2", 3,"Masters", 4,"PhD")</f>
        <v>Bachelor Type 2</v>
      </c>
      <c r="F726" s="5">
        <v>2</v>
      </c>
      <c r="G726" s="5">
        <v>13</v>
      </c>
      <c r="H726" s="5">
        <v>2</v>
      </c>
      <c r="I726" s="5">
        <v>41.915390883765149</v>
      </c>
      <c r="J726" s="5">
        <v>87</v>
      </c>
      <c r="K726" s="5">
        <v>17</v>
      </c>
      <c r="L726" s="5">
        <v>85</v>
      </c>
      <c r="M726" s="5" t="str">
        <f>_xlfn.SWITCH(recruitment_data3[[#This Row],[RecruitmentStrategy]], 1,"Aggressive", 2,"Moderate", 3,"Conservative")</f>
        <v>Moderate</v>
      </c>
      <c r="N726" s="5">
        <v>2</v>
      </c>
      <c r="O726" s="5" t="str">
        <f>IF(recruitment_data3[[#This Row],[HiringDecision]]=1,"Hired","Rejected")</f>
        <v>Rejected</v>
      </c>
      <c r="P726" s="6">
        <v>0</v>
      </c>
    </row>
    <row r="727" spans="1:16" x14ac:dyDescent="0.25">
      <c r="A727" s="4" t="str">
        <f t="shared" si="11"/>
        <v>C0726</v>
      </c>
      <c r="B727" s="4">
        <v>28</v>
      </c>
      <c r="C727" s="5" t="str">
        <f>IF(recruitment_data3[[#This Row],[Gender]]=1,"Female","Male")</f>
        <v>Male</v>
      </c>
      <c r="D727" s="5">
        <v>0</v>
      </c>
      <c r="E727" s="5" t="str">
        <f>_xlfn.SWITCH(recruitment_data3[[#This Row],[EducationLevel]], 1,"Bachelor Type 1", 2,"Bachelor Type 2", 3,"Masters", 4,"PhD")</f>
        <v>Bachelor Type 1</v>
      </c>
      <c r="F727" s="5">
        <v>1</v>
      </c>
      <c r="G727" s="5">
        <v>1</v>
      </c>
      <c r="H727" s="5">
        <v>5</v>
      </c>
      <c r="I727" s="5">
        <v>17.784120032142084</v>
      </c>
      <c r="J727" s="5">
        <v>82</v>
      </c>
      <c r="K727" s="5">
        <v>67</v>
      </c>
      <c r="L727" s="5">
        <v>69</v>
      </c>
      <c r="M727" s="5" t="str">
        <f>_xlfn.SWITCH(recruitment_data3[[#This Row],[RecruitmentStrategy]], 1,"Aggressive", 2,"Moderate", 3,"Conservative")</f>
        <v>Moderate</v>
      </c>
      <c r="N727" s="5">
        <v>2</v>
      </c>
      <c r="O727" s="5" t="str">
        <f>IF(recruitment_data3[[#This Row],[HiringDecision]]=1,"Hired","Rejected")</f>
        <v>Rejected</v>
      </c>
      <c r="P727" s="6">
        <v>0</v>
      </c>
    </row>
    <row r="728" spans="1:16" x14ac:dyDescent="0.25">
      <c r="A728" s="4" t="str">
        <f t="shared" si="11"/>
        <v>C0727</v>
      </c>
      <c r="B728" s="4">
        <v>26</v>
      </c>
      <c r="C728" s="5" t="str">
        <f>IF(recruitment_data3[[#This Row],[Gender]]=1,"Female","Male")</f>
        <v>Male</v>
      </c>
      <c r="D728" s="5">
        <v>0</v>
      </c>
      <c r="E728" s="5" t="str">
        <f>_xlfn.SWITCH(recruitment_data3[[#This Row],[EducationLevel]], 1,"Bachelor Type 1", 2,"Bachelor Type 2", 3,"Masters", 4,"PhD")</f>
        <v>Masters</v>
      </c>
      <c r="F728" s="5">
        <v>3</v>
      </c>
      <c r="G728" s="5">
        <v>15</v>
      </c>
      <c r="H728" s="5">
        <v>3</v>
      </c>
      <c r="I728" s="5">
        <v>29.729109877593977</v>
      </c>
      <c r="J728" s="5">
        <v>76</v>
      </c>
      <c r="K728" s="5">
        <v>72</v>
      </c>
      <c r="L728" s="5">
        <v>87</v>
      </c>
      <c r="M728" s="5" t="str">
        <f>_xlfn.SWITCH(recruitment_data3[[#This Row],[RecruitmentStrategy]], 1,"Aggressive", 2,"Moderate", 3,"Conservative")</f>
        <v>Aggressive</v>
      </c>
      <c r="N728" s="5">
        <v>1</v>
      </c>
      <c r="O728" s="5" t="str">
        <f>IF(recruitment_data3[[#This Row],[HiringDecision]]=1,"Hired","Rejected")</f>
        <v>Hired</v>
      </c>
      <c r="P728" s="6">
        <v>1</v>
      </c>
    </row>
    <row r="729" spans="1:16" x14ac:dyDescent="0.25">
      <c r="A729" s="4" t="str">
        <f t="shared" si="11"/>
        <v>C0728</v>
      </c>
      <c r="B729" s="4">
        <v>23</v>
      </c>
      <c r="C729" s="5" t="str">
        <f>IF(recruitment_data3[[#This Row],[Gender]]=1,"Female","Male")</f>
        <v>Female</v>
      </c>
      <c r="D729" s="5">
        <v>1</v>
      </c>
      <c r="E729" s="5" t="str">
        <f>_xlfn.SWITCH(recruitment_data3[[#This Row],[EducationLevel]], 1,"Bachelor Type 1", 2,"Bachelor Type 2", 3,"Masters", 4,"PhD")</f>
        <v>Bachelor Type 1</v>
      </c>
      <c r="F729" s="5">
        <v>1</v>
      </c>
      <c r="G729" s="5">
        <v>5</v>
      </c>
      <c r="H729" s="5">
        <v>2</v>
      </c>
      <c r="I729" s="5">
        <v>26.739211746656721</v>
      </c>
      <c r="J729" s="5">
        <v>76</v>
      </c>
      <c r="K729" s="5">
        <v>6</v>
      </c>
      <c r="L729" s="5">
        <v>86</v>
      </c>
      <c r="M729" s="5" t="str">
        <f>_xlfn.SWITCH(recruitment_data3[[#This Row],[RecruitmentStrategy]], 1,"Aggressive", 2,"Moderate", 3,"Conservative")</f>
        <v>Moderate</v>
      </c>
      <c r="N729" s="5">
        <v>2</v>
      </c>
      <c r="O729" s="5" t="str">
        <f>IF(recruitment_data3[[#This Row],[HiringDecision]]=1,"Hired","Rejected")</f>
        <v>Rejected</v>
      </c>
      <c r="P729" s="6">
        <v>0</v>
      </c>
    </row>
    <row r="730" spans="1:16" x14ac:dyDescent="0.25">
      <c r="A730" s="4" t="str">
        <f t="shared" si="11"/>
        <v>C0729</v>
      </c>
      <c r="B730" s="4">
        <v>45</v>
      </c>
      <c r="C730" s="5" t="str">
        <f>IF(recruitment_data3[[#This Row],[Gender]]=1,"Female","Male")</f>
        <v>Male</v>
      </c>
      <c r="D730" s="5">
        <v>0</v>
      </c>
      <c r="E730" s="5" t="str">
        <f>_xlfn.SWITCH(recruitment_data3[[#This Row],[EducationLevel]], 1,"Bachelor Type 1", 2,"Bachelor Type 2", 3,"Masters", 4,"PhD")</f>
        <v>PhD</v>
      </c>
      <c r="F730" s="5">
        <v>4</v>
      </c>
      <c r="G730" s="5">
        <v>8</v>
      </c>
      <c r="H730" s="5">
        <v>3</v>
      </c>
      <c r="I730" s="5">
        <v>26.663025228522113</v>
      </c>
      <c r="J730" s="5">
        <v>57</v>
      </c>
      <c r="K730" s="5">
        <v>7</v>
      </c>
      <c r="L730" s="5">
        <v>53</v>
      </c>
      <c r="M730" s="5" t="str">
        <f>_xlfn.SWITCH(recruitment_data3[[#This Row],[RecruitmentStrategy]], 1,"Aggressive", 2,"Moderate", 3,"Conservative")</f>
        <v>Aggressive</v>
      </c>
      <c r="N730" s="5">
        <v>1</v>
      </c>
      <c r="O730" s="5" t="str">
        <f>IF(recruitment_data3[[#This Row],[HiringDecision]]=1,"Hired","Rejected")</f>
        <v>Hired</v>
      </c>
      <c r="P730" s="6">
        <v>1</v>
      </c>
    </row>
    <row r="731" spans="1:16" x14ac:dyDescent="0.25">
      <c r="A731" s="4" t="str">
        <f t="shared" si="11"/>
        <v>C0730</v>
      </c>
      <c r="B731" s="4">
        <v>40</v>
      </c>
      <c r="C731" s="5" t="str">
        <f>IF(recruitment_data3[[#This Row],[Gender]]=1,"Female","Male")</f>
        <v>Female</v>
      </c>
      <c r="D731" s="5">
        <v>1</v>
      </c>
      <c r="E731" s="5" t="str">
        <f>_xlfn.SWITCH(recruitment_data3[[#This Row],[EducationLevel]], 1,"Bachelor Type 1", 2,"Bachelor Type 2", 3,"Masters", 4,"PhD")</f>
        <v>Bachelor Type 1</v>
      </c>
      <c r="F731" s="5">
        <v>1</v>
      </c>
      <c r="G731" s="5">
        <v>7</v>
      </c>
      <c r="H731" s="5">
        <v>2</v>
      </c>
      <c r="I731" s="5">
        <v>6.3611197104243722</v>
      </c>
      <c r="J731" s="5">
        <v>27</v>
      </c>
      <c r="K731" s="5">
        <v>63</v>
      </c>
      <c r="L731" s="5">
        <v>37</v>
      </c>
      <c r="M731" s="5" t="str">
        <f>_xlfn.SWITCH(recruitment_data3[[#This Row],[RecruitmentStrategy]], 1,"Aggressive", 2,"Moderate", 3,"Conservative")</f>
        <v>Moderate</v>
      </c>
      <c r="N731" s="5">
        <v>2</v>
      </c>
      <c r="O731" s="5" t="str">
        <f>IF(recruitment_data3[[#This Row],[HiringDecision]]=1,"Hired","Rejected")</f>
        <v>Rejected</v>
      </c>
      <c r="P731" s="6">
        <v>0</v>
      </c>
    </row>
    <row r="732" spans="1:16" x14ac:dyDescent="0.25">
      <c r="A732" s="4" t="str">
        <f t="shared" si="11"/>
        <v>C0731</v>
      </c>
      <c r="B732" s="4">
        <v>37</v>
      </c>
      <c r="C732" s="5" t="str">
        <f>IF(recruitment_data3[[#This Row],[Gender]]=1,"Female","Male")</f>
        <v>Female</v>
      </c>
      <c r="D732" s="5">
        <v>1</v>
      </c>
      <c r="E732" s="5" t="str">
        <f>_xlfn.SWITCH(recruitment_data3[[#This Row],[EducationLevel]], 1,"Bachelor Type 1", 2,"Bachelor Type 2", 3,"Masters", 4,"PhD")</f>
        <v>Bachelor Type 2</v>
      </c>
      <c r="F732" s="5">
        <v>2</v>
      </c>
      <c r="G732" s="5">
        <v>13</v>
      </c>
      <c r="H732" s="5">
        <v>5</v>
      </c>
      <c r="I732" s="5">
        <v>22.17410046246664</v>
      </c>
      <c r="J732" s="5">
        <v>65</v>
      </c>
      <c r="K732" s="5">
        <v>6</v>
      </c>
      <c r="L732" s="5">
        <v>73</v>
      </c>
      <c r="M732" s="5" t="str">
        <f>_xlfn.SWITCH(recruitment_data3[[#This Row],[RecruitmentStrategy]], 1,"Aggressive", 2,"Moderate", 3,"Conservative")</f>
        <v>Conservative</v>
      </c>
      <c r="N732" s="5">
        <v>3</v>
      </c>
      <c r="O732" s="5" t="str">
        <f>IF(recruitment_data3[[#This Row],[HiringDecision]]=1,"Hired","Rejected")</f>
        <v>Rejected</v>
      </c>
      <c r="P732" s="6">
        <v>0</v>
      </c>
    </row>
    <row r="733" spans="1:16" x14ac:dyDescent="0.25">
      <c r="A733" s="4" t="str">
        <f t="shared" si="11"/>
        <v>C0732</v>
      </c>
      <c r="B733" s="4">
        <v>32</v>
      </c>
      <c r="C733" s="5" t="str">
        <f>IF(recruitment_data3[[#This Row],[Gender]]=1,"Female","Male")</f>
        <v>Female</v>
      </c>
      <c r="D733" s="5">
        <v>1</v>
      </c>
      <c r="E733" s="5" t="str">
        <f>_xlfn.SWITCH(recruitment_data3[[#This Row],[EducationLevel]], 1,"Bachelor Type 1", 2,"Bachelor Type 2", 3,"Masters", 4,"PhD")</f>
        <v>Bachelor Type 1</v>
      </c>
      <c r="F733" s="5">
        <v>1</v>
      </c>
      <c r="G733" s="5">
        <v>10</v>
      </c>
      <c r="H733" s="5">
        <v>3</v>
      </c>
      <c r="I733" s="5">
        <v>23.61833796032851</v>
      </c>
      <c r="J733" s="5">
        <v>9</v>
      </c>
      <c r="K733" s="5">
        <v>40</v>
      </c>
      <c r="L733" s="5">
        <v>79</v>
      </c>
      <c r="M733" s="5" t="str">
        <f>_xlfn.SWITCH(recruitment_data3[[#This Row],[RecruitmentStrategy]], 1,"Aggressive", 2,"Moderate", 3,"Conservative")</f>
        <v>Conservative</v>
      </c>
      <c r="N733" s="5">
        <v>3</v>
      </c>
      <c r="O733" s="5" t="str">
        <f>IF(recruitment_data3[[#This Row],[HiringDecision]]=1,"Hired","Rejected")</f>
        <v>Rejected</v>
      </c>
      <c r="P733" s="6">
        <v>0</v>
      </c>
    </row>
    <row r="734" spans="1:16" x14ac:dyDescent="0.25">
      <c r="A734" s="4" t="str">
        <f t="shared" si="11"/>
        <v>C0733</v>
      </c>
      <c r="B734" s="4">
        <v>30</v>
      </c>
      <c r="C734" s="5" t="str">
        <f>IF(recruitment_data3[[#This Row],[Gender]]=1,"Female","Male")</f>
        <v>Female</v>
      </c>
      <c r="D734" s="5">
        <v>1</v>
      </c>
      <c r="E734" s="5" t="str">
        <f>_xlfn.SWITCH(recruitment_data3[[#This Row],[EducationLevel]], 1,"Bachelor Type 1", 2,"Bachelor Type 2", 3,"Masters", 4,"PhD")</f>
        <v>PhD</v>
      </c>
      <c r="F734" s="5">
        <v>4</v>
      </c>
      <c r="G734" s="5">
        <v>7</v>
      </c>
      <c r="H734" s="5">
        <v>3</v>
      </c>
      <c r="I734" s="5">
        <v>37.682142018222422</v>
      </c>
      <c r="J734" s="5">
        <v>85</v>
      </c>
      <c r="K734" s="5">
        <v>39</v>
      </c>
      <c r="L734" s="5">
        <v>74</v>
      </c>
      <c r="M734" s="5" t="str">
        <f>_xlfn.SWITCH(recruitment_data3[[#This Row],[RecruitmentStrategy]], 1,"Aggressive", 2,"Moderate", 3,"Conservative")</f>
        <v>Moderate</v>
      </c>
      <c r="N734" s="5">
        <v>2</v>
      </c>
      <c r="O734" s="5" t="str">
        <f>IF(recruitment_data3[[#This Row],[HiringDecision]]=1,"Hired","Rejected")</f>
        <v>Hired</v>
      </c>
      <c r="P734" s="6">
        <v>1</v>
      </c>
    </row>
    <row r="735" spans="1:16" x14ac:dyDescent="0.25">
      <c r="A735" s="4" t="str">
        <f t="shared" si="11"/>
        <v>C0734</v>
      </c>
      <c r="B735" s="4">
        <v>48</v>
      </c>
      <c r="C735" s="5" t="str">
        <f>IF(recruitment_data3[[#This Row],[Gender]]=1,"Female","Male")</f>
        <v>Male</v>
      </c>
      <c r="D735" s="5">
        <v>0</v>
      </c>
      <c r="E735" s="5" t="str">
        <f>_xlfn.SWITCH(recruitment_data3[[#This Row],[EducationLevel]], 1,"Bachelor Type 1", 2,"Bachelor Type 2", 3,"Masters", 4,"PhD")</f>
        <v>Bachelor Type 2</v>
      </c>
      <c r="F735" s="5">
        <v>2</v>
      </c>
      <c r="G735" s="5">
        <v>7</v>
      </c>
      <c r="H735" s="5">
        <v>3</v>
      </c>
      <c r="I735" s="5">
        <v>43.000941596034927</v>
      </c>
      <c r="J735" s="5">
        <v>76</v>
      </c>
      <c r="K735" s="5">
        <v>2</v>
      </c>
      <c r="L735" s="5">
        <v>31</v>
      </c>
      <c r="M735" s="5" t="str">
        <f>_xlfn.SWITCH(recruitment_data3[[#This Row],[RecruitmentStrategy]], 1,"Aggressive", 2,"Moderate", 3,"Conservative")</f>
        <v>Moderate</v>
      </c>
      <c r="N735" s="5">
        <v>2</v>
      </c>
      <c r="O735" s="5" t="str">
        <f>IF(recruitment_data3[[#This Row],[HiringDecision]]=1,"Hired","Rejected")</f>
        <v>Rejected</v>
      </c>
      <c r="P735" s="6">
        <v>0</v>
      </c>
    </row>
    <row r="736" spans="1:16" x14ac:dyDescent="0.25">
      <c r="A736" s="4" t="str">
        <f t="shared" si="11"/>
        <v>C0735</v>
      </c>
      <c r="B736" s="4">
        <v>43</v>
      </c>
      <c r="C736" s="5" t="str">
        <f>IF(recruitment_data3[[#This Row],[Gender]]=1,"Female","Male")</f>
        <v>Male</v>
      </c>
      <c r="D736" s="5">
        <v>0</v>
      </c>
      <c r="E736" s="5" t="str">
        <f>_xlfn.SWITCH(recruitment_data3[[#This Row],[EducationLevel]], 1,"Bachelor Type 1", 2,"Bachelor Type 2", 3,"Masters", 4,"PhD")</f>
        <v>Bachelor Type 1</v>
      </c>
      <c r="F736" s="5">
        <v>1</v>
      </c>
      <c r="G736" s="5">
        <v>14</v>
      </c>
      <c r="H736" s="5">
        <v>2</v>
      </c>
      <c r="I736" s="5">
        <v>28.2491139050009</v>
      </c>
      <c r="J736" s="5">
        <v>57</v>
      </c>
      <c r="K736" s="5">
        <v>16</v>
      </c>
      <c r="L736" s="5">
        <v>44</v>
      </c>
      <c r="M736" s="5" t="str">
        <f>_xlfn.SWITCH(recruitment_data3[[#This Row],[RecruitmentStrategy]], 1,"Aggressive", 2,"Moderate", 3,"Conservative")</f>
        <v>Moderate</v>
      </c>
      <c r="N736" s="5">
        <v>2</v>
      </c>
      <c r="O736" s="5" t="str">
        <f>IF(recruitment_data3[[#This Row],[HiringDecision]]=1,"Hired","Rejected")</f>
        <v>Rejected</v>
      </c>
      <c r="P736" s="6">
        <v>0</v>
      </c>
    </row>
    <row r="737" spans="1:16" x14ac:dyDescent="0.25">
      <c r="A737" s="4" t="str">
        <f t="shared" si="11"/>
        <v>C0736</v>
      </c>
      <c r="B737" s="4">
        <v>23</v>
      </c>
      <c r="C737" s="5" t="str">
        <f>IF(recruitment_data3[[#This Row],[Gender]]=1,"Female","Male")</f>
        <v>Male</v>
      </c>
      <c r="D737" s="5">
        <v>0</v>
      </c>
      <c r="E737" s="5" t="str">
        <f>_xlfn.SWITCH(recruitment_data3[[#This Row],[EducationLevel]], 1,"Bachelor Type 1", 2,"Bachelor Type 2", 3,"Masters", 4,"PhD")</f>
        <v>Bachelor Type 2</v>
      </c>
      <c r="F737" s="5">
        <v>2</v>
      </c>
      <c r="G737" s="5">
        <v>12</v>
      </c>
      <c r="H737" s="5">
        <v>4</v>
      </c>
      <c r="I737" s="5">
        <v>5.339147703249524</v>
      </c>
      <c r="J737" s="5">
        <v>72</v>
      </c>
      <c r="K737" s="5">
        <v>65</v>
      </c>
      <c r="L737" s="5">
        <v>60</v>
      </c>
      <c r="M737" s="5" t="str">
        <f>_xlfn.SWITCH(recruitment_data3[[#This Row],[RecruitmentStrategy]], 1,"Aggressive", 2,"Moderate", 3,"Conservative")</f>
        <v>Aggressive</v>
      </c>
      <c r="N737" s="5">
        <v>1</v>
      </c>
      <c r="O737" s="5" t="str">
        <f>IF(recruitment_data3[[#This Row],[HiringDecision]]=1,"Hired","Rejected")</f>
        <v>Hired</v>
      </c>
      <c r="P737" s="6">
        <v>1</v>
      </c>
    </row>
    <row r="738" spans="1:16" x14ac:dyDescent="0.25">
      <c r="A738" s="4" t="str">
        <f t="shared" si="11"/>
        <v>C0737</v>
      </c>
      <c r="B738" s="4">
        <v>44</v>
      </c>
      <c r="C738" s="5" t="str">
        <f>IF(recruitment_data3[[#This Row],[Gender]]=1,"Female","Male")</f>
        <v>Male</v>
      </c>
      <c r="D738" s="5">
        <v>0</v>
      </c>
      <c r="E738" s="5" t="str">
        <f>_xlfn.SWITCH(recruitment_data3[[#This Row],[EducationLevel]], 1,"Bachelor Type 1", 2,"Bachelor Type 2", 3,"Masters", 4,"PhD")</f>
        <v>Bachelor Type 1</v>
      </c>
      <c r="F738" s="5">
        <v>1</v>
      </c>
      <c r="G738" s="5">
        <v>6</v>
      </c>
      <c r="H738" s="5">
        <v>5</v>
      </c>
      <c r="I738" s="5">
        <v>12.842473529827313</v>
      </c>
      <c r="J738" s="5">
        <v>96</v>
      </c>
      <c r="K738" s="5">
        <v>78</v>
      </c>
      <c r="L738" s="5">
        <v>69</v>
      </c>
      <c r="M738" s="5" t="str">
        <f>_xlfn.SWITCH(recruitment_data3[[#This Row],[RecruitmentStrategy]], 1,"Aggressive", 2,"Moderate", 3,"Conservative")</f>
        <v>Moderate</v>
      </c>
      <c r="N738" s="5">
        <v>2</v>
      </c>
      <c r="O738" s="5" t="str">
        <f>IF(recruitment_data3[[#This Row],[HiringDecision]]=1,"Hired","Rejected")</f>
        <v>Hired</v>
      </c>
      <c r="P738" s="6">
        <v>1</v>
      </c>
    </row>
    <row r="739" spans="1:16" x14ac:dyDescent="0.25">
      <c r="A739" s="4" t="str">
        <f t="shared" si="11"/>
        <v>C0738</v>
      </c>
      <c r="B739" s="4">
        <v>40</v>
      </c>
      <c r="C739" s="5" t="str">
        <f>IF(recruitment_data3[[#This Row],[Gender]]=1,"Female","Male")</f>
        <v>Female</v>
      </c>
      <c r="D739" s="5">
        <v>1</v>
      </c>
      <c r="E739" s="5" t="str">
        <f>_xlfn.SWITCH(recruitment_data3[[#This Row],[EducationLevel]], 1,"Bachelor Type 1", 2,"Bachelor Type 2", 3,"Masters", 4,"PhD")</f>
        <v>Bachelor Type 1</v>
      </c>
      <c r="F739" s="5">
        <v>1</v>
      </c>
      <c r="G739" s="5">
        <v>7</v>
      </c>
      <c r="H739" s="5">
        <v>3</v>
      </c>
      <c r="I739" s="5">
        <v>9.2467013426365536</v>
      </c>
      <c r="J739" s="5">
        <v>13</v>
      </c>
      <c r="K739" s="5">
        <v>92</v>
      </c>
      <c r="L739" s="5">
        <v>87</v>
      </c>
      <c r="M739" s="5" t="str">
        <f>_xlfn.SWITCH(recruitment_data3[[#This Row],[RecruitmentStrategy]], 1,"Aggressive", 2,"Moderate", 3,"Conservative")</f>
        <v>Aggressive</v>
      </c>
      <c r="N739" s="5">
        <v>1</v>
      </c>
      <c r="O739" s="5" t="str">
        <f>IF(recruitment_data3[[#This Row],[HiringDecision]]=1,"Hired","Rejected")</f>
        <v>Hired</v>
      </c>
      <c r="P739" s="6">
        <v>1</v>
      </c>
    </row>
    <row r="740" spans="1:16" x14ac:dyDescent="0.25">
      <c r="A740" s="4" t="str">
        <f t="shared" si="11"/>
        <v>C0739</v>
      </c>
      <c r="B740" s="4">
        <v>48</v>
      </c>
      <c r="C740" s="5" t="str">
        <f>IF(recruitment_data3[[#This Row],[Gender]]=1,"Female","Male")</f>
        <v>Female</v>
      </c>
      <c r="D740" s="5">
        <v>1</v>
      </c>
      <c r="E740" s="5" t="str">
        <f>_xlfn.SWITCH(recruitment_data3[[#This Row],[EducationLevel]], 1,"Bachelor Type 1", 2,"Bachelor Type 2", 3,"Masters", 4,"PhD")</f>
        <v>PhD</v>
      </c>
      <c r="F740" s="5">
        <v>4</v>
      </c>
      <c r="G740" s="5">
        <v>12</v>
      </c>
      <c r="H740" s="5">
        <v>4</v>
      </c>
      <c r="I740" s="5">
        <v>7.2307531594562366</v>
      </c>
      <c r="J740" s="5">
        <v>83</v>
      </c>
      <c r="K740" s="5">
        <v>51</v>
      </c>
      <c r="L740" s="5">
        <v>96</v>
      </c>
      <c r="M740" s="5" t="str">
        <f>_xlfn.SWITCH(recruitment_data3[[#This Row],[RecruitmentStrategy]], 1,"Aggressive", 2,"Moderate", 3,"Conservative")</f>
        <v>Conservative</v>
      </c>
      <c r="N740" s="5">
        <v>3</v>
      </c>
      <c r="O740" s="5" t="str">
        <f>IF(recruitment_data3[[#This Row],[HiringDecision]]=1,"Hired","Rejected")</f>
        <v>Hired</v>
      </c>
      <c r="P740" s="6">
        <v>1</v>
      </c>
    </row>
    <row r="741" spans="1:16" x14ac:dyDescent="0.25">
      <c r="A741" s="4" t="str">
        <f t="shared" si="11"/>
        <v>C0740</v>
      </c>
      <c r="B741" s="4">
        <v>44</v>
      </c>
      <c r="C741" s="5" t="str">
        <f>IF(recruitment_data3[[#This Row],[Gender]]=1,"Female","Male")</f>
        <v>Male</v>
      </c>
      <c r="D741" s="5">
        <v>0</v>
      </c>
      <c r="E741" s="5" t="str">
        <f>_xlfn.SWITCH(recruitment_data3[[#This Row],[EducationLevel]], 1,"Bachelor Type 1", 2,"Bachelor Type 2", 3,"Masters", 4,"PhD")</f>
        <v>Bachelor Type 2</v>
      </c>
      <c r="F741" s="5">
        <v>2</v>
      </c>
      <c r="G741" s="5">
        <v>5</v>
      </c>
      <c r="H741" s="5">
        <v>5</v>
      </c>
      <c r="I741" s="5">
        <v>19.29496493089038</v>
      </c>
      <c r="J741" s="5">
        <v>14</v>
      </c>
      <c r="K741" s="5">
        <v>21</v>
      </c>
      <c r="L741" s="5">
        <v>52</v>
      </c>
      <c r="M741" s="5" t="str">
        <f>_xlfn.SWITCH(recruitment_data3[[#This Row],[RecruitmentStrategy]], 1,"Aggressive", 2,"Moderate", 3,"Conservative")</f>
        <v>Conservative</v>
      </c>
      <c r="N741" s="5">
        <v>3</v>
      </c>
      <c r="O741" s="5" t="str">
        <f>IF(recruitment_data3[[#This Row],[HiringDecision]]=1,"Hired","Rejected")</f>
        <v>Rejected</v>
      </c>
      <c r="P741" s="6">
        <v>0</v>
      </c>
    </row>
    <row r="742" spans="1:16" x14ac:dyDescent="0.25">
      <c r="A742" s="4" t="str">
        <f t="shared" si="11"/>
        <v>C0741</v>
      </c>
      <c r="B742" s="4">
        <v>23</v>
      </c>
      <c r="C742" s="5" t="str">
        <f>IF(recruitment_data3[[#This Row],[Gender]]=1,"Female","Male")</f>
        <v>Female</v>
      </c>
      <c r="D742" s="5">
        <v>1</v>
      </c>
      <c r="E742" s="5" t="str">
        <f>_xlfn.SWITCH(recruitment_data3[[#This Row],[EducationLevel]], 1,"Bachelor Type 1", 2,"Bachelor Type 2", 3,"Masters", 4,"PhD")</f>
        <v>Masters</v>
      </c>
      <c r="F742" s="5">
        <v>3</v>
      </c>
      <c r="G742" s="5">
        <v>1</v>
      </c>
      <c r="H742" s="5">
        <v>5</v>
      </c>
      <c r="I742" s="5">
        <v>12.469675107719102</v>
      </c>
      <c r="J742" s="5">
        <v>95</v>
      </c>
      <c r="K742" s="5">
        <v>3</v>
      </c>
      <c r="L742" s="5">
        <v>50</v>
      </c>
      <c r="M742" s="5" t="str">
        <f>_xlfn.SWITCH(recruitment_data3[[#This Row],[RecruitmentStrategy]], 1,"Aggressive", 2,"Moderate", 3,"Conservative")</f>
        <v>Moderate</v>
      </c>
      <c r="N742" s="5">
        <v>2</v>
      </c>
      <c r="O742" s="5" t="str">
        <f>IF(recruitment_data3[[#This Row],[HiringDecision]]=1,"Hired","Rejected")</f>
        <v>Rejected</v>
      </c>
      <c r="P742" s="6">
        <v>0</v>
      </c>
    </row>
    <row r="743" spans="1:16" x14ac:dyDescent="0.25">
      <c r="A743" s="4" t="str">
        <f t="shared" si="11"/>
        <v>C0742</v>
      </c>
      <c r="B743" s="4">
        <v>29</v>
      </c>
      <c r="C743" s="5" t="str">
        <f>IF(recruitment_data3[[#This Row],[Gender]]=1,"Female","Male")</f>
        <v>Female</v>
      </c>
      <c r="D743" s="5">
        <v>1</v>
      </c>
      <c r="E743" s="5" t="str">
        <f>_xlfn.SWITCH(recruitment_data3[[#This Row],[EducationLevel]], 1,"Bachelor Type 1", 2,"Bachelor Type 2", 3,"Masters", 4,"PhD")</f>
        <v>Bachelor Type 2</v>
      </c>
      <c r="F743" s="5">
        <v>2</v>
      </c>
      <c r="G743" s="5">
        <v>1</v>
      </c>
      <c r="H743" s="5">
        <v>3</v>
      </c>
      <c r="I743" s="5">
        <v>11.915155590575615</v>
      </c>
      <c r="J743" s="5">
        <v>32</v>
      </c>
      <c r="K743" s="5">
        <v>5</v>
      </c>
      <c r="L743" s="5">
        <v>75</v>
      </c>
      <c r="M743" s="5" t="str">
        <f>_xlfn.SWITCH(recruitment_data3[[#This Row],[RecruitmentStrategy]], 1,"Aggressive", 2,"Moderate", 3,"Conservative")</f>
        <v>Moderate</v>
      </c>
      <c r="N743" s="5">
        <v>2</v>
      </c>
      <c r="O743" s="5" t="str">
        <f>IF(recruitment_data3[[#This Row],[HiringDecision]]=1,"Hired","Rejected")</f>
        <v>Rejected</v>
      </c>
      <c r="P743" s="6">
        <v>0</v>
      </c>
    </row>
    <row r="744" spans="1:16" x14ac:dyDescent="0.25">
      <c r="A744" s="4" t="str">
        <f t="shared" si="11"/>
        <v>C0743</v>
      </c>
      <c r="B744" s="4">
        <v>24</v>
      </c>
      <c r="C744" s="5" t="str">
        <f>IF(recruitment_data3[[#This Row],[Gender]]=1,"Female","Male")</f>
        <v>Female</v>
      </c>
      <c r="D744" s="5">
        <v>1</v>
      </c>
      <c r="E744" s="5" t="str">
        <f>_xlfn.SWITCH(recruitment_data3[[#This Row],[EducationLevel]], 1,"Bachelor Type 1", 2,"Bachelor Type 2", 3,"Masters", 4,"PhD")</f>
        <v>Bachelor Type 2</v>
      </c>
      <c r="F744" s="5">
        <v>2</v>
      </c>
      <c r="G744" s="5">
        <v>7</v>
      </c>
      <c r="H744" s="5">
        <v>3</v>
      </c>
      <c r="I744" s="5">
        <v>3.7346587288133826</v>
      </c>
      <c r="J744" s="5">
        <v>16</v>
      </c>
      <c r="K744" s="5">
        <v>37</v>
      </c>
      <c r="L744" s="5">
        <v>55</v>
      </c>
      <c r="M744" s="5" t="str">
        <f>_xlfn.SWITCH(recruitment_data3[[#This Row],[RecruitmentStrategy]], 1,"Aggressive", 2,"Moderate", 3,"Conservative")</f>
        <v>Aggressive</v>
      </c>
      <c r="N744" s="5">
        <v>1</v>
      </c>
      <c r="O744" s="5" t="str">
        <f>IF(recruitment_data3[[#This Row],[HiringDecision]]=1,"Hired","Rejected")</f>
        <v>Rejected</v>
      </c>
      <c r="P744" s="6">
        <v>0</v>
      </c>
    </row>
    <row r="745" spans="1:16" x14ac:dyDescent="0.25">
      <c r="A745" s="4" t="str">
        <f t="shared" si="11"/>
        <v>C0744</v>
      </c>
      <c r="B745" s="4">
        <v>28</v>
      </c>
      <c r="C745" s="5" t="str">
        <f>IF(recruitment_data3[[#This Row],[Gender]]=1,"Female","Male")</f>
        <v>Male</v>
      </c>
      <c r="D745" s="5">
        <v>0</v>
      </c>
      <c r="E745" s="5" t="str">
        <f>_xlfn.SWITCH(recruitment_data3[[#This Row],[EducationLevel]], 1,"Bachelor Type 1", 2,"Bachelor Type 2", 3,"Masters", 4,"PhD")</f>
        <v>Bachelor Type 1</v>
      </c>
      <c r="F745" s="5">
        <v>1</v>
      </c>
      <c r="G745" s="5">
        <v>10</v>
      </c>
      <c r="H745" s="5">
        <v>2</v>
      </c>
      <c r="I745" s="5">
        <v>1.8835022397716941</v>
      </c>
      <c r="J745" s="5">
        <v>23</v>
      </c>
      <c r="K745" s="5">
        <v>25</v>
      </c>
      <c r="L745" s="5">
        <v>26</v>
      </c>
      <c r="M745" s="5" t="str">
        <f>_xlfn.SWITCH(recruitment_data3[[#This Row],[RecruitmentStrategy]], 1,"Aggressive", 2,"Moderate", 3,"Conservative")</f>
        <v>Moderate</v>
      </c>
      <c r="N745" s="5">
        <v>2</v>
      </c>
      <c r="O745" s="5" t="str">
        <f>IF(recruitment_data3[[#This Row],[HiringDecision]]=1,"Hired","Rejected")</f>
        <v>Rejected</v>
      </c>
      <c r="P745" s="6">
        <v>0</v>
      </c>
    </row>
    <row r="746" spans="1:16" x14ac:dyDescent="0.25">
      <c r="A746" s="4" t="str">
        <f t="shared" si="11"/>
        <v>C0745</v>
      </c>
      <c r="B746" s="4">
        <v>43</v>
      </c>
      <c r="C746" s="5" t="str">
        <f>IF(recruitment_data3[[#This Row],[Gender]]=1,"Female","Male")</f>
        <v>Male</v>
      </c>
      <c r="D746" s="5">
        <v>0</v>
      </c>
      <c r="E746" s="5" t="str">
        <f>_xlfn.SWITCH(recruitment_data3[[#This Row],[EducationLevel]], 1,"Bachelor Type 1", 2,"Bachelor Type 2", 3,"Masters", 4,"PhD")</f>
        <v>Bachelor Type 2</v>
      </c>
      <c r="F746" s="5">
        <v>2</v>
      </c>
      <c r="G746" s="5">
        <v>0</v>
      </c>
      <c r="H746" s="5">
        <v>4</v>
      </c>
      <c r="I746" s="5">
        <v>6.1384121324890897</v>
      </c>
      <c r="J746" s="5">
        <v>29</v>
      </c>
      <c r="K746" s="5">
        <v>10</v>
      </c>
      <c r="L746" s="5">
        <v>37</v>
      </c>
      <c r="M746" s="5" t="str">
        <f>_xlfn.SWITCH(recruitment_data3[[#This Row],[RecruitmentStrategy]], 1,"Aggressive", 2,"Moderate", 3,"Conservative")</f>
        <v>Moderate</v>
      </c>
      <c r="N746" s="5">
        <v>2</v>
      </c>
      <c r="O746" s="5" t="str">
        <f>IF(recruitment_data3[[#This Row],[HiringDecision]]=1,"Hired","Rejected")</f>
        <v>Rejected</v>
      </c>
      <c r="P746" s="6">
        <v>0</v>
      </c>
    </row>
    <row r="747" spans="1:16" x14ac:dyDescent="0.25">
      <c r="A747" s="4" t="str">
        <f t="shared" si="11"/>
        <v>C0746</v>
      </c>
      <c r="B747" s="4">
        <v>22</v>
      </c>
      <c r="C747" s="5" t="str">
        <f>IF(recruitment_data3[[#This Row],[Gender]]=1,"Female","Male")</f>
        <v>Male</v>
      </c>
      <c r="D747" s="5">
        <v>0</v>
      </c>
      <c r="E747" s="5" t="str">
        <f>_xlfn.SWITCH(recruitment_data3[[#This Row],[EducationLevel]], 1,"Bachelor Type 1", 2,"Bachelor Type 2", 3,"Masters", 4,"PhD")</f>
        <v>Masters</v>
      </c>
      <c r="F747" s="5">
        <v>3</v>
      </c>
      <c r="G747" s="5">
        <v>5</v>
      </c>
      <c r="H747" s="5">
        <v>4</v>
      </c>
      <c r="I747" s="5">
        <v>9.6098739711816528</v>
      </c>
      <c r="J747" s="5">
        <v>61</v>
      </c>
      <c r="K747" s="5">
        <v>89</v>
      </c>
      <c r="L747" s="5">
        <v>61</v>
      </c>
      <c r="M747" s="5" t="str">
        <f>_xlfn.SWITCH(recruitment_data3[[#This Row],[RecruitmentStrategy]], 1,"Aggressive", 2,"Moderate", 3,"Conservative")</f>
        <v>Moderate</v>
      </c>
      <c r="N747" s="5">
        <v>2</v>
      </c>
      <c r="O747" s="5" t="str">
        <f>IF(recruitment_data3[[#This Row],[HiringDecision]]=1,"Hired","Rejected")</f>
        <v>Rejected</v>
      </c>
      <c r="P747" s="6">
        <v>0</v>
      </c>
    </row>
    <row r="748" spans="1:16" x14ac:dyDescent="0.25">
      <c r="A748" s="4" t="str">
        <f t="shared" si="11"/>
        <v>C0747</v>
      </c>
      <c r="B748" s="4">
        <v>36</v>
      </c>
      <c r="C748" s="5" t="str">
        <f>IF(recruitment_data3[[#This Row],[Gender]]=1,"Female","Male")</f>
        <v>Female</v>
      </c>
      <c r="D748" s="5">
        <v>1</v>
      </c>
      <c r="E748" s="5" t="str">
        <f>_xlfn.SWITCH(recruitment_data3[[#This Row],[EducationLevel]], 1,"Bachelor Type 1", 2,"Bachelor Type 2", 3,"Masters", 4,"PhD")</f>
        <v>PhD</v>
      </c>
      <c r="F748" s="5">
        <v>4</v>
      </c>
      <c r="G748" s="5">
        <v>12</v>
      </c>
      <c r="H748" s="5">
        <v>3</v>
      </c>
      <c r="I748" s="5">
        <v>22.549186442410157</v>
      </c>
      <c r="J748" s="5">
        <v>12</v>
      </c>
      <c r="K748" s="5">
        <v>16</v>
      </c>
      <c r="L748" s="5">
        <v>17</v>
      </c>
      <c r="M748" s="5" t="str">
        <f>_xlfn.SWITCH(recruitment_data3[[#This Row],[RecruitmentStrategy]], 1,"Aggressive", 2,"Moderate", 3,"Conservative")</f>
        <v>Aggressive</v>
      </c>
      <c r="N748" s="5">
        <v>1</v>
      </c>
      <c r="O748" s="5" t="str">
        <f>IF(recruitment_data3[[#This Row],[HiringDecision]]=1,"Hired","Rejected")</f>
        <v>Hired</v>
      </c>
      <c r="P748" s="6">
        <v>1</v>
      </c>
    </row>
    <row r="749" spans="1:16" x14ac:dyDescent="0.25">
      <c r="A749" s="4" t="str">
        <f t="shared" si="11"/>
        <v>C0748</v>
      </c>
      <c r="B749" s="4">
        <v>22</v>
      </c>
      <c r="C749" s="5" t="str">
        <f>IF(recruitment_data3[[#This Row],[Gender]]=1,"Female","Male")</f>
        <v>Male</v>
      </c>
      <c r="D749" s="5">
        <v>0</v>
      </c>
      <c r="E749" s="5" t="str">
        <f>_xlfn.SWITCH(recruitment_data3[[#This Row],[EducationLevel]], 1,"Bachelor Type 1", 2,"Bachelor Type 2", 3,"Masters", 4,"PhD")</f>
        <v>Bachelor Type 2</v>
      </c>
      <c r="F749" s="5">
        <v>2</v>
      </c>
      <c r="G749" s="5">
        <v>15</v>
      </c>
      <c r="H749" s="5">
        <v>5</v>
      </c>
      <c r="I749" s="5">
        <v>26.526013064942234</v>
      </c>
      <c r="J749" s="5">
        <v>61</v>
      </c>
      <c r="K749" s="5">
        <v>87</v>
      </c>
      <c r="L749" s="5">
        <v>63</v>
      </c>
      <c r="M749" s="5" t="str">
        <f>_xlfn.SWITCH(recruitment_data3[[#This Row],[RecruitmentStrategy]], 1,"Aggressive", 2,"Moderate", 3,"Conservative")</f>
        <v>Conservative</v>
      </c>
      <c r="N749" s="5">
        <v>3</v>
      </c>
      <c r="O749" s="5" t="str">
        <f>IF(recruitment_data3[[#This Row],[HiringDecision]]=1,"Hired","Rejected")</f>
        <v>Rejected</v>
      </c>
      <c r="P749" s="6">
        <v>0</v>
      </c>
    </row>
    <row r="750" spans="1:16" x14ac:dyDescent="0.25">
      <c r="A750" s="4" t="str">
        <f t="shared" si="11"/>
        <v>C0749</v>
      </c>
      <c r="B750" s="4">
        <v>35</v>
      </c>
      <c r="C750" s="5" t="str">
        <f>IF(recruitment_data3[[#This Row],[Gender]]=1,"Female","Male")</f>
        <v>Male</v>
      </c>
      <c r="D750" s="5">
        <v>0</v>
      </c>
      <c r="E750" s="5" t="str">
        <f>_xlfn.SWITCH(recruitment_data3[[#This Row],[EducationLevel]], 1,"Bachelor Type 1", 2,"Bachelor Type 2", 3,"Masters", 4,"PhD")</f>
        <v>Bachelor Type 2</v>
      </c>
      <c r="F750" s="5">
        <v>2</v>
      </c>
      <c r="G750" s="5">
        <v>5</v>
      </c>
      <c r="H750" s="5">
        <v>3</v>
      </c>
      <c r="I750" s="5">
        <v>8.0295959086682789</v>
      </c>
      <c r="J750" s="5">
        <v>46</v>
      </c>
      <c r="K750" s="5">
        <v>91</v>
      </c>
      <c r="L750" s="5">
        <v>76</v>
      </c>
      <c r="M750" s="5" t="str">
        <f>_xlfn.SWITCH(recruitment_data3[[#This Row],[RecruitmentStrategy]], 1,"Aggressive", 2,"Moderate", 3,"Conservative")</f>
        <v>Moderate</v>
      </c>
      <c r="N750" s="5">
        <v>2</v>
      </c>
      <c r="O750" s="5" t="str">
        <f>IF(recruitment_data3[[#This Row],[HiringDecision]]=1,"Hired","Rejected")</f>
        <v>Rejected</v>
      </c>
      <c r="P750" s="6">
        <v>0</v>
      </c>
    </row>
    <row r="751" spans="1:16" x14ac:dyDescent="0.25">
      <c r="A751" s="4" t="str">
        <f t="shared" si="11"/>
        <v>C0750</v>
      </c>
      <c r="B751" s="4">
        <v>23</v>
      </c>
      <c r="C751" s="5" t="str">
        <f>IF(recruitment_data3[[#This Row],[Gender]]=1,"Female","Male")</f>
        <v>Male</v>
      </c>
      <c r="D751" s="5">
        <v>0</v>
      </c>
      <c r="E751" s="5" t="str">
        <f>_xlfn.SWITCH(recruitment_data3[[#This Row],[EducationLevel]], 1,"Bachelor Type 1", 2,"Bachelor Type 2", 3,"Masters", 4,"PhD")</f>
        <v>Bachelor Type 2</v>
      </c>
      <c r="F751" s="5">
        <v>2</v>
      </c>
      <c r="G751" s="5">
        <v>15</v>
      </c>
      <c r="H751" s="5">
        <v>5</v>
      </c>
      <c r="I751" s="5">
        <v>22.239167076209313</v>
      </c>
      <c r="J751" s="5">
        <v>15</v>
      </c>
      <c r="K751" s="5">
        <v>98</v>
      </c>
      <c r="L751" s="5">
        <v>29</v>
      </c>
      <c r="M751" s="5" t="str">
        <f>_xlfn.SWITCH(recruitment_data3[[#This Row],[RecruitmentStrategy]], 1,"Aggressive", 2,"Moderate", 3,"Conservative")</f>
        <v>Conservative</v>
      </c>
      <c r="N751" s="5">
        <v>3</v>
      </c>
      <c r="O751" s="5" t="str">
        <f>IF(recruitment_data3[[#This Row],[HiringDecision]]=1,"Hired","Rejected")</f>
        <v>Rejected</v>
      </c>
      <c r="P751" s="6">
        <v>0</v>
      </c>
    </row>
    <row r="752" spans="1:16" x14ac:dyDescent="0.25">
      <c r="A752" s="4" t="str">
        <f t="shared" si="11"/>
        <v>C0751</v>
      </c>
      <c r="B752" s="4">
        <v>37</v>
      </c>
      <c r="C752" s="5" t="str">
        <f>IF(recruitment_data3[[#This Row],[Gender]]=1,"Female","Male")</f>
        <v>Male</v>
      </c>
      <c r="D752" s="5">
        <v>0</v>
      </c>
      <c r="E752" s="5" t="str">
        <f>_xlfn.SWITCH(recruitment_data3[[#This Row],[EducationLevel]], 1,"Bachelor Type 1", 2,"Bachelor Type 2", 3,"Masters", 4,"PhD")</f>
        <v>PhD</v>
      </c>
      <c r="F752" s="5">
        <v>4</v>
      </c>
      <c r="G752" s="5">
        <v>10</v>
      </c>
      <c r="H752" s="5">
        <v>5</v>
      </c>
      <c r="I752" s="5">
        <v>18.087442116296366</v>
      </c>
      <c r="J752" s="5">
        <v>65</v>
      </c>
      <c r="K752" s="5">
        <v>30</v>
      </c>
      <c r="L752" s="5">
        <v>48</v>
      </c>
      <c r="M752" s="5" t="str">
        <f>_xlfn.SWITCH(recruitment_data3[[#This Row],[RecruitmentStrategy]], 1,"Aggressive", 2,"Moderate", 3,"Conservative")</f>
        <v>Conservative</v>
      </c>
      <c r="N752" s="5">
        <v>3</v>
      </c>
      <c r="O752" s="5" t="str">
        <f>IF(recruitment_data3[[#This Row],[HiringDecision]]=1,"Hired","Rejected")</f>
        <v>Rejected</v>
      </c>
      <c r="P752" s="6">
        <v>0</v>
      </c>
    </row>
    <row r="753" spans="1:16" x14ac:dyDescent="0.25">
      <c r="A753" s="4" t="str">
        <f t="shared" si="11"/>
        <v>C0752</v>
      </c>
      <c r="B753" s="4">
        <v>36</v>
      </c>
      <c r="C753" s="5" t="str">
        <f>IF(recruitment_data3[[#This Row],[Gender]]=1,"Female","Male")</f>
        <v>Male</v>
      </c>
      <c r="D753" s="5">
        <v>0</v>
      </c>
      <c r="E753" s="5" t="str">
        <f>_xlfn.SWITCH(recruitment_data3[[#This Row],[EducationLevel]], 1,"Bachelor Type 1", 2,"Bachelor Type 2", 3,"Masters", 4,"PhD")</f>
        <v>Bachelor Type 2</v>
      </c>
      <c r="F753" s="5">
        <v>2</v>
      </c>
      <c r="G753" s="5">
        <v>3</v>
      </c>
      <c r="H753" s="5">
        <v>3</v>
      </c>
      <c r="I753" s="5">
        <v>10.171182174897801</v>
      </c>
      <c r="J753" s="5">
        <v>80</v>
      </c>
      <c r="K753" s="5">
        <v>76</v>
      </c>
      <c r="L753" s="5">
        <v>40</v>
      </c>
      <c r="M753" s="5" t="str">
        <f>_xlfn.SWITCH(recruitment_data3[[#This Row],[RecruitmentStrategy]], 1,"Aggressive", 2,"Moderate", 3,"Conservative")</f>
        <v>Conservative</v>
      </c>
      <c r="N753" s="5">
        <v>3</v>
      </c>
      <c r="O753" s="5" t="str">
        <f>IF(recruitment_data3[[#This Row],[HiringDecision]]=1,"Hired","Rejected")</f>
        <v>Rejected</v>
      </c>
      <c r="P753" s="6">
        <v>0</v>
      </c>
    </row>
    <row r="754" spans="1:16" x14ac:dyDescent="0.25">
      <c r="A754" s="4" t="str">
        <f t="shared" si="11"/>
        <v>C0753</v>
      </c>
      <c r="B754" s="4">
        <v>26</v>
      </c>
      <c r="C754" s="5" t="str">
        <f>IF(recruitment_data3[[#This Row],[Gender]]=1,"Female","Male")</f>
        <v>Male</v>
      </c>
      <c r="D754" s="5">
        <v>0</v>
      </c>
      <c r="E754" s="5" t="str">
        <f>_xlfn.SWITCH(recruitment_data3[[#This Row],[EducationLevel]], 1,"Bachelor Type 1", 2,"Bachelor Type 2", 3,"Masters", 4,"PhD")</f>
        <v>Bachelor Type 2</v>
      </c>
      <c r="F754" s="5">
        <v>2</v>
      </c>
      <c r="G754" s="5">
        <v>11</v>
      </c>
      <c r="H754" s="5">
        <v>1</v>
      </c>
      <c r="I754" s="5">
        <v>1.3420374074181776</v>
      </c>
      <c r="J754" s="5">
        <v>95</v>
      </c>
      <c r="K754" s="5">
        <v>34</v>
      </c>
      <c r="L754" s="5">
        <v>12</v>
      </c>
      <c r="M754" s="5" t="str">
        <f>_xlfn.SWITCH(recruitment_data3[[#This Row],[RecruitmentStrategy]], 1,"Aggressive", 2,"Moderate", 3,"Conservative")</f>
        <v>Aggressive</v>
      </c>
      <c r="N754" s="5">
        <v>1</v>
      </c>
      <c r="O754" s="5" t="str">
        <f>IF(recruitment_data3[[#This Row],[HiringDecision]]=1,"Hired","Rejected")</f>
        <v>Hired</v>
      </c>
      <c r="P754" s="6">
        <v>1</v>
      </c>
    </row>
    <row r="755" spans="1:16" x14ac:dyDescent="0.25">
      <c r="A755" s="4" t="str">
        <f t="shared" si="11"/>
        <v>C0754</v>
      </c>
      <c r="B755" s="4">
        <v>43</v>
      </c>
      <c r="C755" s="5" t="str">
        <f>IF(recruitment_data3[[#This Row],[Gender]]=1,"Female","Male")</f>
        <v>Female</v>
      </c>
      <c r="D755" s="5">
        <v>1</v>
      </c>
      <c r="E755" s="5" t="str">
        <f>_xlfn.SWITCH(recruitment_data3[[#This Row],[EducationLevel]], 1,"Bachelor Type 1", 2,"Bachelor Type 2", 3,"Masters", 4,"PhD")</f>
        <v>Masters</v>
      </c>
      <c r="F755" s="5">
        <v>3</v>
      </c>
      <c r="G755" s="5">
        <v>10</v>
      </c>
      <c r="H755" s="5">
        <v>4</v>
      </c>
      <c r="I755" s="5">
        <v>24.350893326087085</v>
      </c>
      <c r="J755" s="5">
        <v>42</v>
      </c>
      <c r="K755" s="5">
        <v>15</v>
      </c>
      <c r="L755" s="5">
        <v>33</v>
      </c>
      <c r="M755" s="5" t="str">
        <f>_xlfn.SWITCH(recruitment_data3[[#This Row],[RecruitmentStrategy]], 1,"Aggressive", 2,"Moderate", 3,"Conservative")</f>
        <v>Aggressive</v>
      </c>
      <c r="N755" s="5">
        <v>1</v>
      </c>
      <c r="O755" s="5" t="str">
        <f>IF(recruitment_data3[[#This Row],[HiringDecision]]=1,"Hired","Rejected")</f>
        <v>Hired</v>
      </c>
      <c r="P755" s="6">
        <v>1</v>
      </c>
    </row>
    <row r="756" spans="1:16" x14ac:dyDescent="0.25">
      <c r="A756" s="4" t="str">
        <f t="shared" si="11"/>
        <v>C0755</v>
      </c>
      <c r="B756" s="4">
        <v>42</v>
      </c>
      <c r="C756" s="5" t="str">
        <f>IF(recruitment_data3[[#This Row],[Gender]]=1,"Female","Male")</f>
        <v>Female</v>
      </c>
      <c r="D756" s="5">
        <v>1</v>
      </c>
      <c r="E756" s="5" t="str">
        <f>_xlfn.SWITCH(recruitment_data3[[#This Row],[EducationLevel]], 1,"Bachelor Type 1", 2,"Bachelor Type 2", 3,"Masters", 4,"PhD")</f>
        <v>Bachelor Type 1</v>
      </c>
      <c r="F756" s="5">
        <v>1</v>
      </c>
      <c r="G756" s="5">
        <v>12</v>
      </c>
      <c r="H756" s="5">
        <v>5</v>
      </c>
      <c r="I756" s="5">
        <v>35.282587463259965</v>
      </c>
      <c r="J756" s="5">
        <v>7</v>
      </c>
      <c r="K756" s="5">
        <v>78</v>
      </c>
      <c r="L756" s="5">
        <v>99</v>
      </c>
      <c r="M756" s="5" t="str">
        <f>_xlfn.SWITCH(recruitment_data3[[#This Row],[RecruitmentStrategy]], 1,"Aggressive", 2,"Moderate", 3,"Conservative")</f>
        <v>Moderate</v>
      </c>
      <c r="N756" s="5">
        <v>2</v>
      </c>
      <c r="O756" s="5" t="str">
        <f>IF(recruitment_data3[[#This Row],[HiringDecision]]=1,"Hired","Rejected")</f>
        <v>Rejected</v>
      </c>
      <c r="P756" s="6">
        <v>0</v>
      </c>
    </row>
    <row r="757" spans="1:16" x14ac:dyDescent="0.25">
      <c r="A757" s="4" t="str">
        <f t="shared" si="11"/>
        <v>C0756</v>
      </c>
      <c r="B757" s="4">
        <v>49</v>
      </c>
      <c r="C757" s="5" t="str">
        <f>IF(recruitment_data3[[#This Row],[Gender]]=1,"Female","Male")</f>
        <v>Male</v>
      </c>
      <c r="D757" s="5">
        <v>0</v>
      </c>
      <c r="E757" s="5" t="str">
        <f>_xlfn.SWITCH(recruitment_data3[[#This Row],[EducationLevel]], 1,"Bachelor Type 1", 2,"Bachelor Type 2", 3,"Masters", 4,"PhD")</f>
        <v>Bachelor Type 1</v>
      </c>
      <c r="F757" s="5">
        <v>1</v>
      </c>
      <c r="G757" s="5">
        <v>14</v>
      </c>
      <c r="H757" s="5">
        <v>5</v>
      </c>
      <c r="I757" s="5">
        <v>12.313866707190352</v>
      </c>
      <c r="J757" s="5">
        <v>2</v>
      </c>
      <c r="K757" s="5">
        <v>17</v>
      </c>
      <c r="L757" s="5">
        <v>93</v>
      </c>
      <c r="M757" s="5" t="str">
        <f>_xlfn.SWITCH(recruitment_data3[[#This Row],[RecruitmentStrategy]], 1,"Aggressive", 2,"Moderate", 3,"Conservative")</f>
        <v>Aggressive</v>
      </c>
      <c r="N757" s="5">
        <v>1</v>
      </c>
      <c r="O757" s="5" t="str">
        <f>IF(recruitment_data3[[#This Row],[HiringDecision]]=1,"Hired","Rejected")</f>
        <v>Hired</v>
      </c>
      <c r="P757" s="6">
        <v>1</v>
      </c>
    </row>
    <row r="758" spans="1:16" x14ac:dyDescent="0.25">
      <c r="A758" s="4" t="str">
        <f t="shared" si="11"/>
        <v>C0757</v>
      </c>
      <c r="B758" s="4">
        <v>24</v>
      </c>
      <c r="C758" s="5" t="str">
        <f>IF(recruitment_data3[[#This Row],[Gender]]=1,"Female","Male")</f>
        <v>Male</v>
      </c>
      <c r="D758" s="5">
        <v>0</v>
      </c>
      <c r="E758" s="5" t="str">
        <f>_xlfn.SWITCH(recruitment_data3[[#This Row],[EducationLevel]], 1,"Bachelor Type 1", 2,"Bachelor Type 2", 3,"Masters", 4,"PhD")</f>
        <v>Bachelor Type 2</v>
      </c>
      <c r="F758" s="5">
        <v>2</v>
      </c>
      <c r="G758" s="5">
        <v>10</v>
      </c>
      <c r="H758" s="5">
        <v>1</v>
      </c>
      <c r="I758" s="5">
        <v>7.590341494833968</v>
      </c>
      <c r="J758" s="5">
        <v>11</v>
      </c>
      <c r="K758" s="5">
        <v>100</v>
      </c>
      <c r="L758" s="5">
        <v>24</v>
      </c>
      <c r="M758" s="5" t="str">
        <f>_xlfn.SWITCH(recruitment_data3[[#This Row],[RecruitmentStrategy]], 1,"Aggressive", 2,"Moderate", 3,"Conservative")</f>
        <v>Moderate</v>
      </c>
      <c r="N758" s="5">
        <v>2</v>
      </c>
      <c r="O758" s="5" t="str">
        <f>IF(recruitment_data3[[#This Row],[HiringDecision]]=1,"Hired","Rejected")</f>
        <v>Rejected</v>
      </c>
      <c r="P758" s="6">
        <v>0</v>
      </c>
    </row>
    <row r="759" spans="1:16" x14ac:dyDescent="0.25">
      <c r="A759" s="4" t="str">
        <f t="shared" si="11"/>
        <v>C0758</v>
      </c>
      <c r="B759" s="4">
        <v>31</v>
      </c>
      <c r="C759" s="5" t="str">
        <f>IF(recruitment_data3[[#This Row],[Gender]]=1,"Female","Male")</f>
        <v>Female</v>
      </c>
      <c r="D759" s="5">
        <v>1</v>
      </c>
      <c r="E759" s="5" t="str">
        <f>_xlfn.SWITCH(recruitment_data3[[#This Row],[EducationLevel]], 1,"Bachelor Type 1", 2,"Bachelor Type 2", 3,"Masters", 4,"PhD")</f>
        <v>PhD</v>
      </c>
      <c r="F759" s="5">
        <v>4</v>
      </c>
      <c r="G759" s="5">
        <v>15</v>
      </c>
      <c r="H759" s="5">
        <v>2</v>
      </c>
      <c r="I759" s="5">
        <v>45.352137222348091</v>
      </c>
      <c r="J759" s="5">
        <v>83</v>
      </c>
      <c r="K759" s="5">
        <v>61</v>
      </c>
      <c r="L759" s="5">
        <v>65</v>
      </c>
      <c r="M759" s="5" t="str">
        <f>_xlfn.SWITCH(recruitment_data3[[#This Row],[RecruitmentStrategy]], 1,"Aggressive", 2,"Moderate", 3,"Conservative")</f>
        <v>Moderate</v>
      </c>
      <c r="N759" s="5">
        <v>2</v>
      </c>
      <c r="O759" s="5" t="str">
        <f>IF(recruitment_data3[[#This Row],[HiringDecision]]=1,"Hired","Rejected")</f>
        <v>Hired</v>
      </c>
      <c r="P759" s="6">
        <v>1</v>
      </c>
    </row>
    <row r="760" spans="1:16" x14ac:dyDescent="0.25">
      <c r="A760" s="4" t="str">
        <f t="shared" si="11"/>
        <v>C0759</v>
      </c>
      <c r="B760" s="4">
        <v>36</v>
      </c>
      <c r="C760" s="5" t="str">
        <f>IF(recruitment_data3[[#This Row],[Gender]]=1,"Female","Male")</f>
        <v>Female</v>
      </c>
      <c r="D760" s="5">
        <v>1</v>
      </c>
      <c r="E760" s="5" t="str">
        <f>_xlfn.SWITCH(recruitment_data3[[#This Row],[EducationLevel]], 1,"Bachelor Type 1", 2,"Bachelor Type 2", 3,"Masters", 4,"PhD")</f>
        <v>Bachelor Type 2</v>
      </c>
      <c r="F760" s="5">
        <v>2</v>
      </c>
      <c r="G760" s="5">
        <v>12</v>
      </c>
      <c r="H760" s="5">
        <v>1</v>
      </c>
      <c r="I760" s="5">
        <v>14.751238624389888</v>
      </c>
      <c r="J760" s="5">
        <v>15</v>
      </c>
      <c r="K760" s="5">
        <v>26</v>
      </c>
      <c r="L760" s="5">
        <v>99</v>
      </c>
      <c r="M760" s="5" t="str">
        <f>_xlfn.SWITCH(recruitment_data3[[#This Row],[RecruitmentStrategy]], 1,"Aggressive", 2,"Moderate", 3,"Conservative")</f>
        <v>Moderate</v>
      </c>
      <c r="N760" s="5">
        <v>2</v>
      </c>
      <c r="O760" s="5" t="str">
        <f>IF(recruitment_data3[[#This Row],[HiringDecision]]=1,"Hired","Rejected")</f>
        <v>Rejected</v>
      </c>
      <c r="P760" s="6">
        <v>0</v>
      </c>
    </row>
    <row r="761" spans="1:16" x14ac:dyDescent="0.25">
      <c r="A761" s="4" t="str">
        <f t="shared" si="11"/>
        <v>C0760</v>
      </c>
      <c r="B761" s="4">
        <v>42</v>
      </c>
      <c r="C761" s="5" t="str">
        <f>IF(recruitment_data3[[#This Row],[Gender]]=1,"Female","Male")</f>
        <v>Male</v>
      </c>
      <c r="D761" s="5">
        <v>0</v>
      </c>
      <c r="E761" s="5" t="str">
        <f>_xlfn.SWITCH(recruitment_data3[[#This Row],[EducationLevel]], 1,"Bachelor Type 1", 2,"Bachelor Type 2", 3,"Masters", 4,"PhD")</f>
        <v>Bachelor Type 2</v>
      </c>
      <c r="F761" s="5">
        <v>2</v>
      </c>
      <c r="G761" s="5">
        <v>9</v>
      </c>
      <c r="H761" s="5">
        <v>1</v>
      </c>
      <c r="I761" s="5">
        <v>12.180630989633238</v>
      </c>
      <c r="J761" s="5">
        <v>77</v>
      </c>
      <c r="K761" s="5">
        <v>34</v>
      </c>
      <c r="L761" s="5">
        <v>17</v>
      </c>
      <c r="M761" s="5" t="str">
        <f>_xlfn.SWITCH(recruitment_data3[[#This Row],[RecruitmentStrategy]], 1,"Aggressive", 2,"Moderate", 3,"Conservative")</f>
        <v>Aggressive</v>
      </c>
      <c r="N761" s="5">
        <v>1</v>
      </c>
      <c r="O761" s="5" t="str">
        <f>IF(recruitment_data3[[#This Row],[HiringDecision]]=1,"Hired","Rejected")</f>
        <v>Hired</v>
      </c>
      <c r="P761" s="6">
        <v>1</v>
      </c>
    </row>
    <row r="762" spans="1:16" x14ac:dyDescent="0.25">
      <c r="A762" s="4" t="str">
        <f t="shared" si="11"/>
        <v>C0761</v>
      </c>
      <c r="B762" s="4">
        <v>32</v>
      </c>
      <c r="C762" s="5" t="str">
        <f>IF(recruitment_data3[[#This Row],[Gender]]=1,"Female","Male")</f>
        <v>Male</v>
      </c>
      <c r="D762" s="5">
        <v>0</v>
      </c>
      <c r="E762" s="5" t="str">
        <f>_xlfn.SWITCH(recruitment_data3[[#This Row],[EducationLevel]], 1,"Bachelor Type 1", 2,"Bachelor Type 2", 3,"Masters", 4,"PhD")</f>
        <v>Bachelor Type 2</v>
      </c>
      <c r="F762" s="5">
        <v>2</v>
      </c>
      <c r="G762" s="5">
        <v>2</v>
      </c>
      <c r="H762" s="5">
        <v>5</v>
      </c>
      <c r="I762" s="5">
        <v>43.854846980495793</v>
      </c>
      <c r="J762" s="5">
        <v>79</v>
      </c>
      <c r="K762" s="5">
        <v>44</v>
      </c>
      <c r="L762" s="5">
        <v>4</v>
      </c>
      <c r="M762" s="5" t="str">
        <f>_xlfn.SWITCH(recruitment_data3[[#This Row],[RecruitmentStrategy]], 1,"Aggressive", 2,"Moderate", 3,"Conservative")</f>
        <v>Conservative</v>
      </c>
      <c r="N762" s="5">
        <v>3</v>
      </c>
      <c r="O762" s="5" t="str">
        <f>IF(recruitment_data3[[#This Row],[HiringDecision]]=1,"Hired","Rejected")</f>
        <v>Rejected</v>
      </c>
      <c r="P762" s="6">
        <v>0</v>
      </c>
    </row>
    <row r="763" spans="1:16" x14ac:dyDescent="0.25">
      <c r="A763" s="4" t="str">
        <f t="shared" si="11"/>
        <v>C0762</v>
      </c>
      <c r="B763" s="4">
        <v>42</v>
      </c>
      <c r="C763" s="5" t="str">
        <f>IF(recruitment_data3[[#This Row],[Gender]]=1,"Female","Male")</f>
        <v>Male</v>
      </c>
      <c r="D763" s="5">
        <v>0</v>
      </c>
      <c r="E763" s="5" t="str">
        <f>_xlfn.SWITCH(recruitment_data3[[#This Row],[EducationLevel]], 1,"Bachelor Type 1", 2,"Bachelor Type 2", 3,"Masters", 4,"PhD")</f>
        <v>Bachelor Type 2</v>
      </c>
      <c r="F763" s="5">
        <v>2</v>
      </c>
      <c r="G763" s="5">
        <v>12</v>
      </c>
      <c r="H763" s="5">
        <v>4</v>
      </c>
      <c r="I763" s="5">
        <v>41.855354958338062</v>
      </c>
      <c r="J763" s="5">
        <v>58</v>
      </c>
      <c r="K763" s="5">
        <v>34</v>
      </c>
      <c r="L763" s="5">
        <v>18</v>
      </c>
      <c r="M763" s="5" t="str">
        <f>_xlfn.SWITCH(recruitment_data3[[#This Row],[RecruitmentStrategy]], 1,"Aggressive", 2,"Moderate", 3,"Conservative")</f>
        <v>Aggressive</v>
      </c>
      <c r="N763" s="5">
        <v>1</v>
      </c>
      <c r="O763" s="5" t="str">
        <f>IF(recruitment_data3[[#This Row],[HiringDecision]]=1,"Hired","Rejected")</f>
        <v>Rejected</v>
      </c>
      <c r="P763" s="6">
        <v>0</v>
      </c>
    </row>
    <row r="764" spans="1:16" x14ac:dyDescent="0.25">
      <c r="A764" s="4" t="str">
        <f t="shared" si="11"/>
        <v>C0763</v>
      </c>
      <c r="B764" s="4">
        <v>44</v>
      </c>
      <c r="C764" s="5" t="str">
        <f>IF(recruitment_data3[[#This Row],[Gender]]=1,"Female","Male")</f>
        <v>Male</v>
      </c>
      <c r="D764" s="5">
        <v>0</v>
      </c>
      <c r="E764" s="5" t="str">
        <f>_xlfn.SWITCH(recruitment_data3[[#This Row],[EducationLevel]], 1,"Bachelor Type 1", 2,"Bachelor Type 2", 3,"Masters", 4,"PhD")</f>
        <v>Bachelor Type 2</v>
      </c>
      <c r="F764" s="5">
        <v>2</v>
      </c>
      <c r="G764" s="5">
        <v>10</v>
      </c>
      <c r="H764" s="5">
        <v>1</v>
      </c>
      <c r="I764" s="5">
        <v>23.41732352623168</v>
      </c>
      <c r="J764" s="5">
        <v>48</v>
      </c>
      <c r="K764" s="5">
        <v>27</v>
      </c>
      <c r="L764" s="5">
        <v>41</v>
      </c>
      <c r="M764" s="5" t="str">
        <f>_xlfn.SWITCH(recruitment_data3[[#This Row],[RecruitmentStrategy]], 1,"Aggressive", 2,"Moderate", 3,"Conservative")</f>
        <v>Moderate</v>
      </c>
      <c r="N764" s="5">
        <v>2</v>
      </c>
      <c r="O764" s="5" t="str">
        <f>IF(recruitment_data3[[#This Row],[HiringDecision]]=1,"Hired","Rejected")</f>
        <v>Rejected</v>
      </c>
      <c r="P764" s="6">
        <v>0</v>
      </c>
    </row>
    <row r="765" spans="1:16" x14ac:dyDescent="0.25">
      <c r="A765" s="4" t="str">
        <f t="shared" si="11"/>
        <v>C0764</v>
      </c>
      <c r="B765" s="4">
        <v>22</v>
      </c>
      <c r="C765" s="5" t="str">
        <f>IF(recruitment_data3[[#This Row],[Gender]]=1,"Female","Male")</f>
        <v>Female</v>
      </c>
      <c r="D765" s="5">
        <v>1</v>
      </c>
      <c r="E765" s="5" t="str">
        <f>_xlfn.SWITCH(recruitment_data3[[#This Row],[EducationLevel]], 1,"Bachelor Type 1", 2,"Bachelor Type 2", 3,"Masters", 4,"PhD")</f>
        <v>Bachelor Type 2</v>
      </c>
      <c r="F765" s="5">
        <v>2</v>
      </c>
      <c r="G765" s="5">
        <v>2</v>
      </c>
      <c r="H765" s="5">
        <v>2</v>
      </c>
      <c r="I765" s="5">
        <v>25.461943071388724</v>
      </c>
      <c r="J765" s="5">
        <v>62</v>
      </c>
      <c r="K765" s="5">
        <v>8</v>
      </c>
      <c r="L765" s="5">
        <v>17</v>
      </c>
      <c r="M765" s="5" t="str">
        <f>_xlfn.SWITCH(recruitment_data3[[#This Row],[RecruitmentStrategy]], 1,"Aggressive", 2,"Moderate", 3,"Conservative")</f>
        <v>Moderate</v>
      </c>
      <c r="N765" s="5">
        <v>2</v>
      </c>
      <c r="O765" s="5" t="str">
        <f>IF(recruitment_data3[[#This Row],[HiringDecision]]=1,"Hired","Rejected")</f>
        <v>Rejected</v>
      </c>
      <c r="P765" s="6">
        <v>0</v>
      </c>
    </row>
    <row r="766" spans="1:16" x14ac:dyDescent="0.25">
      <c r="A766" s="4" t="str">
        <f t="shared" si="11"/>
        <v>C0765</v>
      </c>
      <c r="B766" s="4">
        <v>28</v>
      </c>
      <c r="C766" s="5" t="str">
        <f>IF(recruitment_data3[[#This Row],[Gender]]=1,"Female","Male")</f>
        <v>Male</v>
      </c>
      <c r="D766" s="5">
        <v>0</v>
      </c>
      <c r="E766" s="5" t="str">
        <f>_xlfn.SWITCH(recruitment_data3[[#This Row],[EducationLevel]], 1,"Bachelor Type 1", 2,"Bachelor Type 2", 3,"Masters", 4,"PhD")</f>
        <v>Bachelor Type 2</v>
      </c>
      <c r="F766" s="5">
        <v>2</v>
      </c>
      <c r="G766" s="5">
        <v>14</v>
      </c>
      <c r="H766" s="5">
        <v>3</v>
      </c>
      <c r="I766" s="5">
        <v>11.887435241701098</v>
      </c>
      <c r="J766" s="5">
        <v>61</v>
      </c>
      <c r="K766" s="5">
        <v>75</v>
      </c>
      <c r="L766" s="5">
        <v>31</v>
      </c>
      <c r="M766" s="5" t="str">
        <f>_xlfn.SWITCH(recruitment_data3[[#This Row],[RecruitmentStrategy]], 1,"Aggressive", 2,"Moderate", 3,"Conservative")</f>
        <v>Moderate</v>
      </c>
      <c r="N766" s="5">
        <v>2</v>
      </c>
      <c r="O766" s="5" t="str">
        <f>IF(recruitment_data3[[#This Row],[HiringDecision]]=1,"Hired","Rejected")</f>
        <v>Rejected</v>
      </c>
      <c r="P766" s="6">
        <v>0</v>
      </c>
    </row>
    <row r="767" spans="1:16" x14ac:dyDescent="0.25">
      <c r="A767" s="4" t="str">
        <f t="shared" si="11"/>
        <v>C0766</v>
      </c>
      <c r="B767" s="4">
        <v>49</v>
      </c>
      <c r="C767" s="5" t="str">
        <f>IF(recruitment_data3[[#This Row],[Gender]]=1,"Female","Male")</f>
        <v>Male</v>
      </c>
      <c r="D767" s="5">
        <v>0</v>
      </c>
      <c r="E767" s="5" t="str">
        <f>_xlfn.SWITCH(recruitment_data3[[#This Row],[EducationLevel]], 1,"Bachelor Type 1", 2,"Bachelor Type 2", 3,"Masters", 4,"PhD")</f>
        <v>Bachelor Type 2</v>
      </c>
      <c r="F767" s="5">
        <v>2</v>
      </c>
      <c r="G767" s="5">
        <v>14</v>
      </c>
      <c r="H767" s="5">
        <v>1</v>
      </c>
      <c r="I767" s="5">
        <v>4.9150835239778745</v>
      </c>
      <c r="J767" s="5">
        <v>48</v>
      </c>
      <c r="K767" s="5">
        <v>14</v>
      </c>
      <c r="L767" s="5">
        <v>20</v>
      </c>
      <c r="M767" s="5" t="str">
        <f>_xlfn.SWITCH(recruitment_data3[[#This Row],[RecruitmentStrategy]], 1,"Aggressive", 2,"Moderate", 3,"Conservative")</f>
        <v>Moderate</v>
      </c>
      <c r="N767" s="5">
        <v>2</v>
      </c>
      <c r="O767" s="5" t="str">
        <f>IF(recruitment_data3[[#This Row],[HiringDecision]]=1,"Hired","Rejected")</f>
        <v>Rejected</v>
      </c>
      <c r="P767" s="6">
        <v>0</v>
      </c>
    </row>
    <row r="768" spans="1:16" x14ac:dyDescent="0.25">
      <c r="A768" s="4" t="str">
        <f t="shared" si="11"/>
        <v>C0767</v>
      </c>
      <c r="B768" s="4">
        <v>36</v>
      </c>
      <c r="C768" s="5" t="str">
        <f>IF(recruitment_data3[[#This Row],[Gender]]=1,"Female","Male")</f>
        <v>Male</v>
      </c>
      <c r="D768" s="5">
        <v>0</v>
      </c>
      <c r="E768" s="5" t="str">
        <f>_xlfn.SWITCH(recruitment_data3[[#This Row],[EducationLevel]], 1,"Bachelor Type 1", 2,"Bachelor Type 2", 3,"Masters", 4,"PhD")</f>
        <v>Bachelor Type 2</v>
      </c>
      <c r="F768" s="5">
        <v>2</v>
      </c>
      <c r="G768" s="5">
        <v>15</v>
      </c>
      <c r="H768" s="5">
        <v>1</v>
      </c>
      <c r="I768" s="5">
        <v>29.671591267783054</v>
      </c>
      <c r="J768" s="5">
        <v>50</v>
      </c>
      <c r="K768" s="5">
        <v>20</v>
      </c>
      <c r="L768" s="5">
        <v>9</v>
      </c>
      <c r="M768" s="5" t="str">
        <f>_xlfn.SWITCH(recruitment_data3[[#This Row],[RecruitmentStrategy]], 1,"Aggressive", 2,"Moderate", 3,"Conservative")</f>
        <v>Aggressive</v>
      </c>
      <c r="N768" s="5">
        <v>1</v>
      </c>
      <c r="O768" s="5" t="str">
        <f>IF(recruitment_data3[[#This Row],[HiringDecision]]=1,"Hired","Rejected")</f>
        <v>Rejected</v>
      </c>
      <c r="P768" s="6">
        <v>0</v>
      </c>
    </row>
    <row r="769" spans="1:16" x14ac:dyDescent="0.25">
      <c r="A769" s="4" t="str">
        <f t="shared" si="11"/>
        <v>C0768</v>
      </c>
      <c r="B769" s="4">
        <v>36</v>
      </c>
      <c r="C769" s="5" t="str">
        <f>IF(recruitment_data3[[#This Row],[Gender]]=1,"Female","Male")</f>
        <v>Male</v>
      </c>
      <c r="D769" s="5">
        <v>0</v>
      </c>
      <c r="E769" s="5" t="str">
        <f>_xlfn.SWITCH(recruitment_data3[[#This Row],[EducationLevel]], 1,"Bachelor Type 1", 2,"Bachelor Type 2", 3,"Masters", 4,"PhD")</f>
        <v>Bachelor Type 2</v>
      </c>
      <c r="F769" s="5">
        <v>2</v>
      </c>
      <c r="G769" s="5">
        <v>12</v>
      </c>
      <c r="H769" s="5">
        <v>2</v>
      </c>
      <c r="I769" s="5">
        <v>5.9172460795106563</v>
      </c>
      <c r="J769" s="5">
        <v>32</v>
      </c>
      <c r="K769" s="5">
        <v>51</v>
      </c>
      <c r="L769" s="5">
        <v>36</v>
      </c>
      <c r="M769" s="5" t="str">
        <f>_xlfn.SWITCH(recruitment_data3[[#This Row],[RecruitmentStrategy]], 1,"Aggressive", 2,"Moderate", 3,"Conservative")</f>
        <v>Moderate</v>
      </c>
      <c r="N769" s="5">
        <v>2</v>
      </c>
      <c r="O769" s="5" t="str">
        <f>IF(recruitment_data3[[#This Row],[HiringDecision]]=1,"Hired","Rejected")</f>
        <v>Rejected</v>
      </c>
      <c r="P769" s="6">
        <v>0</v>
      </c>
    </row>
    <row r="770" spans="1:16" x14ac:dyDescent="0.25">
      <c r="A770" s="4" t="str">
        <f t="shared" ref="A770:A833" si="12">"C"&amp;TEXT(ROW()-1,"0000")</f>
        <v>C0769</v>
      </c>
      <c r="B770" s="4">
        <v>49</v>
      </c>
      <c r="C770" s="5" t="str">
        <f>IF(recruitment_data3[[#This Row],[Gender]]=1,"Female","Male")</f>
        <v>Female</v>
      </c>
      <c r="D770" s="5">
        <v>1</v>
      </c>
      <c r="E770" s="5" t="str">
        <f>_xlfn.SWITCH(recruitment_data3[[#This Row],[EducationLevel]], 1,"Bachelor Type 1", 2,"Bachelor Type 2", 3,"Masters", 4,"PhD")</f>
        <v>Masters</v>
      </c>
      <c r="F770" s="5">
        <v>3</v>
      </c>
      <c r="G770" s="5">
        <v>12</v>
      </c>
      <c r="H770" s="5">
        <v>4</v>
      </c>
      <c r="I770" s="5">
        <v>23.463727347832492</v>
      </c>
      <c r="J770" s="5">
        <v>29</v>
      </c>
      <c r="K770" s="5">
        <v>34</v>
      </c>
      <c r="L770" s="5">
        <v>48</v>
      </c>
      <c r="M770" s="5" t="str">
        <f>_xlfn.SWITCH(recruitment_data3[[#This Row],[RecruitmentStrategy]], 1,"Aggressive", 2,"Moderate", 3,"Conservative")</f>
        <v>Aggressive</v>
      </c>
      <c r="N770" s="5">
        <v>1</v>
      </c>
      <c r="O770" s="5" t="str">
        <f>IF(recruitment_data3[[#This Row],[HiringDecision]]=1,"Hired","Rejected")</f>
        <v>Hired</v>
      </c>
      <c r="P770" s="6">
        <v>1</v>
      </c>
    </row>
    <row r="771" spans="1:16" x14ac:dyDescent="0.25">
      <c r="A771" s="4" t="str">
        <f t="shared" si="12"/>
        <v>C0770</v>
      </c>
      <c r="B771" s="4">
        <v>39</v>
      </c>
      <c r="C771" s="5" t="str">
        <f>IF(recruitment_data3[[#This Row],[Gender]]=1,"Female","Male")</f>
        <v>Female</v>
      </c>
      <c r="D771" s="5">
        <v>1</v>
      </c>
      <c r="E771" s="5" t="str">
        <f>_xlfn.SWITCH(recruitment_data3[[#This Row],[EducationLevel]], 1,"Bachelor Type 1", 2,"Bachelor Type 2", 3,"Masters", 4,"PhD")</f>
        <v>Bachelor Type 1</v>
      </c>
      <c r="F771" s="5">
        <v>1</v>
      </c>
      <c r="G771" s="5">
        <v>0</v>
      </c>
      <c r="H771" s="5">
        <v>1</v>
      </c>
      <c r="I771" s="5">
        <v>48.024859925650539</v>
      </c>
      <c r="J771" s="5">
        <v>58</v>
      </c>
      <c r="K771" s="5">
        <v>96</v>
      </c>
      <c r="L771" s="5">
        <v>85</v>
      </c>
      <c r="M771" s="5" t="str">
        <f>_xlfn.SWITCH(recruitment_data3[[#This Row],[RecruitmentStrategy]], 1,"Aggressive", 2,"Moderate", 3,"Conservative")</f>
        <v>Aggressive</v>
      </c>
      <c r="N771" s="5">
        <v>1</v>
      </c>
      <c r="O771" s="5" t="str">
        <f>IF(recruitment_data3[[#This Row],[HiringDecision]]=1,"Hired","Rejected")</f>
        <v>Hired</v>
      </c>
      <c r="P771" s="6">
        <v>1</v>
      </c>
    </row>
    <row r="772" spans="1:16" x14ac:dyDescent="0.25">
      <c r="A772" s="4" t="str">
        <f t="shared" si="12"/>
        <v>C0771</v>
      </c>
      <c r="B772" s="4">
        <v>35</v>
      </c>
      <c r="C772" s="5" t="str">
        <f>IF(recruitment_data3[[#This Row],[Gender]]=1,"Female","Male")</f>
        <v>Female</v>
      </c>
      <c r="D772" s="5">
        <v>1</v>
      </c>
      <c r="E772" s="5" t="str">
        <f>_xlfn.SWITCH(recruitment_data3[[#This Row],[EducationLevel]], 1,"Bachelor Type 1", 2,"Bachelor Type 2", 3,"Masters", 4,"PhD")</f>
        <v>Masters</v>
      </c>
      <c r="F772" s="5">
        <v>3</v>
      </c>
      <c r="G772" s="5">
        <v>2</v>
      </c>
      <c r="H772" s="5">
        <v>1</v>
      </c>
      <c r="I772" s="5">
        <v>48.641719458529217</v>
      </c>
      <c r="J772" s="5">
        <v>75</v>
      </c>
      <c r="K772" s="5">
        <v>50</v>
      </c>
      <c r="L772" s="5">
        <v>12</v>
      </c>
      <c r="M772" s="5" t="str">
        <f>_xlfn.SWITCH(recruitment_data3[[#This Row],[RecruitmentStrategy]], 1,"Aggressive", 2,"Moderate", 3,"Conservative")</f>
        <v>Moderate</v>
      </c>
      <c r="N772" s="5">
        <v>2</v>
      </c>
      <c r="O772" s="5" t="str">
        <f>IF(recruitment_data3[[#This Row],[HiringDecision]]=1,"Hired","Rejected")</f>
        <v>Rejected</v>
      </c>
      <c r="P772" s="6">
        <v>0</v>
      </c>
    </row>
    <row r="773" spans="1:16" x14ac:dyDescent="0.25">
      <c r="A773" s="4" t="str">
        <f t="shared" si="12"/>
        <v>C0772</v>
      </c>
      <c r="B773" s="4">
        <v>44</v>
      </c>
      <c r="C773" s="5" t="str">
        <f>IF(recruitment_data3[[#This Row],[Gender]]=1,"Female","Male")</f>
        <v>Male</v>
      </c>
      <c r="D773" s="5">
        <v>0</v>
      </c>
      <c r="E773" s="5" t="str">
        <f>_xlfn.SWITCH(recruitment_data3[[#This Row],[EducationLevel]], 1,"Bachelor Type 1", 2,"Bachelor Type 2", 3,"Masters", 4,"PhD")</f>
        <v>Masters</v>
      </c>
      <c r="F773" s="5">
        <v>3</v>
      </c>
      <c r="G773" s="5">
        <v>3</v>
      </c>
      <c r="H773" s="5">
        <v>4</v>
      </c>
      <c r="I773" s="5">
        <v>12.96661432736793</v>
      </c>
      <c r="J773" s="5">
        <v>14</v>
      </c>
      <c r="K773" s="5">
        <v>82</v>
      </c>
      <c r="L773" s="5">
        <v>54</v>
      </c>
      <c r="M773" s="5" t="str">
        <f>_xlfn.SWITCH(recruitment_data3[[#This Row],[RecruitmentStrategy]], 1,"Aggressive", 2,"Moderate", 3,"Conservative")</f>
        <v>Moderate</v>
      </c>
      <c r="N773" s="5">
        <v>2</v>
      </c>
      <c r="O773" s="5" t="str">
        <f>IF(recruitment_data3[[#This Row],[HiringDecision]]=1,"Hired","Rejected")</f>
        <v>Rejected</v>
      </c>
      <c r="P773" s="6">
        <v>0</v>
      </c>
    </row>
    <row r="774" spans="1:16" x14ac:dyDescent="0.25">
      <c r="A774" s="4" t="str">
        <f t="shared" si="12"/>
        <v>C0773</v>
      </c>
      <c r="B774" s="4">
        <v>41</v>
      </c>
      <c r="C774" s="5" t="str">
        <f>IF(recruitment_data3[[#This Row],[Gender]]=1,"Female","Male")</f>
        <v>Male</v>
      </c>
      <c r="D774" s="5">
        <v>0</v>
      </c>
      <c r="E774" s="5" t="str">
        <f>_xlfn.SWITCH(recruitment_data3[[#This Row],[EducationLevel]], 1,"Bachelor Type 1", 2,"Bachelor Type 2", 3,"Masters", 4,"PhD")</f>
        <v>Bachelor Type 2</v>
      </c>
      <c r="F774" s="5">
        <v>2</v>
      </c>
      <c r="G774" s="5">
        <v>10</v>
      </c>
      <c r="H774" s="5">
        <v>2</v>
      </c>
      <c r="I774" s="5">
        <v>32.20567100228272</v>
      </c>
      <c r="J774" s="5">
        <v>81</v>
      </c>
      <c r="K774" s="5">
        <v>54</v>
      </c>
      <c r="L774" s="5">
        <v>16</v>
      </c>
      <c r="M774" s="5" t="str">
        <f>_xlfn.SWITCH(recruitment_data3[[#This Row],[RecruitmentStrategy]], 1,"Aggressive", 2,"Moderate", 3,"Conservative")</f>
        <v>Moderate</v>
      </c>
      <c r="N774" s="5">
        <v>2</v>
      </c>
      <c r="O774" s="5" t="str">
        <f>IF(recruitment_data3[[#This Row],[HiringDecision]]=1,"Hired","Rejected")</f>
        <v>Rejected</v>
      </c>
      <c r="P774" s="6">
        <v>0</v>
      </c>
    </row>
    <row r="775" spans="1:16" x14ac:dyDescent="0.25">
      <c r="A775" s="4" t="str">
        <f t="shared" si="12"/>
        <v>C0774</v>
      </c>
      <c r="B775" s="4">
        <v>32</v>
      </c>
      <c r="C775" s="5" t="str">
        <f>IF(recruitment_data3[[#This Row],[Gender]]=1,"Female","Male")</f>
        <v>Female</v>
      </c>
      <c r="D775" s="5">
        <v>1</v>
      </c>
      <c r="E775" s="5" t="str">
        <f>_xlfn.SWITCH(recruitment_data3[[#This Row],[EducationLevel]], 1,"Bachelor Type 1", 2,"Bachelor Type 2", 3,"Masters", 4,"PhD")</f>
        <v>Bachelor Type 2</v>
      </c>
      <c r="F775" s="5">
        <v>2</v>
      </c>
      <c r="G775" s="5">
        <v>10</v>
      </c>
      <c r="H775" s="5">
        <v>1</v>
      </c>
      <c r="I775" s="5">
        <v>24.703813205392883</v>
      </c>
      <c r="J775" s="5">
        <v>91</v>
      </c>
      <c r="K775" s="5">
        <v>86</v>
      </c>
      <c r="L775" s="5">
        <v>8</v>
      </c>
      <c r="M775" s="5" t="str">
        <f>_xlfn.SWITCH(recruitment_data3[[#This Row],[RecruitmentStrategy]], 1,"Aggressive", 2,"Moderate", 3,"Conservative")</f>
        <v>Moderate</v>
      </c>
      <c r="N775" s="5">
        <v>2</v>
      </c>
      <c r="O775" s="5" t="str">
        <f>IF(recruitment_data3[[#This Row],[HiringDecision]]=1,"Hired","Rejected")</f>
        <v>Rejected</v>
      </c>
      <c r="P775" s="6">
        <v>0</v>
      </c>
    </row>
    <row r="776" spans="1:16" x14ac:dyDescent="0.25">
      <c r="A776" s="4" t="str">
        <f t="shared" si="12"/>
        <v>C0775</v>
      </c>
      <c r="B776" s="4">
        <v>46</v>
      </c>
      <c r="C776" s="5" t="str">
        <f>IF(recruitment_data3[[#This Row],[Gender]]=1,"Female","Male")</f>
        <v>Male</v>
      </c>
      <c r="D776" s="5">
        <v>0</v>
      </c>
      <c r="E776" s="5" t="str">
        <f>_xlfn.SWITCH(recruitment_data3[[#This Row],[EducationLevel]], 1,"Bachelor Type 1", 2,"Bachelor Type 2", 3,"Masters", 4,"PhD")</f>
        <v>Bachelor Type 2</v>
      </c>
      <c r="F776" s="5">
        <v>2</v>
      </c>
      <c r="G776" s="5">
        <v>4</v>
      </c>
      <c r="H776" s="5">
        <v>4</v>
      </c>
      <c r="I776" s="5">
        <v>44.784256379305297</v>
      </c>
      <c r="J776" s="5">
        <v>22</v>
      </c>
      <c r="K776" s="5">
        <v>76</v>
      </c>
      <c r="L776" s="5">
        <v>87</v>
      </c>
      <c r="M776" s="5" t="str">
        <f>_xlfn.SWITCH(recruitment_data3[[#This Row],[RecruitmentStrategy]], 1,"Aggressive", 2,"Moderate", 3,"Conservative")</f>
        <v>Conservative</v>
      </c>
      <c r="N776" s="5">
        <v>3</v>
      </c>
      <c r="O776" s="5" t="str">
        <f>IF(recruitment_data3[[#This Row],[HiringDecision]]=1,"Hired","Rejected")</f>
        <v>Rejected</v>
      </c>
      <c r="P776" s="6">
        <v>0</v>
      </c>
    </row>
    <row r="777" spans="1:16" x14ac:dyDescent="0.25">
      <c r="A777" s="4" t="str">
        <f t="shared" si="12"/>
        <v>C0776</v>
      </c>
      <c r="B777" s="4">
        <v>38</v>
      </c>
      <c r="C777" s="5" t="str">
        <f>IF(recruitment_data3[[#This Row],[Gender]]=1,"Female","Male")</f>
        <v>Male</v>
      </c>
      <c r="D777" s="5">
        <v>0</v>
      </c>
      <c r="E777" s="5" t="str">
        <f>_xlfn.SWITCH(recruitment_data3[[#This Row],[EducationLevel]], 1,"Bachelor Type 1", 2,"Bachelor Type 2", 3,"Masters", 4,"PhD")</f>
        <v>Bachelor Type 2</v>
      </c>
      <c r="F777" s="5">
        <v>2</v>
      </c>
      <c r="G777" s="5">
        <v>2</v>
      </c>
      <c r="H777" s="5">
        <v>1</v>
      </c>
      <c r="I777" s="5">
        <v>14.571543213802661</v>
      </c>
      <c r="J777" s="5">
        <v>77</v>
      </c>
      <c r="K777" s="5">
        <v>43</v>
      </c>
      <c r="L777" s="5">
        <v>43</v>
      </c>
      <c r="M777" s="5" t="str">
        <f>_xlfn.SWITCH(recruitment_data3[[#This Row],[RecruitmentStrategy]], 1,"Aggressive", 2,"Moderate", 3,"Conservative")</f>
        <v>Conservative</v>
      </c>
      <c r="N777" s="5">
        <v>3</v>
      </c>
      <c r="O777" s="5" t="str">
        <f>IF(recruitment_data3[[#This Row],[HiringDecision]]=1,"Hired","Rejected")</f>
        <v>Rejected</v>
      </c>
      <c r="P777" s="6">
        <v>0</v>
      </c>
    </row>
    <row r="778" spans="1:16" x14ac:dyDescent="0.25">
      <c r="A778" s="4" t="str">
        <f t="shared" si="12"/>
        <v>C0777</v>
      </c>
      <c r="B778" s="4">
        <v>36</v>
      </c>
      <c r="C778" s="5" t="str">
        <f>IF(recruitment_data3[[#This Row],[Gender]]=1,"Female","Male")</f>
        <v>Female</v>
      </c>
      <c r="D778" s="5">
        <v>1</v>
      </c>
      <c r="E778" s="5" t="str">
        <f>_xlfn.SWITCH(recruitment_data3[[#This Row],[EducationLevel]], 1,"Bachelor Type 1", 2,"Bachelor Type 2", 3,"Masters", 4,"PhD")</f>
        <v>Bachelor Type 2</v>
      </c>
      <c r="F778" s="5">
        <v>2</v>
      </c>
      <c r="G778" s="5">
        <v>5</v>
      </c>
      <c r="H778" s="5">
        <v>3</v>
      </c>
      <c r="I778" s="5">
        <v>1.1851203416208425</v>
      </c>
      <c r="J778" s="5">
        <v>93</v>
      </c>
      <c r="K778" s="5">
        <v>64</v>
      </c>
      <c r="L778" s="5">
        <v>77</v>
      </c>
      <c r="M778" s="5" t="str">
        <f>_xlfn.SWITCH(recruitment_data3[[#This Row],[RecruitmentStrategy]], 1,"Aggressive", 2,"Moderate", 3,"Conservative")</f>
        <v>Moderate</v>
      </c>
      <c r="N778" s="5">
        <v>2</v>
      </c>
      <c r="O778" s="5" t="str">
        <f>IF(recruitment_data3[[#This Row],[HiringDecision]]=1,"Hired","Rejected")</f>
        <v>Rejected</v>
      </c>
      <c r="P778" s="6">
        <v>0</v>
      </c>
    </row>
    <row r="779" spans="1:16" x14ac:dyDescent="0.25">
      <c r="A779" s="4" t="str">
        <f t="shared" si="12"/>
        <v>C0778</v>
      </c>
      <c r="B779" s="4">
        <v>23</v>
      </c>
      <c r="C779" s="5" t="str">
        <f>IF(recruitment_data3[[#This Row],[Gender]]=1,"Female","Male")</f>
        <v>Female</v>
      </c>
      <c r="D779" s="5">
        <v>1</v>
      </c>
      <c r="E779" s="5" t="str">
        <f>_xlfn.SWITCH(recruitment_data3[[#This Row],[EducationLevel]], 1,"Bachelor Type 1", 2,"Bachelor Type 2", 3,"Masters", 4,"PhD")</f>
        <v>Bachelor Type 1</v>
      </c>
      <c r="F779" s="5">
        <v>1</v>
      </c>
      <c r="G779" s="5">
        <v>10</v>
      </c>
      <c r="H779" s="5">
        <v>5</v>
      </c>
      <c r="I779" s="5">
        <v>9.1280602965707551</v>
      </c>
      <c r="J779" s="5">
        <v>96</v>
      </c>
      <c r="K779" s="5">
        <v>92</v>
      </c>
      <c r="L779" s="5">
        <v>45</v>
      </c>
      <c r="M779" s="5" t="str">
        <f>_xlfn.SWITCH(recruitment_data3[[#This Row],[RecruitmentStrategy]], 1,"Aggressive", 2,"Moderate", 3,"Conservative")</f>
        <v>Aggressive</v>
      </c>
      <c r="N779" s="5">
        <v>1</v>
      </c>
      <c r="O779" s="5" t="str">
        <f>IF(recruitment_data3[[#This Row],[HiringDecision]]=1,"Hired","Rejected")</f>
        <v>Hired</v>
      </c>
      <c r="P779" s="6">
        <v>1</v>
      </c>
    </row>
    <row r="780" spans="1:16" x14ac:dyDescent="0.25">
      <c r="A780" s="4" t="str">
        <f t="shared" si="12"/>
        <v>C0779</v>
      </c>
      <c r="B780" s="4">
        <v>31</v>
      </c>
      <c r="C780" s="5" t="str">
        <f>IF(recruitment_data3[[#This Row],[Gender]]=1,"Female","Male")</f>
        <v>Female</v>
      </c>
      <c r="D780" s="5">
        <v>1</v>
      </c>
      <c r="E780" s="5" t="str">
        <f>_xlfn.SWITCH(recruitment_data3[[#This Row],[EducationLevel]], 1,"Bachelor Type 1", 2,"Bachelor Type 2", 3,"Masters", 4,"PhD")</f>
        <v>Bachelor Type 2</v>
      </c>
      <c r="F780" s="5">
        <v>2</v>
      </c>
      <c r="G780" s="5">
        <v>13</v>
      </c>
      <c r="H780" s="5">
        <v>3</v>
      </c>
      <c r="I780" s="5">
        <v>18.476140058469902</v>
      </c>
      <c r="J780" s="5">
        <v>44</v>
      </c>
      <c r="K780" s="5">
        <v>87</v>
      </c>
      <c r="L780" s="5">
        <v>7</v>
      </c>
      <c r="M780" s="5" t="str">
        <f>_xlfn.SWITCH(recruitment_data3[[#This Row],[RecruitmentStrategy]], 1,"Aggressive", 2,"Moderate", 3,"Conservative")</f>
        <v>Moderate</v>
      </c>
      <c r="N780" s="5">
        <v>2</v>
      </c>
      <c r="O780" s="5" t="str">
        <f>IF(recruitment_data3[[#This Row],[HiringDecision]]=1,"Hired","Rejected")</f>
        <v>Rejected</v>
      </c>
      <c r="P780" s="6">
        <v>0</v>
      </c>
    </row>
    <row r="781" spans="1:16" x14ac:dyDescent="0.25">
      <c r="A781" s="4" t="str">
        <f t="shared" si="12"/>
        <v>C0780</v>
      </c>
      <c r="B781" s="4">
        <v>48</v>
      </c>
      <c r="C781" s="5" t="str">
        <f>IF(recruitment_data3[[#This Row],[Gender]]=1,"Female","Male")</f>
        <v>Female</v>
      </c>
      <c r="D781" s="5">
        <v>1</v>
      </c>
      <c r="E781" s="5" t="str">
        <f>_xlfn.SWITCH(recruitment_data3[[#This Row],[EducationLevel]], 1,"Bachelor Type 1", 2,"Bachelor Type 2", 3,"Masters", 4,"PhD")</f>
        <v>Masters</v>
      </c>
      <c r="F781" s="5">
        <v>3</v>
      </c>
      <c r="G781" s="5">
        <v>14</v>
      </c>
      <c r="H781" s="5">
        <v>1</v>
      </c>
      <c r="I781" s="5">
        <v>16.78605648852443</v>
      </c>
      <c r="J781" s="5">
        <v>61</v>
      </c>
      <c r="K781" s="5">
        <v>79</v>
      </c>
      <c r="L781" s="5">
        <v>36</v>
      </c>
      <c r="M781" s="5" t="str">
        <f>_xlfn.SWITCH(recruitment_data3[[#This Row],[RecruitmentStrategy]], 1,"Aggressive", 2,"Moderate", 3,"Conservative")</f>
        <v>Aggressive</v>
      </c>
      <c r="N781" s="5">
        <v>1</v>
      </c>
      <c r="O781" s="5" t="str">
        <f>IF(recruitment_data3[[#This Row],[HiringDecision]]=1,"Hired","Rejected")</f>
        <v>Hired</v>
      </c>
      <c r="P781" s="6">
        <v>1</v>
      </c>
    </row>
    <row r="782" spans="1:16" x14ac:dyDescent="0.25">
      <c r="A782" s="4" t="str">
        <f t="shared" si="12"/>
        <v>C0781</v>
      </c>
      <c r="B782" s="4">
        <v>28</v>
      </c>
      <c r="C782" s="5" t="str">
        <f>IF(recruitment_data3[[#This Row],[Gender]]=1,"Female","Male")</f>
        <v>Male</v>
      </c>
      <c r="D782" s="5">
        <v>0</v>
      </c>
      <c r="E782" s="5" t="str">
        <f>_xlfn.SWITCH(recruitment_data3[[#This Row],[EducationLevel]], 1,"Bachelor Type 1", 2,"Bachelor Type 2", 3,"Masters", 4,"PhD")</f>
        <v>Bachelor Type 2</v>
      </c>
      <c r="F782" s="5">
        <v>2</v>
      </c>
      <c r="G782" s="5">
        <v>11</v>
      </c>
      <c r="H782" s="5">
        <v>2</v>
      </c>
      <c r="I782" s="5">
        <v>40.568145956144299</v>
      </c>
      <c r="J782" s="5">
        <v>78</v>
      </c>
      <c r="K782" s="5">
        <v>24</v>
      </c>
      <c r="L782" s="5">
        <v>18</v>
      </c>
      <c r="M782" s="5" t="str">
        <f>_xlfn.SWITCH(recruitment_data3[[#This Row],[RecruitmentStrategy]], 1,"Aggressive", 2,"Moderate", 3,"Conservative")</f>
        <v>Moderate</v>
      </c>
      <c r="N782" s="5">
        <v>2</v>
      </c>
      <c r="O782" s="5" t="str">
        <f>IF(recruitment_data3[[#This Row],[HiringDecision]]=1,"Hired","Rejected")</f>
        <v>Rejected</v>
      </c>
      <c r="P782" s="6">
        <v>0</v>
      </c>
    </row>
    <row r="783" spans="1:16" x14ac:dyDescent="0.25">
      <c r="A783" s="4" t="str">
        <f t="shared" si="12"/>
        <v>C0782</v>
      </c>
      <c r="B783" s="4">
        <v>38</v>
      </c>
      <c r="C783" s="5" t="str">
        <f>IF(recruitment_data3[[#This Row],[Gender]]=1,"Female","Male")</f>
        <v>Male</v>
      </c>
      <c r="D783" s="5">
        <v>0</v>
      </c>
      <c r="E783" s="5" t="str">
        <f>_xlfn.SWITCH(recruitment_data3[[#This Row],[EducationLevel]], 1,"Bachelor Type 1", 2,"Bachelor Type 2", 3,"Masters", 4,"PhD")</f>
        <v>Masters</v>
      </c>
      <c r="F783" s="5">
        <v>3</v>
      </c>
      <c r="G783" s="5">
        <v>15</v>
      </c>
      <c r="H783" s="5">
        <v>5</v>
      </c>
      <c r="I783" s="5">
        <v>35.028033306941893</v>
      </c>
      <c r="J783" s="5">
        <v>70</v>
      </c>
      <c r="K783" s="5">
        <v>86</v>
      </c>
      <c r="L783" s="5">
        <v>62</v>
      </c>
      <c r="M783" s="5" t="str">
        <f>_xlfn.SWITCH(recruitment_data3[[#This Row],[RecruitmentStrategy]], 1,"Aggressive", 2,"Moderate", 3,"Conservative")</f>
        <v>Moderate</v>
      </c>
      <c r="N783" s="5">
        <v>2</v>
      </c>
      <c r="O783" s="5" t="str">
        <f>IF(recruitment_data3[[#This Row],[HiringDecision]]=1,"Hired","Rejected")</f>
        <v>Hired</v>
      </c>
      <c r="P783" s="6">
        <v>1</v>
      </c>
    </row>
    <row r="784" spans="1:16" x14ac:dyDescent="0.25">
      <c r="A784" s="4" t="str">
        <f t="shared" si="12"/>
        <v>C0783</v>
      </c>
      <c r="B784" s="4">
        <v>31</v>
      </c>
      <c r="C784" s="5" t="str">
        <f>IF(recruitment_data3[[#This Row],[Gender]]=1,"Female","Male")</f>
        <v>Female</v>
      </c>
      <c r="D784" s="5">
        <v>1</v>
      </c>
      <c r="E784" s="5" t="str">
        <f>_xlfn.SWITCH(recruitment_data3[[#This Row],[EducationLevel]], 1,"Bachelor Type 1", 2,"Bachelor Type 2", 3,"Masters", 4,"PhD")</f>
        <v>Bachelor Type 2</v>
      </c>
      <c r="F784" s="5">
        <v>2</v>
      </c>
      <c r="G784" s="5">
        <v>4</v>
      </c>
      <c r="H784" s="5">
        <v>3</v>
      </c>
      <c r="I784" s="5">
        <v>15.977815980744863</v>
      </c>
      <c r="J784" s="5">
        <v>14</v>
      </c>
      <c r="K784" s="5">
        <v>91</v>
      </c>
      <c r="L784" s="5">
        <v>91</v>
      </c>
      <c r="M784" s="5" t="str">
        <f>_xlfn.SWITCH(recruitment_data3[[#This Row],[RecruitmentStrategy]], 1,"Aggressive", 2,"Moderate", 3,"Conservative")</f>
        <v>Moderate</v>
      </c>
      <c r="N784" s="5">
        <v>2</v>
      </c>
      <c r="O784" s="5" t="str">
        <f>IF(recruitment_data3[[#This Row],[HiringDecision]]=1,"Hired","Rejected")</f>
        <v>Rejected</v>
      </c>
      <c r="P784" s="6">
        <v>0</v>
      </c>
    </row>
    <row r="785" spans="1:16" x14ac:dyDescent="0.25">
      <c r="A785" s="4" t="str">
        <f t="shared" si="12"/>
        <v>C0784</v>
      </c>
      <c r="B785" s="4">
        <v>28</v>
      </c>
      <c r="C785" s="5" t="str">
        <f>IF(recruitment_data3[[#This Row],[Gender]]=1,"Female","Male")</f>
        <v>Male</v>
      </c>
      <c r="D785" s="5">
        <v>0</v>
      </c>
      <c r="E785" s="5" t="str">
        <f>_xlfn.SWITCH(recruitment_data3[[#This Row],[EducationLevel]], 1,"Bachelor Type 1", 2,"Bachelor Type 2", 3,"Masters", 4,"PhD")</f>
        <v>Masters</v>
      </c>
      <c r="F785" s="5">
        <v>3</v>
      </c>
      <c r="G785" s="5">
        <v>2</v>
      </c>
      <c r="H785" s="5">
        <v>4</v>
      </c>
      <c r="I785" s="5">
        <v>23.887190858310667</v>
      </c>
      <c r="J785" s="5">
        <v>45</v>
      </c>
      <c r="K785" s="5">
        <v>46</v>
      </c>
      <c r="L785" s="5">
        <v>45</v>
      </c>
      <c r="M785" s="5" t="str">
        <f>_xlfn.SWITCH(recruitment_data3[[#This Row],[RecruitmentStrategy]], 1,"Aggressive", 2,"Moderate", 3,"Conservative")</f>
        <v>Moderate</v>
      </c>
      <c r="N785" s="5">
        <v>2</v>
      </c>
      <c r="O785" s="5" t="str">
        <f>IF(recruitment_data3[[#This Row],[HiringDecision]]=1,"Hired","Rejected")</f>
        <v>Rejected</v>
      </c>
      <c r="P785" s="6">
        <v>0</v>
      </c>
    </row>
    <row r="786" spans="1:16" x14ac:dyDescent="0.25">
      <c r="A786" s="4" t="str">
        <f t="shared" si="12"/>
        <v>C0785</v>
      </c>
      <c r="B786" s="4">
        <v>26</v>
      </c>
      <c r="C786" s="5" t="str">
        <f>IF(recruitment_data3[[#This Row],[Gender]]=1,"Female","Male")</f>
        <v>Female</v>
      </c>
      <c r="D786" s="5">
        <v>1</v>
      </c>
      <c r="E786" s="5" t="str">
        <f>_xlfn.SWITCH(recruitment_data3[[#This Row],[EducationLevel]], 1,"Bachelor Type 1", 2,"Bachelor Type 2", 3,"Masters", 4,"PhD")</f>
        <v>Bachelor Type 2</v>
      </c>
      <c r="F786" s="5">
        <v>2</v>
      </c>
      <c r="G786" s="5">
        <v>5</v>
      </c>
      <c r="H786" s="5">
        <v>2</v>
      </c>
      <c r="I786" s="5">
        <v>5.7779551979167607</v>
      </c>
      <c r="J786" s="5">
        <v>63</v>
      </c>
      <c r="K786" s="5">
        <v>79</v>
      </c>
      <c r="L786" s="5">
        <v>93</v>
      </c>
      <c r="M786" s="5" t="str">
        <f>_xlfn.SWITCH(recruitment_data3[[#This Row],[RecruitmentStrategy]], 1,"Aggressive", 2,"Moderate", 3,"Conservative")</f>
        <v>Aggressive</v>
      </c>
      <c r="N786" s="5">
        <v>1</v>
      </c>
      <c r="O786" s="5" t="str">
        <f>IF(recruitment_data3[[#This Row],[HiringDecision]]=1,"Hired","Rejected")</f>
        <v>Hired</v>
      </c>
      <c r="P786" s="6">
        <v>1</v>
      </c>
    </row>
    <row r="787" spans="1:16" x14ac:dyDescent="0.25">
      <c r="A787" s="4" t="str">
        <f t="shared" si="12"/>
        <v>C0786</v>
      </c>
      <c r="B787" s="4">
        <v>47</v>
      </c>
      <c r="C787" s="5" t="str">
        <f>IF(recruitment_data3[[#This Row],[Gender]]=1,"Female","Male")</f>
        <v>Female</v>
      </c>
      <c r="D787" s="5">
        <v>1</v>
      </c>
      <c r="E787" s="5" t="str">
        <f>_xlfn.SWITCH(recruitment_data3[[#This Row],[EducationLevel]], 1,"Bachelor Type 1", 2,"Bachelor Type 2", 3,"Masters", 4,"PhD")</f>
        <v>Bachelor Type 1</v>
      </c>
      <c r="F787" s="5">
        <v>1</v>
      </c>
      <c r="G787" s="5">
        <v>5</v>
      </c>
      <c r="H787" s="5">
        <v>3</v>
      </c>
      <c r="I787" s="5">
        <v>45.907322241005041</v>
      </c>
      <c r="J787" s="5">
        <v>45</v>
      </c>
      <c r="K787" s="5">
        <v>55</v>
      </c>
      <c r="L787" s="5">
        <v>70</v>
      </c>
      <c r="M787" s="5" t="str">
        <f>_xlfn.SWITCH(recruitment_data3[[#This Row],[RecruitmentStrategy]], 1,"Aggressive", 2,"Moderate", 3,"Conservative")</f>
        <v>Moderate</v>
      </c>
      <c r="N787" s="5">
        <v>2</v>
      </c>
      <c r="O787" s="5" t="str">
        <f>IF(recruitment_data3[[#This Row],[HiringDecision]]=1,"Hired","Rejected")</f>
        <v>Rejected</v>
      </c>
      <c r="P787" s="6">
        <v>0</v>
      </c>
    </row>
    <row r="788" spans="1:16" x14ac:dyDescent="0.25">
      <c r="A788" s="4" t="str">
        <f t="shared" si="12"/>
        <v>C0787</v>
      </c>
      <c r="B788" s="4">
        <v>33</v>
      </c>
      <c r="C788" s="5" t="str">
        <f>IF(recruitment_data3[[#This Row],[Gender]]=1,"Female","Male")</f>
        <v>Male</v>
      </c>
      <c r="D788" s="5">
        <v>0</v>
      </c>
      <c r="E788" s="5" t="str">
        <f>_xlfn.SWITCH(recruitment_data3[[#This Row],[EducationLevel]], 1,"Bachelor Type 1", 2,"Bachelor Type 2", 3,"Masters", 4,"PhD")</f>
        <v>Bachelor Type 2</v>
      </c>
      <c r="F788" s="5">
        <v>2</v>
      </c>
      <c r="G788" s="5">
        <v>14</v>
      </c>
      <c r="H788" s="5">
        <v>4</v>
      </c>
      <c r="I788" s="5">
        <v>47.77124122242671</v>
      </c>
      <c r="J788" s="5">
        <v>55</v>
      </c>
      <c r="K788" s="5">
        <v>37</v>
      </c>
      <c r="L788" s="5">
        <v>25</v>
      </c>
      <c r="M788" s="5" t="str">
        <f>_xlfn.SWITCH(recruitment_data3[[#This Row],[RecruitmentStrategy]], 1,"Aggressive", 2,"Moderate", 3,"Conservative")</f>
        <v>Moderate</v>
      </c>
      <c r="N788" s="5">
        <v>2</v>
      </c>
      <c r="O788" s="5" t="str">
        <f>IF(recruitment_data3[[#This Row],[HiringDecision]]=1,"Hired","Rejected")</f>
        <v>Rejected</v>
      </c>
      <c r="P788" s="6">
        <v>0</v>
      </c>
    </row>
    <row r="789" spans="1:16" x14ac:dyDescent="0.25">
      <c r="A789" s="4" t="str">
        <f t="shared" si="12"/>
        <v>C0788</v>
      </c>
      <c r="B789" s="4">
        <v>50</v>
      </c>
      <c r="C789" s="5" t="str">
        <f>IF(recruitment_data3[[#This Row],[Gender]]=1,"Female","Male")</f>
        <v>Female</v>
      </c>
      <c r="D789" s="5">
        <v>1</v>
      </c>
      <c r="E789" s="5" t="str">
        <f>_xlfn.SWITCH(recruitment_data3[[#This Row],[EducationLevel]], 1,"Bachelor Type 1", 2,"Bachelor Type 2", 3,"Masters", 4,"PhD")</f>
        <v>Bachelor Type 1</v>
      </c>
      <c r="F789" s="5">
        <v>1</v>
      </c>
      <c r="G789" s="5">
        <v>13</v>
      </c>
      <c r="H789" s="5">
        <v>1</v>
      </c>
      <c r="I789" s="5">
        <v>49.990176769046904</v>
      </c>
      <c r="J789" s="5">
        <v>43</v>
      </c>
      <c r="K789" s="5">
        <v>10</v>
      </c>
      <c r="L789" s="5">
        <v>45</v>
      </c>
      <c r="M789" s="5" t="str">
        <f>_xlfn.SWITCH(recruitment_data3[[#This Row],[RecruitmentStrategy]], 1,"Aggressive", 2,"Moderate", 3,"Conservative")</f>
        <v>Moderate</v>
      </c>
      <c r="N789" s="5">
        <v>2</v>
      </c>
      <c r="O789" s="5" t="str">
        <f>IF(recruitment_data3[[#This Row],[HiringDecision]]=1,"Hired","Rejected")</f>
        <v>Rejected</v>
      </c>
      <c r="P789" s="6">
        <v>0</v>
      </c>
    </row>
    <row r="790" spans="1:16" x14ac:dyDescent="0.25">
      <c r="A790" s="4" t="str">
        <f t="shared" si="12"/>
        <v>C0789</v>
      </c>
      <c r="B790" s="4">
        <v>39</v>
      </c>
      <c r="C790" s="5" t="str">
        <f>IF(recruitment_data3[[#This Row],[Gender]]=1,"Female","Male")</f>
        <v>Male</v>
      </c>
      <c r="D790" s="5">
        <v>0</v>
      </c>
      <c r="E790" s="5" t="str">
        <f>_xlfn.SWITCH(recruitment_data3[[#This Row],[EducationLevel]], 1,"Bachelor Type 1", 2,"Bachelor Type 2", 3,"Masters", 4,"PhD")</f>
        <v>Bachelor Type 2</v>
      </c>
      <c r="F790" s="5">
        <v>2</v>
      </c>
      <c r="G790" s="5">
        <v>7</v>
      </c>
      <c r="H790" s="5">
        <v>4</v>
      </c>
      <c r="I790" s="5">
        <v>44.427641539291884</v>
      </c>
      <c r="J790" s="5">
        <v>74</v>
      </c>
      <c r="K790" s="5">
        <v>66</v>
      </c>
      <c r="L790" s="5">
        <v>45</v>
      </c>
      <c r="M790" s="5" t="str">
        <f>_xlfn.SWITCH(recruitment_data3[[#This Row],[RecruitmentStrategy]], 1,"Aggressive", 2,"Moderate", 3,"Conservative")</f>
        <v>Moderate</v>
      </c>
      <c r="N790" s="5">
        <v>2</v>
      </c>
      <c r="O790" s="5" t="str">
        <f>IF(recruitment_data3[[#This Row],[HiringDecision]]=1,"Hired","Rejected")</f>
        <v>Rejected</v>
      </c>
      <c r="P790" s="6">
        <v>0</v>
      </c>
    </row>
    <row r="791" spans="1:16" x14ac:dyDescent="0.25">
      <c r="A791" s="4" t="str">
        <f t="shared" si="12"/>
        <v>C0790</v>
      </c>
      <c r="B791" s="4">
        <v>38</v>
      </c>
      <c r="C791" s="5" t="str">
        <f>IF(recruitment_data3[[#This Row],[Gender]]=1,"Female","Male")</f>
        <v>Male</v>
      </c>
      <c r="D791" s="5">
        <v>0</v>
      </c>
      <c r="E791" s="5" t="str">
        <f>_xlfn.SWITCH(recruitment_data3[[#This Row],[EducationLevel]], 1,"Bachelor Type 1", 2,"Bachelor Type 2", 3,"Masters", 4,"PhD")</f>
        <v>PhD</v>
      </c>
      <c r="F791" s="5">
        <v>4</v>
      </c>
      <c r="G791" s="5">
        <v>1</v>
      </c>
      <c r="H791" s="5">
        <v>3</v>
      </c>
      <c r="I791" s="5">
        <v>9.6980443848112756</v>
      </c>
      <c r="J791" s="5">
        <v>28</v>
      </c>
      <c r="K791" s="5">
        <v>14</v>
      </c>
      <c r="L791" s="5">
        <v>74</v>
      </c>
      <c r="M791" s="5" t="str">
        <f>_xlfn.SWITCH(recruitment_data3[[#This Row],[RecruitmentStrategy]], 1,"Aggressive", 2,"Moderate", 3,"Conservative")</f>
        <v>Moderate</v>
      </c>
      <c r="N791" s="5">
        <v>2</v>
      </c>
      <c r="O791" s="5" t="str">
        <f>IF(recruitment_data3[[#This Row],[HiringDecision]]=1,"Hired","Rejected")</f>
        <v>Rejected</v>
      </c>
      <c r="P791" s="6">
        <v>0</v>
      </c>
    </row>
    <row r="792" spans="1:16" x14ac:dyDescent="0.25">
      <c r="A792" s="4" t="str">
        <f t="shared" si="12"/>
        <v>C0791</v>
      </c>
      <c r="B792" s="4">
        <v>45</v>
      </c>
      <c r="C792" s="5" t="str">
        <f>IF(recruitment_data3[[#This Row],[Gender]]=1,"Female","Male")</f>
        <v>Male</v>
      </c>
      <c r="D792" s="5">
        <v>0</v>
      </c>
      <c r="E792" s="5" t="str">
        <f>_xlfn.SWITCH(recruitment_data3[[#This Row],[EducationLevel]], 1,"Bachelor Type 1", 2,"Bachelor Type 2", 3,"Masters", 4,"PhD")</f>
        <v>Bachelor Type 1</v>
      </c>
      <c r="F792" s="5">
        <v>1</v>
      </c>
      <c r="G792" s="5">
        <v>0</v>
      </c>
      <c r="H792" s="5">
        <v>3</v>
      </c>
      <c r="I792" s="5">
        <v>3.3098241600814418</v>
      </c>
      <c r="J792" s="5">
        <v>94</v>
      </c>
      <c r="K792" s="5">
        <v>0</v>
      </c>
      <c r="L792" s="5">
        <v>13</v>
      </c>
      <c r="M792" s="5" t="str">
        <f>_xlfn.SWITCH(recruitment_data3[[#This Row],[RecruitmentStrategy]], 1,"Aggressive", 2,"Moderate", 3,"Conservative")</f>
        <v>Moderate</v>
      </c>
      <c r="N792" s="5">
        <v>2</v>
      </c>
      <c r="O792" s="5" t="str">
        <f>IF(recruitment_data3[[#This Row],[HiringDecision]]=1,"Hired","Rejected")</f>
        <v>Rejected</v>
      </c>
      <c r="P792" s="6">
        <v>0</v>
      </c>
    </row>
    <row r="793" spans="1:16" x14ac:dyDescent="0.25">
      <c r="A793" s="4" t="str">
        <f t="shared" si="12"/>
        <v>C0792</v>
      </c>
      <c r="B793" s="4">
        <v>34</v>
      </c>
      <c r="C793" s="5" t="str">
        <f>IF(recruitment_data3[[#This Row],[Gender]]=1,"Female","Male")</f>
        <v>Male</v>
      </c>
      <c r="D793" s="5">
        <v>0</v>
      </c>
      <c r="E793" s="5" t="str">
        <f>_xlfn.SWITCH(recruitment_data3[[#This Row],[EducationLevel]], 1,"Bachelor Type 1", 2,"Bachelor Type 2", 3,"Masters", 4,"PhD")</f>
        <v>Bachelor Type 2</v>
      </c>
      <c r="F793" s="5">
        <v>2</v>
      </c>
      <c r="G793" s="5">
        <v>15</v>
      </c>
      <c r="H793" s="5">
        <v>1</v>
      </c>
      <c r="I793" s="5">
        <v>29.979836370633699</v>
      </c>
      <c r="J793" s="5">
        <v>61</v>
      </c>
      <c r="K793" s="5">
        <v>6</v>
      </c>
      <c r="L793" s="5">
        <v>84</v>
      </c>
      <c r="M793" s="5" t="str">
        <f>_xlfn.SWITCH(recruitment_data3[[#This Row],[RecruitmentStrategy]], 1,"Aggressive", 2,"Moderate", 3,"Conservative")</f>
        <v>Moderate</v>
      </c>
      <c r="N793" s="5">
        <v>2</v>
      </c>
      <c r="O793" s="5" t="str">
        <f>IF(recruitment_data3[[#This Row],[HiringDecision]]=1,"Hired","Rejected")</f>
        <v>Rejected</v>
      </c>
      <c r="P793" s="6">
        <v>0</v>
      </c>
    </row>
    <row r="794" spans="1:16" x14ac:dyDescent="0.25">
      <c r="A794" s="4" t="str">
        <f t="shared" si="12"/>
        <v>C0793</v>
      </c>
      <c r="B794" s="4">
        <v>35</v>
      </c>
      <c r="C794" s="5" t="str">
        <f>IF(recruitment_data3[[#This Row],[Gender]]=1,"Female","Male")</f>
        <v>Female</v>
      </c>
      <c r="D794" s="5">
        <v>1</v>
      </c>
      <c r="E794" s="5" t="str">
        <f>_xlfn.SWITCH(recruitment_data3[[#This Row],[EducationLevel]], 1,"Bachelor Type 1", 2,"Bachelor Type 2", 3,"Masters", 4,"PhD")</f>
        <v>Masters</v>
      </c>
      <c r="F794" s="5">
        <v>3</v>
      </c>
      <c r="G794" s="5">
        <v>3</v>
      </c>
      <c r="H794" s="5">
        <v>4</v>
      </c>
      <c r="I794" s="5">
        <v>46.630251344155518</v>
      </c>
      <c r="J794" s="5">
        <v>88</v>
      </c>
      <c r="K794" s="5">
        <v>0</v>
      </c>
      <c r="L794" s="5">
        <v>62</v>
      </c>
      <c r="M794" s="5" t="str">
        <f>_xlfn.SWITCH(recruitment_data3[[#This Row],[RecruitmentStrategy]], 1,"Aggressive", 2,"Moderate", 3,"Conservative")</f>
        <v>Aggressive</v>
      </c>
      <c r="N794" s="5">
        <v>1</v>
      </c>
      <c r="O794" s="5" t="str">
        <f>IF(recruitment_data3[[#This Row],[HiringDecision]]=1,"Hired","Rejected")</f>
        <v>Hired</v>
      </c>
      <c r="P794" s="6">
        <v>1</v>
      </c>
    </row>
    <row r="795" spans="1:16" x14ac:dyDescent="0.25">
      <c r="A795" s="4" t="str">
        <f t="shared" si="12"/>
        <v>C0794</v>
      </c>
      <c r="B795" s="4">
        <v>40</v>
      </c>
      <c r="C795" s="5" t="str">
        <f>IF(recruitment_data3[[#This Row],[Gender]]=1,"Female","Male")</f>
        <v>Male</v>
      </c>
      <c r="D795" s="5">
        <v>0</v>
      </c>
      <c r="E795" s="5" t="str">
        <f>_xlfn.SWITCH(recruitment_data3[[#This Row],[EducationLevel]], 1,"Bachelor Type 1", 2,"Bachelor Type 2", 3,"Masters", 4,"PhD")</f>
        <v>Masters</v>
      </c>
      <c r="F795" s="5">
        <v>3</v>
      </c>
      <c r="G795" s="5">
        <v>15</v>
      </c>
      <c r="H795" s="5">
        <v>4</v>
      </c>
      <c r="I795" s="5">
        <v>9.8675680829871428</v>
      </c>
      <c r="J795" s="5">
        <v>51</v>
      </c>
      <c r="K795" s="5">
        <v>48</v>
      </c>
      <c r="L795" s="5">
        <v>71</v>
      </c>
      <c r="M795" s="5" t="str">
        <f>_xlfn.SWITCH(recruitment_data3[[#This Row],[RecruitmentStrategy]], 1,"Aggressive", 2,"Moderate", 3,"Conservative")</f>
        <v>Aggressive</v>
      </c>
      <c r="N795" s="5">
        <v>1</v>
      </c>
      <c r="O795" s="5" t="str">
        <f>IF(recruitment_data3[[#This Row],[HiringDecision]]=1,"Hired","Rejected")</f>
        <v>Hired</v>
      </c>
      <c r="P795" s="6">
        <v>1</v>
      </c>
    </row>
    <row r="796" spans="1:16" x14ac:dyDescent="0.25">
      <c r="A796" s="4" t="str">
        <f t="shared" si="12"/>
        <v>C0795</v>
      </c>
      <c r="B796" s="4">
        <v>24</v>
      </c>
      <c r="C796" s="5" t="str">
        <f>IF(recruitment_data3[[#This Row],[Gender]]=1,"Female","Male")</f>
        <v>Female</v>
      </c>
      <c r="D796" s="5">
        <v>1</v>
      </c>
      <c r="E796" s="5" t="str">
        <f>_xlfn.SWITCH(recruitment_data3[[#This Row],[EducationLevel]], 1,"Bachelor Type 1", 2,"Bachelor Type 2", 3,"Masters", 4,"PhD")</f>
        <v>Bachelor Type 2</v>
      </c>
      <c r="F796" s="5">
        <v>2</v>
      </c>
      <c r="G796" s="5">
        <v>6</v>
      </c>
      <c r="H796" s="5">
        <v>1</v>
      </c>
      <c r="I796" s="5">
        <v>1.352145731207093</v>
      </c>
      <c r="J796" s="5">
        <v>53</v>
      </c>
      <c r="K796" s="5">
        <v>95</v>
      </c>
      <c r="L796" s="5">
        <v>2</v>
      </c>
      <c r="M796" s="5" t="str">
        <f>_xlfn.SWITCH(recruitment_data3[[#This Row],[RecruitmentStrategy]], 1,"Aggressive", 2,"Moderate", 3,"Conservative")</f>
        <v>Moderate</v>
      </c>
      <c r="N796" s="5">
        <v>2</v>
      </c>
      <c r="O796" s="5" t="str">
        <f>IF(recruitment_data3[[#This Row],[HiringDecision]]=1,"Hired","Rejected")</f>
        <v>Rejected</v>
      </c>
      <c r="P796" s="6">
        <v>0</v>
      </c>
    </row>
    <row r="797" spans="1:16" x14ac:dyDescent="0.25">
      <c r="A797" s="4" t="str">
        <f t="shared" si="12"/>
        <v>C0796</v>
      </c>
      <c r="B797" s="4">
        <v>22</v>
      </c>
      <c r="C797" s="5" t="str">
        <f>IF(recruitment_data3[[#This Row],[Gender]]=1,"Female","Male")</f>
        <v>Female</v>
      </c>
      <c r="D797" s="5">
        <v>1</v>
      </c>
      <c r="E797" s="5" t="str">
        <f>_xlfn.SWITCH(recruitment_data3[[#This Row],[EducationLevel]], 1,"Bachelor Type 1", 2,"Bachelor Type 2", 3,"Masters", 4,"PhD")</f>
        <v>Bachelor Type 2</v>
      </c>
      <c r="F797" s="5">
        <v>2</v>
      </c>
      <c r="G797" s="5">
        <v>14</v>
      </c>
      <c r="H797" s="5">
        <v>4</v>
      </c>
      <c r="I797" s="5">
        <v>41.274802301612219</v>
      </c>
      <c r="J797" s="5">
        <v>87</v>
      </c>
      <c r="K797" s="5">
        <v>72</v>
      </c>
      <c r="L797" s="5">
        <v>27</v>
      </c>
      <c r="M797" s="5" t="str">
        <f>_xlfn.SWITCH(recruitment_data3[[#This Row],[RecruitmentStrategy]], 1,"Aggressive", 2,"Moderate", 3,"Conservative")</f>
        <v>Aggressive</v>
      </c>
      <c r="N797" s="5">
        <v>1</v>
      </c>
      <c r="O797" s="5" t="str">
        <f>IF(recruitment_data3[[#This Row],[HiringDecision]]=1,"Hired","Rejected")</f>
        <v>Hired</v>
      </c>
      <c r="P797" s="6">
        <v>1</v>
      </c>
    </row>
    <row r="798" spans="1:16" x14ac:dyDescent="0.25">
      <c r="A798" s="4" t="str">
        <f t="shared" si="12"/>
        <v>C0797</v>
      </c>
      <c r="B798" s="4">
        <v>31</v>
      </c>
      <c r="C798" s="5" t="str">
        <f>IF(recruitment_data3[[#This Row],[Gender]]=1,"Female","Male")</f>
        <v>Female</v>
      </c>
      <c r="D798" s="5">
        <v>1</v>
      </c>
      <c r="E798" s="5" t="str">
        <f>_xlfn.SWITCH(recruitment_data3[[#This Row],[EducationLevel]], 1,"Bachelor Type 1", 2,"Bachelor Type 2", 3,"Masters", 4,"PhD")</f>
        <v>Bachelor Type 2</v>
      </c>
      <c r="F798" s="5">
        <v>2</v>
      </c>
      <c r="G798" s="5">
        <v>15</v>
      </c>
      <c r="H798" s="5">
        <v>1</v>
      </c>
      <c r="I798" s="5">
        <v>4.8397842143367003</v>
      </c>
      <c r="J798" s="5">
        <v>56</v>
      </c>
      <c r="K798" s="5">
        <v>28</v>
      </c>
      <c r="L798" s="5">
        <v>28</v>
      </c>
      <c r="M798" s="5" t="str">
        <f>_xlfn.SWITCH(recruitment_data3[[#This Row],[RecruitmentStrategy]], 1,"Aggressive", 2,"Moderate", 3,"Conservative")</f>
        <v>Moderate</v>
      </c>
      <c r="N798" s="5">
        <v>2</v>
      </c>
      <c r="O798" s="5" t="str">
        <f>IF(recruitment_data3[[#This Row],[HiringDecision]]=1,"Hired","Rejected")</f>
        <v>Rejected</v>
      </c>
      <c r="P798" s="6">
        <v>0</v>
      </c>
    </row>
    <row r="799" spans="1:16" x14ac:dyDescent="0.25">
      <c r="A799" s="4" t="str">
        <f t="shared" si="12"/>
        <v>C0798</v>
      </c>
      <c r="B799" s="4">
        <v>44</v>
      </c>
      <c r="C799" s="5" t="str">
        <f>IF(recruitment_data3[[#This Row],[Gender]]=1,"Female","Male")</f>
        <v>Female</v>
      </c>
      <c r="D799" s="5">
        <v>1</v>
      </c>
      <c r="E799" s="5" t="str">
        <f>_xlfn.SWITCH(recruitment_data3[[#This Row],[EducationLevel]], 1,"Bachelor Type 1", 2,"Bachelor Type 2", 3,"Masters", 4,"PhD")</f>
        <v>Bachelor Type 2</v>
      </c>
      <c r="F799" s="5">
        <v>2</v>
      </c>
      <c r="G799" s="5">
        <v>10</v>
      </c>
      <c r="H799" s="5">
        <v>2</v>
      </c>
      <c r="I799" s="5">
        <v>21.685301595501521</v>
      </c>
      <c r="J799" s="5">
        <v>82</v>
      </c>
      <c r="K799" s="5">
        <v>25</v>
      </c>
      <c r="L799" s="5">
        <v>86</v>
      </c>
      <c r="M799" s="5" t="str">
        <f>_xlfn.SWITCH(recruitment_data3[[#This Row],[RecruitmentStrategy]], 1,"Aggressive", 2,"Moderate", 3,"Conservative")</f>
        <v>Moderate</v>
      </c>
      <c r="N799" s="5">
        <v>2</v>
      </c>
      <c r="O799" s="5" t="str">
        <f>IF(recruitment_data3[[#This Row],[HiringDecision]]=1,"Hired","Rejected")</f>
        <v>Rejected</v>
      </c>
      <c r="P799" s="6">
        <v>0</v>
      </c>
    </row>
    <row r="800" spans="1:16" x14ac:dyDescent="0.25">
      <c r="A800" s="4" t="str">
        <f t="shared" si="12"/>
        <v>C0799</v>
      </c>
      <c r="B800" s="4">
        <v>39</v>
      </c>
      <c r="C800" s="5" t="str">
        <f>IF(recruitment_data3[[#This Row],[Gender]]=1,"Female","Male")</f>
        <v>Male</v>
      </c>
      <c r="D800" s="5">
        <v>0</v>
      </c>
      <c r="E800" s="5" t="str">
        <f>_xlfn.SWITCH(recruitment_data3[[#This Row],[EducationLevel]], 1,"Bachelor Type 1", 2,"Bachelor Type 2", 3,"Masters", 4,"PhD")</f>
        <v>Masters</v>
      </c>
      <c r="F800" s="5">
        <v>3</v>
      </c>
      <c r="G800" s="5">
        <v>9</v>
      </c>
      <c r="H800" s="5">
        <v>3</v>
      </c>
      <c r="I800" s="5">
        <v>34.944366859439249</v>
      </c>
      <c r="J800" s="5">
        <v>65</v>
      </c>
      <c r="K800" s="5">
        <v>86</v>
      </c>
      <c r="L800" s="5">
        <v>17</v>
      </c>
      <c r="M800" s="5" t="str">
        <f>_xlfn.SWITCH(recruitment_data3[[#This Row],[RecruitmentStrategy]], 1,"Aggressive", 2,"Moderate", 3,"Conservative")</f>
        <v>Conservative</v>
      </c>
      <c r="N800" s="5">
        <v>3</v>
      </c>
      <c r="O800" s="5" t="str">
        <f>IF(recruitment_data3[[#This Row],[HiringDecision]]=1,"Hired","Rejected")</f>
        <v>Rejected</v>
      </c>
      <c r="P800" s="6">
        <v>0</v>
      </c>
    </row>
    <row r="801" spans="1:16" x14ac:dyDescent="0.25">
      <c r="A801" s="4" t="str">
        <f t="shared" si="12"/>
        <v>C0800</v>
      </c>
      <c r="B801" s="4">
        <v>46</v>
      </c>
      <c r="C801" s="5" t="str">
        <f>IF(recruitment_data3[[#This Row],[Gender]]=1,"Female","Male")</f>
        <v>Male</v>
      </c>
      <c r="D801" s="5">
        <v>0</v>
      </c>
      <c r="E801" s="5" t="str">
        <f>_xlfn.SWITCH(recruitment_data3[[#This Row],[EducationLevel]], 1,"Bachelor Type 1", 2,"Bachelor Type 2", 3,"Masters", 4,"PhD")</f>
        <v>PhD</v>
      </c>
      <c r="F801" s="5">
        <v>4</v>
      </c>
      <c r="G801" s="5">
        <v>2</v>
      </c>
      <c r="H801" s="5">
        <v>2</v>
      </c>
      <c r="I801" s="5">
        <v>12.839879272809007</v>
      </c>
      <c r="J801" s="5">
        <v>21</v>
      </c>
      <c r="K801" s="5">
        <v>44</v>
      </c>
      <c r="L801" s="5">
        <v>34</v>
      </c>
      <c r="M801" s="5" t="str">
        <f>_xlfn.SWITCH(recruitment_data3[[#This Row],[RecruitmentStrategy]], 1,"Aggressive", 2,"Moderate", 3,"Conservative")</f>
        <v>Conservative</v>
      </c>
      <c r="N801" s="5">
        <v>3</v>
      </c>
      <c r="O801" s="5" t="str">
        <f>IF(recruitment_data3[[#This Row],[HiringDecision]]=1,"Hired","Rejected")</f>
        <v>Rejected</v>
      </c>
      <c r="P801" s="6">
        <v>0</v>
      </c>
    </row>
    <row r="802" spans="1:16" x14ac:dyDescent="0.25">
      <c r="A802" s="4" t="str">
        <f t="shared" si="12"/>
        <v>C0801</v>
      </c>
      <c r="B802" s="4">
        <v>40</v>
      </c>
      <c r="C802" s="5" t="str">
        <f>IF(recruitment_data3[[#This Row],[Gender]]=1,"Female","Male")</f>
        <v>Female</v>
      </c>
      <c r="D802" s="5">
        <v>1</v>
      </c>
      <c r="E802" s="5" t="str">
        <f>_xlfn.SWITCH(recruitment_data3[[#This Row],[EducationLevel]], 1,"Bachelor Type 1", 2,"Bachelor Type 2", 3,"Masters", 4,"PhD")</f>
        <v>Masters</v>
      </c>
      <c r="F802" s="5">
        <v>3</v>
      </c>
      <c r="G802" s="5">
        <v>2</v>
      </c>
      <c r="H802" s="5">
        <v>5</v>
      </c>
      <c r="I802" s="5">
        <v>5.1981281723363351</v>
      </c>
      <c r="J802" s="5">
        <v>19</v>
      </c>
      <c r="K802" s="5">
        <v>92</v>
      </c>
      <c r="L802" s="5">
        <v>76</v>
      </c>
      <c r="M802" s="5" t="str">
        <f>_xlfn.SWITCH(recruitment_data3[[#This Row],[RecruitmentStrategy]], 1,"Aggressive", 2,"Moderate", 3,"Conservative")</f>
        <v>Aggressive</v>
      </c>
      <c r="N802" s="5">
        <v>1</v>
      </c>
      <c r="O802" s="5" t="str">
        <f>IF(recruitment_data3[[#This Row],[HiringDecision]]=1,"Hired","Rejected")</f>
        <v>Hired</v>
      </c>
      <c r="P802" s="6">
        <v>1</v>
      </c>
    </row>
    <row r="803" spans="1:16" x14ac:dyDescent="0.25">
      <c r="A803" s="4" t="str">
        <f t="shared" si="12"/>
        <v>C0802</v>
      </c>
      <c r="B803" s="4">
        <v>23</v>
      </c>
      <c r="C803" s="5" t="str">
        <f>IF(recruitment_data3[[#This Row],[Gender]]=1,"Female","Male")</f>
        <v>Female</v>
      </c>
      <c r="D803" s="5">
        <v>1</v>
      </c>
      <c r="E803" s="5" t="str">
        <f>_xlfn.SWITCH(recruitment_data3[[#This Row],[EducationLevel]], 1,"Bachelor Type 1", 2,"Bachelor Type 2", 3,"Masters", 4,"PhD")</f>
        <v>Masters</v>
      </c>
      <c r="F803" s="5">
        <v>3</v>
      </c>
      <c r="G803" s="5">
        <v>15</v>
      </c>
      <c r="H803" s="5">
        <v>5</v>
      </c>
      <c r="I803" s="5">
        <v>39.50106142279143</v>
      </c>
      <c r="J803" s="5">
        <v>32</v>
      </c>
      <c r="K803" s="5">
        <v>96</v>
      </c>
      <c r="L803" s="5">
        <v>75</v>
      </c>
      <c r="M803" s="5" t="str">
        <f>_xlfn.SWITCH(recruitment_data3[[#This Row],[RecruitmentStrategy]], 1,"Aggressive", 2,"Moderate", 3,"Conservative")</f>
        <v>Conservative</v>
      </c>
      <c r="N803" s="5">
        <v>3</v>
      </c>
      <c r="O803" s="5" t="str">
        <f>IF(recruitment_data3[[#This Row],[HiringDecision]]=1,"Hired","Rejected")</f>
        <v>Hired</v>
      </c>
      <c r="P803" s="6">
        <v>1</v>
      </c>
    </row>
    <row r="804" spans="1:16" x14ac:dyDescent="0.25">
      <c r="A804" s="4" t="str">
        <f t="shared" si="12"/>
        <v>C0803</v>
      </c>
      <c r="B804" s="4">
        <v>40</v>
      </c>
      <c r="C804" s="5" t="str">
        <f>IF(recruitment_data3[[#This Row],[Gender]]=1,"Female","Male")</f>
        <v>Male</v>
      </c>
      <c r="D804" s="5">
        <v>0</v>
      </c>
      <c r="E804" s="5" t="str">
        <f>_xlfn.SWITCH(recruitment_data3[[#This Row],[EducationLevel]], 1,"Bachelor Type 1", 2,"Bachelor Type 2", 3,"Masters", 4,"PhD")</f>
        <v>Bachelor Type 1</v>
      </c>
      <c r="F804" s="5">
        <v>1</v>
      </c>
      <c r="G804" s="5">
        <v>4</v>
      </c>
      <c r="H804" s="5">
        <v>5</v>
      </c>
      <c r="I804" s="5">
        <v>32.508754244352076</v>
      </c>
      <c r="J804" s="5">
        <v>71</v>
      </c>
      <c r="K804" s="5">
        <v>70</v>
      </c>
      <c r="L804" s="5">
        <v>46</v>
      </c>
      <c r="M804" s="5" t="str">
        <f>_xlfn.SWITCH(recruitment_data3[[#This Row],[RecruitmentStrategy]], 1,"Aggressive", 2,"Moderate", 3,"Conservative")</f>
        <v>Moderate</v>
      </c>
      <c r="N804" s="5">
        <v>2</v>
      </c>
      <c r="O804" s="5" t="str">
        <f>IF(recruitment_data3[[#This Row],[HiringDecision]]=1,"Hired","Rejected")</f>
        <v>Rejected</v>
      </c>
      <c r="P804" s="6">
        <v>0</v>
      </c>
    </row>
    <row r="805" spans="1:16" x14ac:dyDescent="0.25">
      <c r="A805" s="4" t="str">
        <f t="shared" si="12"/>
        <v>C0804</v>
      </c>
      <c r="B805" s="4">
        <v>42</v>
      </c>
      <c r="C805" s="5" t="str">
        <f>IF(recruitment_data3[[#This Row],[Gender]]=1,"Female","Male")</f>
        <v>Female</v>
      </c>
      <c r="D805" s="5">
        <v>1</v>
      </c>
      <c r="E805" s="5" t="str">
        <f>_xlfn.SWITCH(recruitment_data3[[#This Row],[EducationLevel]], 1,"Bachelor Type 1", 2,"Bachelor Type 2", 3,"Masters", 4,"PhD")</f>
        <v>Masters</v>
      </c>
      <c r="F805" s="5">
        <v>3</v>
      </c>
      <c r="G805" s="5">
        <v>4</v>
      </c>
      <c r="H805" s="5">
        <v>1</v>
      </c>
      <c r="I805" s="5">
        <v>50.424524224340239</v>
      </c>
      <c r="J805" s="5">
        <v>24</v>
      </c>
      <c r="K805" s="5">
        <v>11</v>
      </c>
      <c r="L805" s="5">
        <v>4</v>
      </c>
      <c r="M805" s="5" t="str">
        <f>_xlfn.SWITCH(recruitment_data3[[#This Row],[RecruitmentStrategy]], 1,"Aggressive", 2,"Moderate", 3,"Conservative")</f>
        <v>Moderate</v>
      </c>
      <c r="N805" s="5">
        <v>2</v>
      </c>
      <c r="O805" s="5" t="str">
        <f>IF(recruitment_data3[[#This Row],[HiringDecision]]=1,"Hired","Rejected")</f>
        <v>Rejected</v>
      </c>
      <c r="P805" s="6">
        <v>0</v>
      </c>
    </row>
    <row r="806" spans="1:16" x14ac:dyDescent="0.25">
      <c r="A806" s="4" t="str">
        <f t="shared" si="12"/>
        <v>C0805</v>
      </c>
      <c r="B806" s="4">
        <v>35</v>
      </c>
      <c r="C806" s="5" t="str">
        <f>IF(recruitment_data3[[#This Row],[Gender]]=1,"Female","Male")</f>
        <v>Male</v>
      </c>
      <c r="D806" s="5">
        <v>0</v>
      </c>
      <c r="E806" s="5" t="str">
        <f>_xlfn.SWITCH(recruitment_data3[[#This Row],[EducationLevel]], 1,"Bachelor Type 1", 2,"Bachelor Type 2", 3,"Masters", 4,"PhD")</f>
        <v>Masters</v>
      </c>
      <c r="F806" s="5">
        <v>3</v>
      </c>
      <c r="G806" s="5">
        <v>12</v>
      </c>
      <c r="H806" s="5">
        <v>4</v>
      </c>
      <c r="I806" s="5">
        <v>18.215401665997966</v>
      </c>
      <c r="J806" s="5">
        <v>45</v>
      </c>
      <c r="K806" s="5">
        <v>94</v>
      </c>
      <c r="L806" s="5">
        <v>74</v>
      </c>
      <c r="M806" s="5" t="str">
        <f>_xlfn.SWITCH(recruitment_data3[[#This Row],[RecruitmentStrategy]], 1,"Aggressive", 2,"Moderate", 3,"Conservative")</f>
        <v>Aggressive</v>
      </c>
      <c r="N806" s="5">
        <v>1</v>
      </c>
      <c r="O806" s="5" t="str">
        <f>IF(recruitment_data3[[#This Row],[HiringDecision]]=1,"Hired","Rejected")</f>
        <v>Hired</v>
      </c>
      <c r="P806" s="6">
        <v>1</v>
      </c>
    </row>
    <row r="807" spans="1:16" x14ac:dyDescent="0.25">
      <c r="A807" s="4" t="str">
        <f t="shared" si="12"/>
        <v>C0806</v>
      </c>
      <c r="B807" s="4">
        <v>44</v>
      </c>
      <c r="C807" s="5" t="str">
        <f>IF(recruitment_data3[[#This Row],[Gender]]=1,"Female","Male")</f>
        <v>Female</v>
      </c>
      <c r="D807" s="5">
        <v>1</v>
      </c>
      <c r="E807" s="5" t="str">
        <f>_xlfn.SWITCH(recruitment_data3[[#This Row],[EducationLevel]], 1,"Bachelor Type 1", 2,"Bachelor Type 2", 3,"Masters", 4,"PhD")</f>
        <v>Bachelor Type 1</v>
      </c>
      <c r="F807" s="5">
        <v>1</v>
      </c>
      <c r="G807" s="5">
        <v>9</v>
      </c>
      <c r="H807" s="5">
        <v>2</v>
      </c>
      <c r="I807" s="5">
        <v>4.088119314509985</v>
      </c>
      <c r="J807" s="5">
        <v>72</v>
      </c>
      <c r="K807" s="5">
        <v>31</v>
      </c>
      <c r="L807" s="5">
        <v>58</v>
      </c>
      <c r="M807" s="5" t="str">
        <f>_xlfn.SWITCH(recruitment_data3[[#This Row],[RecruitmentStrategy]], 1,"Aggressive", 2,"Moderate", 3,"Conservative")</f>
        <v>Conservative</v>
      </c>
      <c r="N807" s="5">
        <v>3</v>
      </c>
      <c r="O807" s="5" t="str">
        <f>IF(recruitment_data3[[#This Row],[HiringDecision]]=1,"Hired","Rejected")</f>
        <v>Rejected</v>
      </c>
      <c r="P807" s="6">
        <v>0</v>
      </c>
    </row>
    <row r="808" spans="1:16" x14ac:dyDescent="0.25">
      <c r="A808" s="4" t="str">
        <f t="shared" si="12"/>
        <v>C0807</v>
      </c>
      <c r="B808" s="4">
        <v>26</v>
      </c>
      <c r="C808" s="5" t="str">
        <f>IF(recruitment_data3[[#This Row],[Gender]]=1,"Female","Male")</f>
        <v>Male</v>
      </c>
      <c r="D808" s="5">
        <v>0</v>
      </c>
      <c r="E808" s="5" t="str">
        <f>_xlfn.SWITCH(recruitment_data3[[#This Row],[EducationLevel]], 1,"Bachelor Type 1", 2,"Bachelor Type 2", 3,"Masters", 4,"PhD")</f>
        <v>Masters</v>
      </c>
      <c r="F808" s="5">
        <v>3</v>
      </c>
      <c r="G808" s="5">
        <v>2</v>
      </c>
      <c r="H808" s="5">
        <v>2</v>
      </c>
      <c r="I808" s="5">
        <v>37.717501766764791</v>
      </c>
      <c r="J808" s="5">
        <v>97</v>
      </c>
      <c r="K808" s="5">
        <v>19</v>
      </c>
      <c r="L808" s="5">
        <v>74</v>
      </c>
      <c r="M808" s="5" t="str">
        <f>_xlfn.SWITCH(recruitment_data3[[#This Row],[RecruitmentStrategy]], 1,"Aggressive", 2,"Moderate", 3,"Conservative")</f>
        <v>Aggressive</v>
      </c>
      <c r="N808" s="5">
        <v>1</v>
      </c>
      <c r="O808" s="5" t="str">
        <f>IF(recruitment_data3[[#This Row],[HiringDecision]]=1,"Hired","Rejected")</f>
        <v>Hired</v>
      </c>
      <c r="P808" s="6">
        <v>1</v>
      </c>
    </row>
    <row r="809" spans="1:16" x14ac:dyDescent="0.25">
      <c r="A809" s="4" t="str">
        <f t="shared" si="12"/>
        <v>C0808</v>
      </c>
      <c r="B809" s="4">
        <v>32</v>
      </c>
      <c r="C809" s="5" t="str">
        <f>IF(recruitment_data3[[#This Row],[Gender]]=1,"Female","Male")</f>
        <v>Female</v>
      </c>
      <c r="D809" s="5">
        <v>1</v>
      </c>
      <c r="E809" s="5" t="str">
        <f>_xlfn.SWITCH(recruitment_data3[[#This Row],[EducationLevel]], 1,"Bachelor Type 1", 2,"Bachelor Type 2", 3,"Masters", 4,"PhD")</f>
        <v>Bachelor Type 2</v>
      </c>
      <c r="F809" s="5">
        <v>2</v>
      </c>
      <c r="G809" s="5">
        <v>8</v>
      </c>
      <c r="H809" s="5">
        <v>2</v>
      </c>
      <c r="I809" s="5">
        <v>27.08667094266228</v>
      </c>
      <c r="J809" s="5">
        <v>56</v>
      </c>
      <c r="K809" s="5">
        <v>50</v>
      </c>
      <c r="L809" s="5">
        <v>58</v>
      </c>
      <c r="M809" s="5" t="str">
        <f>_xlfn.SWITCH(recruitment_data3[[#This Row],[RecruitmentStrategy]], 1,"Aggressive", 2,"Moderate", 3,"Conservative")</f>
        <v>Conservative</v>
      </c>
      <c r="N809" s="5">
        <v>3</v>
      </c>
      <c r="O809" s="5" t="str">
        <f>IF(recruitment_data3[[#This Row],[HiringDecision]]=1,"Hired","Rejected")</f>
        <v>Rejected</v>
      </c>
      <c r="P809" s="6">
        <v>0</v>
      </c>
    </row>
    <row r="810" spans="1:16" x14ac:dyDescent="0.25">
      <c r="A810" s="4" t="str">
        <f t="shared" si="12"/>
        <v>C0809</v>
      </c>
      <c r="B810" s="4">
        <v>40</v>
      </c>
      <c r="C810" s="5" t="str">
        <f>IF(recruitment_data3[[#This Row],[Gender]]=1,"Female","Male")</f>
        <v>Female</v>
      </c>
      <c r="D810" s="5">
        <v>1</v>
      </c>
      <c r="E810" s="5" t="str">
        <f>_xlfn.SWITCH(recruitment_data3[[#This Row],[EducationLevel]], 1,"Bachelor Type 1", 2,"Bachelor Type 2", 3,"Masters", 4,"PhD")</f>
        <v>Bachelor Type 2</v>
      </c>
      <c r="F810" s="5">
        <v>2</v>
      </c>
      <c r="G810" s="5">
        <v>3</v>
      </c>
      <c r="H810" s="5">
        <v>2</v>
      </c>
      <c r="I810" s="5">
        <v>11.660196569456753</v>
      </c>
      <c r="J810" s="5">
        <v>86</v>
      </c>
      <c r="K810" s="5">
        <v>80</v>
      </c>
      <c r="L810" s="5">
        <v>46</v>
      </c>
      <c r="M810" s="5" t="str">
        <f>_xlfn.SWITCH(recruitment_data3[[#This Row],[RecruitmentStrategy]], 1,"Aggressive", 2,"Moderate", 3,"Conservative")</f>
        <v>Aggressive</v>
      </c>
      <c r="N810" s="5">
        <v>1</v>
      </c>
      <c r="O810" s="5" t="str">
        <f>IF(recruitment_data3[[#This Row],[HiringDecision]]=1,"Hired","Rejected")</f>
        <v>Hired</v>
      </c>
      <c r="P810" s="6">
        <v>1</v>
      </c>
    </row>
    <row r="811" spans="1:16" x14ac:dyDescent="0.25">
      <c r="A811" s="4" t="str">
        <f t="shared" si="12"/>
        <v>C0810</v>
      </c>
      <c r="B811" s="4">
        <v>29</v>
      </c>
      <c r="C811" s="5" t="str">
        <f>IF(recruitment_data3[[#This Row],[Gender]]=1,"Female","Male")</f>
        <v>Male</v>
      </c>
      <c r="D811" s="5">
        <v>0</v>
      </c>
      <c r="E811" s="5" t="str">
        <f>_xlfn.SWITCH(recruitment_data3[[#This Row],[EducationLevel]], 1,"Bachelor Type 1", 2,"Bachelor Type 2", 3,"Masters", 4,"PhD")</f>
        <v>Masters</v>
      </c>
      <c r="F811" s="5">
        <v>3</v>
      </c>
      <c r="G811" s="5">
        <v>12</v>
      </c>
      <c r="H811" s="5">
        <v>5</v>
      </c>
      <c r="I811" s="5">
        <v>40.086449450237971</v>
      </c>
      <c r="J811" s="5">
        <v>4</v>
      </c>
      <c r="K811" s="5">
        <v>35</v>
      </c>
      <c r="L811" s="5">
        <v>94</v>
      </c>
      <c r="M811" s="5" t="str">
        <f>_xlfn.SWITCH(recruitment_data3[[#This Row],[RecruitmentStrategy]], 1,"Aggressive", 2,"Moderate", 3,"Conservative")</f>
        <v>Moderate</v>
      </c>
      <c r="N811" s="5">
        <v>2</v>
      </c>
      <c r="O811" s="5" t="str">
        <f>IF(recruitment_data3[[#This Row],[HiringDecision]]=1,"Hired","Rejected")</f>
        <v>Rejected</v>
      </c>
      <c r="P811" s="6">
        <v>0</v>
      </c>
    </row>
    <row r="812" spans="1:16" x14ac:dyDescent="0.25">
      <c r="A812" s="4" t="str">
        <f t="shared" si="12"/>
        <v>C0811</v>
      </c>
      <c r="B812" s="4">
        <v>45</v>
      </c>
      <c r="C812" s="5" t="str">
        <f>IF(recruitment_data3[[#This Row],[Gender]]=1,"Female","Male")</f>
        <v>Female</v>
      </c>
      <c r="D812" s="5">
        <v>1</v>
      </c>
      <c r="E812" s="5" t="str">
        <f>_xlfn.SWITCH(recruitment_data3[[#This Row],[EducationLevel]], 1,"Bachelor Type 1", 2,"Bachelor Type 2", 3,"Masters", 4,"PhD")</f>
        <v>Bachelor Type 2</v>
      </c>
      <c r="F812" s="5">
        <v>2</v>
      </c>
      <c r="G812" s="5">
        <v>12</v>
      </c>
      <c r="H812" s="5">
        <v>2</v>
      </c>
      <c r="I812" s="5">
        <v>11.187774292497187</v>
      </c>
      <c r="J812" s="5">
        <v>54</v>
      </c>
      <c r="K812" s="5">
        <v>66</v>
      </c>
      <c r="L812" s="5">
        <v>94</v>
      </c>
      <c r="M812" s="5" t="str">
        <f>_xlfn.SWITCH(recruitment_data3[[#This Row],[RecruitmentStrategy]], 1,"Aggressive", 2,"Moderate", 3,"Conservative")</f>
        <v>Moderate</v>
      </c>
      <c r="N812" s="5">
        <v>2</v>
      </c>
      <c r="O812" s="5" t="str">
        <f>IF(recruitment_data3[[#This Row],[HiringDecision]]=1,"Hired","Rejected")</f>
        <v>Rejected</v>
      </c>
      <c r="P812" s="6">
        <v>0</v>
      </c>
    </row>
    <row r="813" spans="1:16" x14ac:dyDescent="0.25">
      <c r="A813" s="4" t="str">
        <f t="shared" si="12"/>
        <v>C0812</v>
      </c>
      <c r="B813" s="4">
        <v>26</v>
      </c>
      <c r="C813" s="5" t="str">
        <f>IF(recruitment_data3[[#This Row],[Gender]]=1,"Female","Male")</f>
        <v>Female</v>
      </c>
      <c r="D813" s="5">
        <v>1</v>
      </c>
      <c r="E813" s="5" t="str">
        <f>_xlfn.SWITCH(recruitment_data3[[#This Row],[EducationLevel]], 1,"Bachelor Type 1", 2,"Bachelor Type 2", 3,"Masters", 4,"PhD")</f>
        <v>Bachelor Type 1</v>
      </c>
      <c r="F813" s="5">
        <v>1</v>
      </c>
      <c r="G813" s="5">
        <v>14</v>
      </c>
      <c r="H813" s="5">
        <v>4</v>
      </c>
      <c r="I813" s="5">
        <v>14.03308274164683</v>
      </c>
      <c r="J813" s="5">
        <v>60</v>
      </c>
      <c r="K813" s="5">
        <v>0</v>
      </c>
      <c r="L813" s="5">
        <v>12</v>
      </c>
      <c r="M813" s="5" t="str">
        <f>_xlfn.SWITCH(recruitment_data3[[#This Row],[RecruitmentStrategy]], 1,"Aggressive", 2,"Moderate", 3,"Conservative")</f>
        <v>Aggressive</v>
      </c>
      <c r="N813" s="5">
        <v>1</v>
      </c>
      <c r="O813" s="5" t="str">
        <f>IF(recruitment_data3[[#This Row],[HiringDecision]]=1,"Hired","Rejected")</f>
        <v>Rejected</v>
      </c>
      <c r="P813" s="6">
        <v>0</v>
      </c>
    </row>
    <row r="814" spans="1:16" x14ac:dyDescent="0.25">
      <c r="A814" s="4" t="str">
        <f t="shared" si="12"/>
        <v>C0813</v>
      </c>
      <c r="B814" s="4">
        <v>33</v>
      </c>
      <c r="C814" s="5" t="str">
        <f>IF(recruitment_data3[[#This Row],[Gender]]=1,"Female","Male")</f>
        <v>Male</v>
      </c>
      <c r="D814" s="5">
        <v>0</v>
      </c>
      <c r="E814" s="5" t="str">
        <f>_xlfn.SWITCH(recruitment_data3[[#This Row],[EducationLevel]], 1,"Bachelor Type 1", 2,"Bachelor Type 2", 3,"Masters", 4,"PhD")</f>
        <v>Bachelor Type 2</v>
      </c>
      <c r="F814" s="5">
        <v>2</v>
      </c>
      <c r="G814" s="5">
        <v>2</v>
      </c>
      <c r="H814" s="5">
        <v>5</v>
      </c>
      <c r="I814" s="5">
        <v>5.6264277183359575</v>
      </c>
      <c r="J814" s="5">
        <v>88</v>
      </c>
      <c r="K814" s="5">
        <v>26</v>
      </c>
      <c r="L814" s="5">
        <v>77</v>
      </c>
      <c r="M814" s="5" t="str">
        <f>_xlfn.SWITCH(recruitment_data3[[#This Row],[RecruitmentStrategy]], 1,"Aggressive", 2,"Moderate", 3,"Conservative")</f>
        <v>Aggressive</v>
      </c>
      <c r="N814" s="5">
        <v>1</v>
      </c>
      <c r="O814" s="5" t="str">
        <f>IF(recruitment_data3[[#This Row],[HiringDecision]]=1,"Hired","Rejected")</f>
        <v>Hired</v>
      </c>
      <c r="P814" s="6">
        <v>1</v>
      </c>
    </row>
    <row r="815" spans="1:16" x14ac:dyDescent="0.25">
      <c r="A815" s="4" t="str">
        <f t="shared" si="12"/>
        <v>C0814</v>
      </c>
      <c r="B815" s="4">
        <v>50</v>
      </c>
      <c r="C815" s="5" t="str">
        <f>IF(recruitment_data3[[#This Row],[Gender]]=1,"Female","Male")</f>
        <v>Female</v>
      </c>
      <c r="D815" s="5">
        <v>1</v>
      </c>
      <c r="E815" s="5" t="str">
        <f>_xlfn.SWITCH(recruitment_data3[[#This Row],[EducationLevel]], 1,"Bachelor Type 1", 2,"Bachelor Type 2", 3,"Masters", 4,"PhD")</f>
        <v>Bachelor Type 2</v>
      </c>
      <c r="F815" s="5">
        <v>2</v>
      </c>
      <c r="G815" s="5">
        <v>10</v>
      </c>
      <c r="H815" s="5">
        <v>2</v>
      </c>
      <c r="I815" s="5">
        <v>20.971613951542722</v>
      </c>
      <c r="J815" s="5">
        <v>7</v>
      </c>
      <c r="K815" s="5">
        <v>39</v>
      </c>
      <c r="L815" s="5">
        <v>88</v>
      </c>
      <c r="M815" s="5" t="str">
        <f>_xlfn.SWITCH(recruitment_data3[[#This Row],[RecruitmentStrategy]], 1,"Aggressive", 2,"Moderate", 3,"Conservative")</f>
        <v>Moderate</v>
      </c>
      <c r="N815" s="5">
        <v>2</v>
      </c>
      <c r="O815" s="5" t="str">
        <f>IF(recruitment_data3[[#This Row],[HiringDecision]]=1,"Hired","Rejected")</f>
        <v>Rejected</v>
      </c>
      <c r="P815" s="6">
        <v>0</v>
      </c>
    </row>
    <row r="816" spans="1:16" x14ac:dyDescent="0.25">
      <c r="A816" s="4" t="str">
        <f t="shared" si="12"/>
        <v>C0815</v>
      </c>
      <c r="B816" s="4">
        <v>45</v>
      </c>
      <c r="C816" s="5" t="str">
        <f>IF(recruitment_data3[[#This Row],[Gender]]=1,"Female","Male")</f>
        <v>Male</v>
      </c>
      <c r="D816" s="5">
        <v>0</v>
      </c>
      <c r="E816" s="5" t="str">
        <f>_xlfn.SWITCH(recruitment_data3[[#This Row],[EducationLevel]], 1,"Bachelor Type 1", 2,"Bachelor Type 2", 3,"Masters", 4,"PhD")</f>
        <v>PhD</v>
      </c>
      <c r="F816" s="5">
        <v>4</v>
      </c>
      <c r="G816" s="5">
        <v>1</v>
      </c>
      <c r="H816" s="5">
        <v>1</v>
      </c>
      <c r="I816" s="5">
        <v>21.946461196870946</v>
      </c>
      <c r="J816" s="5">
        <v>15</v>
      </c>
      <c r="K816" s="5">
        <v>96</v>
      </c>
      <c r="L816" s="5">
        <v>32</v>
      </c>
      <c r="M816" s="5" t="str">
        <f>_xlfn.SWITCH(recruitment_data3[[#This Row],[RecruitmentStrategy]], 1,"Aggressive", 2,"Moderate", 3,"Conservative")</f>
        <v>Aggressive</v>
      </c>
      <c r="N816" s="5">
        <v>1</v>
      </c>
      <c r="O816" s="5" t="str">
        <f>IF(recruitment_data3[[#This Row],[HiringDecision]]=1,"Hired","Rejected")</f>
        <v>Hired</v>
      </c>
      <c r="P816" s="6">
        <v>1</v>
      </c>
    </row>
    <row r="817" spans="1:16" x14ac:dyDescent="0.25">
      <c r="A817" s="4" t="str">
        <f t="shared" si="12"/>
        <v>C0816</v>
      </c>
      <c r="B817" s="4">
        <v>24</v>
      </c>
      <c r="C817" s="5" t="str">
        <f>IF(recruitment_data3[[#This Row],[Gender]]=1,"Female","Male")</f>
        <v>Male</v>
      </c>
      <c r="D817" s="5">
        <v>0</v>
      </c>
      <c r="E817" s="5" t="str">
        <f>_xlfn.SWITCH(recruitment_data3[[#This Row],[EducationLevel]], 1,"Bachelor Type 1", 2,"Bachelor Type 2", 3,"Masters", 4,"PhD")</f>
        <v>Bachelor Type 2</v>
      </c>
      <c r="F817" s="5">
        <v>2</v>
      </c>
      <c r="G817" s="5">
        <v>9</v>
      </c>
      <c r="H817" s="5">
        <v>3</v>
      </c>
      <c r="I817" s="5">
        <v>26.728089517414922</v>
      </c>
      <c r="J817" s="5">
        <v>47</v>
      </c>
      <c r="K817" s="5">
        <v>83</v>
      </c>
      <c r="L817" s="5">
        <v>96</v>
      </c>
      <c r="M817" s="5" t="str">
        <f>_xlfn.SWITCH(recruitment_data3[[#This Row],[RecruitmentStrategy]], 1,"Aggressive", 2,"Moderate", 3,"Conservative")</f>
        <v>Moderate</v>
      </c>
      <c r="N817" s="5">
        <v>2</v>
      </c>
      <c r="O817" s="5" t="str">
        <f>IF(recruitment_data3[[#This Row],[HiringDecision]]=1,"Hired","Rejected")</f>
        <v>Rejected</v>
      </c>
      <c r="P817" s="6">
        <v>0</v>
      </c>
    </row>
    <row r="818" spans="1:16" x14ac:dyDescent="0.25">
      <c r="A818" s="4" t="str">
        <f t="shared" si="12"/>
        <v>C0817</v>
      </c>
      <c r="B818" s="4">
        <v>22</v>
      </c>
      <c r="C818" s="5" t="str">
        <f>IF(recruitment_data3[[#This Row],[Gender]]=1,"Female","Male")</f>
        <v>Female</v>
      </c>
      <c r="D818" s="5">
        <v>1</v>
      </c>
      <c r="E818" s="5" t="str">
        <f>_xlfn.SWITCH(recruitment_data3[[#This Row],[EducationLevel]], 1,"Bachelor Type 1", 2,"Bachelor Type 2", 3,"Masters", 4,"PhD")</f>
        <v>Bachelor Type 2</v>
      </c>
      <c r="F818" s="5">
        <v>2</v>
      </c>
      <c r="G818" s="5">
        <v>12</v>
      </c>
      <c r="H818" s="5">
        <v>3</v>
      </c>
      <c r="I818" s="5">
        <v>36.448213356188873</v>
      </c>
      <c r="J818" s="5">
        <v>60</v>
      </c>
      <c r="K818" s="5">
        <v>13</v>
      </c>
      <c r="L818" s="5">
        <v>61</v>
      </c>
      <c r="M818" s="5" t="str">
        <f>_xlfn.SWITCH(recruitment_data3[[#This Row],[RecruitmentStrategy]], 1,"Aggressive", 2,"Moderate", 3,"Conservative")</f>
        <v>Moderate</v>
      </c>
      <c r="N818" s="5">
        <v>2</v>
      </c>
      <c r="O818" s="5" t="str">
        <f>IF(recruitment_data3[[#This Row],[HiringDecision]]=1,"Hired","Rejected")</f>
        <v>Rejected</v>
      </c>
      <c r="P818" s="6">
        <v>0</v>
      </c>
    </row>
    <row r="819" spans="1:16" x14ac:dyDescent="0.25">
      <c r="A819" s="4" t="str">
        <f t="shared" si="12"/>
        <v>C0818</v>
      </c>
      <c r="B819" s="4">
        <v>42</v>
      </c>
      <c r="C819" s="5" t="str">
        <f>IF(recruitment_data3[[#This Row],[Gender]]=1,"Female","Male")</f>
        <v>Female</v>
      </c>
      <c r="D819" s="5">
        <v>1</v>
      </c>
      <c r="E819" s="5" t="str">
        <f>_xlfn.SWITCH(recruitment_data3[[#This Row],[EducationLevel]], 1,"Bachelor Type 1", 2,"Bachelor Type 2", 3,"Masters", 4,"PhD")</f>
        <v>Masters</v>
      </c>
      <c r="F819" s="5">
        <v>3</v>
      </c>
      <c r="G819" s="5">
        <v>10</v>
      </c>
      <c r="H819" s="5">
        <v>3</v>
      </c>
      <c r="I819" s="5">
        <v>46.305046434021293</v>
      </c>
      <c r="J819" s="5">
        <v>14</v>
      </c>
      <c r="K819" s="5">
        <v>99</v>
      </c>
      <c r="L819" s="5">
        <v>78</v>
      </c>
      <c r="M819" s="5" t="str">
        <f>_xlfn.SWITCH(recruitment_data3[[#This Row],[RecruitmentStrategy]], 1,"Aggressive", 2,"Moderate", 3,"Conservative")</f>
        <v>Conservative</v>
      </c>
      <c r="N819" s="5">
        <v>3</v>
      </c>
      <c r="O819" s="5" t="str">
        <f>IF(recruitment_data3[[#This Row],[HiringDecision]]=1,"Hired","Rejected")</f>
        <v>Hired</v>
      </c>
      <c r="P819" s="6">
        <v>1</v>
      </c>
    </row>
    <row r="820" spans="1:16" x14ac:dyDescent="0.25">
      <c r="A820" s="4" t="str">
        <f t="shared" si="12"/>
        <v>C0819</v>
      </c>
      <c r="B820" s="4">
        <v>48</v>
      </c>
      <c r="C820" s="5" t="str">
        <f>IF(recruitment_data3[[#This Row],[Gender]]=1,"Female","Male")</f>
        <v>Female</v>
      </c>
      <c r="D820" s="5">
        <v>1</v>
      </c>
      <c r="E820" s="5" t="str">
        <f>_xlfn.SWITCH(recruitment_data3[[#This Row],[EducationLevel]], 1,"Bachelor Type 1", 2,"Bachelor Type 2", 3,"Masters", 4,"PhD")</f>
        <v>Bachelor Type 2</v>
      </c>
      <c r="F820" s="5">
        <v>2</v>
      </c>
      <c r="G820" s="5">
        <v>8</v>
      </c>
      <c r="H820" s="5">
        <v>5</v>
      </c>
      <c r="I820" s="5">
        <v>7.8867049443904316</v>
      </c>
      <c r="J820" s="5">
        <v>64</v>
      </c>
      <c r="K820" s="5">
        <v>68</v>
      </c>
      <c r="L820" s="5">
        <v>15</v>
      </c>
      <c r="M820" s="5" t="str">
        <f>_xlfn.SWITCH(recruitment_data3[[#This Row],[RecruitmentStrategy]], 1,"Aggressive", 2,"Moderate", 3,"Conservative")</f>
        <v>Moderate</v>
      </c>
      <c r="N820" s="5">
        <v>2</v>
      </c>
      <c r="O820" s="5" t="str">
        <f>IF(recruitment_data3[[#This Row],[HiringDecision]]=1,"Hired","Rejected")</f>
        <v>Rejected</v>
      </c>
      <c r="P820" s="6">
        <v>0</v>
      </c>
    </row>
    <row r="821" spans="1:16" x14ac:dyDescent="0.25">
      <c r="A821" s="4" t="str">
        <f t="shared" si="12"/>
        <v>C0820</v>
      </c>
      <c r="B821" s="4">
        <v>30</v>
      </c>
      <c r="C821" s="5" t="str">
        <f>IF(recruitment_data3[[#This Row],[Gender]]=1,"Female","Male")</f>
        <v>Female</v>
      </c>
      <c r="D821" s="5">
        <v>1</v>
      </c>
      <c r="E821" s="5" t="str">
        <f>_xlfn.SWITCH(recruitment_data3[[#This Row],[EducationLevel]], 1,"Bachelor Type 1", 2,"Bachelor Type 2", 3,"Masters", 4,"PhD")</f>
        <v>Bachelor Type 2</v>
      </c>
      <c r="F821" s="5">
        <v>2</v>
      </c>
      <c r="G821" s="5">
        <v>3</v>
      </c>
      <c r="H821" s="5">
        <v>2</v>
      </c>
      <c r="I821" s="5">
        <v>3.717404917432853</v>
      </c>
      <c r="J821" s="5">
        <v>21</v>
      </c>
      <c r="K821" s="5">
        <v>86</v>
      </c>
      <c r="L821" s="5">
        <v>43</v>
      </c>
      <c r="M821" s="5" t="str">
        <f>_xlfn.SWITCH(recruitment_data3[[#This Row],[RecruitmentStrategy]], 1,"Aggressive", 2,"Moderate", 3,"Conservative")</f>
        <v>Aggressive</v>
      </c>
      <c r="N821" s="5">
        <v>1</v>
      </c>
      <c r="O821" s="5" t="str">
        <f>IF(recruitment_data3[[#This Row],[HiringDecision]]=1,"Hired","Rejected")</f>
        <v>Rejected</v>
      </c>
      <c r="P821" s="6">
        <v>0</v>
      </c>
    </row>
    <row r="822" spans="1:16" x14ac:dyDescent="0.25">
      <c r="A822" s="4" t="str">
        <f t="shared" si="12"/>
        <v>C0821</v>
      </c>
      <c r="B822" s="4">
        <v>30</v>
      </c>
      <c r="C822" s="5" t="str">
        <f>IF(recruitment_data3[[#This Row],[Gender]]=1,"Female","Male")</f>
        <v>Female</v>
      </c>
      <c r="D822" s="5">
        <v>1</v>
      </c>
      <c r="E822" s="5" t="str">
        <f>_xlfn.SWITCH(recruitment_data3[[#This Row],[EducationLevel]], 1,"Bachelor Type 1", 2,"Bachelor Type 2", 3,"Masters", 4,"PhD")</f>
        <v>Bachelor Type 2</v>
      </c>
      <c r="F822" s="5">
        <v>2</v>
      </c>
      <c r="G822" s="5">
        <v>15</v>
      </c>
      <c r="H822" s="5">
        <v>5</v>
      </c>
      <c r="I822" s="5">
        <v>1.9265616797166643</v>
      </c>
      <c r="J822" s="5">
        <v>2</v>
      </c>
      <c r="K822" s="5">
        <v>78</v>
      </c>
      <c r="L822" s="5">
        <v>57</v>
      </c>
      <c r="M822" s="5" t="str">
        <f>_xlfn.SWITCH(recruitment_data3[[#This Row],[RecruitmentStrategy]], 1,"Aggressive", 2,"Moderate", 3,"Conservative")</f>
        <v>Moderate</v>
      </c>
      <c r="N822" s="5">
        <v>2</v>
      </c>
      <c r="O822" s="5" t="str">
        <f>IF(recruitment_data3[[#This Row],[HiringDecision]]=1,"Hired","Rejected")</f>
        <v>Rejected</v>
      </c>
      <c r="P822" s="6">
        <v>0</v>
      </c>
    </row>
    <row r="823" spans="1:16" x14ac:dyDescent="0.25">
      <c r="A823" s="4" t="str">
        <f t="shared" si="12"/>
        <v>C0822</v>
      </c>
      <c r="B823" s="4">
        <v>37</v>
      </c>
      <c r="C823" s="5" t="str">
        <f>IF(recruitment_data3[[#This Row],[Gender]]=1,"Female","Male")</f>
        <v>Female</v>
      </c>
      <c r="D823" s="5">
        <v>1</v>
      </c>
      <c r="E823" s="5" t="str">
        <f>_xlfn.SWITCH(recruitment_data3[[#This Row],[EducationLevel]], 1,"Bachelor Type 1", 2,"Bachelor Type 2", 3,"Masters", 4,"PhD")</f>
        <v>Masters</v>
      </c>
      <c r="F823" s="5">
        <v>3</v>
      </c>
      <c r="G823" s="5">
        <v>2</v>
      </c>
      <c r="H823" s="5">
        <v>4</v>
      </c>
      <c r="I823" s="5">
        <v>8.1810689034408135</v>
      </c>
      <c r="J823" s="5">
        <v>53</v>
      </c>
      <c r="K823" s="5">
        <v>5</v>
      </c>
      <c r="L823" s="5">
        <v>5</v>
      </c>
      <c r="M823" s="5" t="str">
        <f>_xlfn.SWITCH(recruitment_data3[[#This Row],[RecruitmentStrategy]], 1,"Aggressive", 2,"Moderate", 3,"Conservative")</f>
        <v>Aggressive</v>
      </c>
      <c r="N823" s="5">
        <v>1</v>
      </c>
      <c r="O823" s="5" t="str">
        <f>IF(recruitment_data3[[#This Row],[HiringDecision]]=1,"Hired","Rejected")</f>
        <v>Rejected</v>
      </c>
      <c r="P823" s="6">
        <v>0</v>
      </c>
    </row>
    <row r="824" spans="1:16" x14ac:dyDescent="0.25">
      <c r="A824" s="4" t="str">
        <f t="shared" si="12"/>
        <v>C0823</v>
      </c>
      <c r="B824" s="4">
        <v>34</v>
      </c>
      <c r="C824" s="5" t="str">
        <f>IF(recruitment_data3[[#This Row],[Gender]]=1,"Female","Male")</f>
        <v>Female</v>
      </c>
      <c r="D824" s="5">
        <v>1</v>
      </c>
      <c r="E824" s="5" t="str">
        <f>_xlfn.SWITCH(recruitment_data3[[#This Row],[EducationLevel]], 1,"Bachelor Type 1", 2,"Bachelor Type 2", 3,"Masters", 4,"PhD")</f>
        <v>Bachelor Type 2</v>
      </c>
      <c r="F824" s="5">
        <v>2</v>
      </c>
      <c r="G824" s="5">
        <v>6</v>
      </c>
      <c r="H824" s="5">
        <v>1</v>
      </c>
      <c r="I824" s="5">
        <v>33.897474289081295</v>
      </c>
      <c r="J824" s="5">
        <v>13</v>
      </c>
      <c r="K824" s="5">
        <v>32</v>
      </c>
      <c r="L824" s="5">
        <v>88</v>
      </c>
      <c r="M824" s="5" t="str">
        <f>_xlfn.SWITCH(recruitment_data3[[#This Row],[RecruitmentStrategy]], 1,"Aggressive", 2,"Moderate", 3,"Conservative")</f>
        <v>Conservative</v>
      </c>
      <c r="N824" s="5">
        <v>3</v>
      </c>
      <c r="O824" s="5" t="str">
        <f>IF(recruitment_data3[[#This Row],[HiringDecision]]=1,"Hired","Rejected")</f>
        <v>Rejected</v>
      </c>
      <c r="P824" s="6">
        <v>0</v>
      </c>
    </row>
    <row r="825" spans="1:16" x14ac:dyDescent="0.25">
      <c r="A825" s="4" t="str">
        <f t="shared" si="12"/>
        <v>C0824</v>
      </c>
      <c r="B825" s="4">
        <v>31</v>
      </c>
      <c r="C825" s="5" t="str">
        <f>IF(recruitment_data3[[#This Row],[Gender]]=1,"Female","Male")</f>
        <v>Male</v>
      </c>
      <c r="D825" s="5">
        <v>0</v>
      </c>
      <c r="E825" s="5" t="str">
        <f>_xlfn.SWITCH(recruitment_data3[[#This Row],[EducationLevel]], 1,"Bachelor Type 1", 2,"Bachelor Type 2", 3,"Masters", 4,"PhD")</f>
        <v>Bachelor Type 2</v>
      </c>
      <c r="F825" s="5">
        <v>2</v>
      </c>
      <c r="G825" s="5">
        <v>7</v>
      </c>
      <c r="H825" s="5">
        <v>1</v>
      </c>
      <c r="I825" s="5">
        <v>37.37385389982483</v>
      </c>
      <c r="J825" s="5">
        <v>35</v>
      </c>
      <c r="K825" s="5">
        <v>54</v>
      </c>
      <c r="L825" s="5">
        <v>14</v>
      </c>
      <c r="M825" s="5" t="str">
        <f>_xlfn.SWITCH(recruitment_data3[[#This Row],[RecruitmentStrategy]], 1,"Aggressive", 2,"Moderate", 3,"Conservative")</f>
        <v>Conservative</v>
      </c>
      <c r="N825" s="5">
        <v>3</v>
      </c>
      <c r="O825" s="5" t="str">
        <f>IF(recruitment_data3[[#This Row],[HiringDecision]]=1,"Hired","Rejected")</f>
        <v>Rejected</v>
      </c>
      <c r="P825" s="6">
        <v>0</v>
      </c>
    </row>
    <row r="826" spans="1:16" x14ac:dyDescent="0.25">
      <c r="A826" s="4" t="str">
        <f t="shared" si="12"/>
        <v>C0825</v>
      </c>
      <c r="B826" s="4">
        <v>28</v>
      </c>
      <c r="C826" s="5" t="str">
        <f>IF(recruitment_data3[[#This Row],[Gender]]=1,"Female","Male")</f>
        <v>Female</v>
      </c>
      <c r="D826" s="5">
        <v>1</v>
      </c>
      <c r="E826" s="5" t="str">
        <f>_xlfn.SWITCH(recruitment_data3[[#This Row],[EducationLevel]], 1,"Bachelor Type 1", 2,"Bachelor Type 2", 3,"Masters", 4,"PhD")</f>
        <v>Bachelor Type 1</v>
      </c>
      <c r="F826" s="5">
        <v>1</v>
      </c>
      <c r="G826" s="5">
        <v>10</v>
      </c>
      <c r="H826" s="5">
        <v>3</v>
      </c>
      <c r="I826" s="5">
        <v>40.325285676406111</v>
      </c>
      <c r="J826" s="5">
        <v>81</v>
      </c>
      <c r="K826" s="5">
        <v>18</v>
      </c>
      <c r="L826" s="5">
        <v>3</v>
      </c>
      <c r="M826" s="5" t="str">
        <f>_xlfn.SWITCH(recruitment_data3[[#This Row],[RecruitmentStrategy]], 1,"Aggressive", 2,"Moderate", 3,"Conservative")</f>
        <v>Moderate</v>
      </c>
      <c r="N826" s="5">
        <v>2</v>
      </c>
      <c r="O826" s="5" t="str">
        <f>IF(recruitment_data3[[#This Row],[HiringDecision]]=1,"Hired","Rejected")</f>
        <v>Rejected</v>
      </c>
      <c r="P826" s="6">
        <v>0</v>
      </c>
    </row>
    <row r="827" spans="1:16" x14ac:dyDescent="0.25">
      <c r="A827" s="4" t="str">
        <f t="shared" si="12"/>
        <v>C0826</v>
      </c>
      <c r="B827" s="4">
        <v>29</v>
      </c>
      <c r="C827" s="5" t="str">
        <f>IF(recruitment_data3[[#This Row],[Gender]]=1,"Female","Male")</f>
        <v>Male</v>
      </c>
      <c r="D827" s="5">
        <v>0</v>
      </c>
      <c r="E827" s="5" t="str">
        <f>_xlfn.SWITCH(recruitment_data3[[#This Row],[EducationLevel]], 1,"Bachelor Type 1", 2,"Bachelor Type 2", 3,"Masters", 4,"PhD")</f>
        <v>Bachelor Type 1</v>
      </c>
      <c r="F827" s="5">
        <v>1</v>
      </c>
      <c r="G827" s="5">
        <v>13</v>
      </c>
      <c r="H827" s="5">
        <v>3</v>
      </c>
      <c r="I827" s="5">
        <v>13.185410595217133</v>
      </c>
      <c r="J827" s="5">
        <v>81</v>
      </c>
      <c r="K827" s="5">
        <v>76</v>
      </c>
      <c r="L827" s="5">
        <v>55</v>
      </c>
      <c r="M827" s="5" t="str">
        <f>_xlfn.SWITCH(recruitment_data3[[#This Row],[RecruitmentStrategy]], 1,"Aggressive", 2,"Moderate", 3,"Conservative")</f>
        <v>Aggressive</v>
      </c>
      <c r="N827" s="5">
        <v>1</v>
      </c>
      <c r="O827" s="5" t="str">
        <f>IF(recruitment_data3[[#This Row],[HiringDecision]]=1,"Hired","Rejected")</f>
        <v>Hired</v>
      </c>
      <c r="P827" s="6">
        <v>1</v>
      </c>
    </row>
    <row r="828" spans="1:16" x14ac:dyDescent="0.25">
      <c r="A828" s="4" t="str">
        <f t="shared" si="12"/>
        <v>C0827</v>
      </c>
      <c r="B828" s="4">
        <v>45</v>
      </c>
      <c r="C828" s="5" t="str">
        <f>IF(recruitment_data3[[#This Row],[Gender]]=1,"Female","Male")</f>
        <v>Female</v>
      </c>
      <c r="D828" s="5">
        <v>1</v>
      </c>
      <c r="E828" s="5" t="str">
        <f>_xlfn.SWITCH(recruitment_data3[[#This Row],[EducationLevel]], 1,"Bachelor Type 1", 2,"Bachelor Type 2", 3,"Masters", 4,"PhD")</f>
        <v>Bachelor Type 1</v>
      </c>
      <c r="F828" s="5">
        <v>1</v>
      </c>
      <c r="G828" s="5">
        <v>1</v>
      </c>
      <c r="H828" s="5">
        <v>3</v>
      </c>
      <c r="I828" s="5">
        <v>16.294740663075995</v>
      </c>
      <c r="J828" s="5">
        <v>66</v>
      </c>
      <c r="K828" s="5">
        <v>28</v>
      </c>
      <c r="L828" s="5">
        <v>63</v>
      </c>
      <c r="M828" s="5" t="str">
        <f>_xlfn.SWITCH(recruitment_data3[[#This Row],[RecruitmentStrategy]], 1,"Aggressive", 2,"Moderate", 3,"Conservative")</f>
        <v>Conservative</v>
      </c>
      <c r="N828" s="5">
        <v>3</v>
      </c>
      <c r="O828" s="5" t="str">
        <f>IF(recruitment_data3[[#This Row],[HiringDecision]]=1,"Hired","Rejected")</f>
        <v>Rejected</v>
      </c>
      <c r="P828" s="6">
        <v>0</v>
      </c>
    </row>
    <row r="829" spans="1:16" x14ac:dyDescent="0.25">
      <c r="A829" s="4" t="str">
        <f t="shared" si="12"/>
        <v>C0828</v>
      </c>
      <c r="B829" s="4">
        <v>31</v>
      </c>
      <c r="C829" s="5" t="str">
        <f>IF(recruitment_data3[[#This Row],[Gender]]=1,"Female","Male")</f>
        <v>Female</v>
      </c>
      <c r="D829" s="5">
        <v>1</v>
      </c>
      <c r="E829" s="5" t="str">
        <f>_xlfn.SWITCH(recruitment_data3[[#This Row],[EducationLevel]], 1,"Bachelor Type 1", 2,"Bachelor Type 2", 3,"Masters", 4,"PhD")</f>
        <v>Bachelor Type 1</v>
      </c>
      <c r="F829" s="5">
        <v>1</v>
      </c>
      <c r="G829" s="5">
        <v>6</v>
      </c>
      <c r="H829" s="5">
        <v>2</v>
      </c>
      <c r="I829" s="5">
        <v>25.156732278274973</v>
      </c>
      <c r="J829" s="5">
        <v>9</v>
      </c>
      <c r="K829" s="5">
        <v>60</v>
      </c>
      <c r="L829" s="5">
        <v>67</v>
      </c>
      <c r="M829" s="5" t="str">
        <f>_xlfn.SWITCH(recruitment_data3[[#This Row],[RecruitmentStrategy]], 1,"Aggressive", 2,"Moderate", 3,"Conservative")</f>
        <v>Conservative</v>
      </c>
      <c r="N829" s="5">
        <v>3</v>
      </c>
      <c r="O829" s="5" t="str">
        <f>IF(recruitment_data3[[#This Row],[HiringDecision]]=1,"Hired","Rejected")</f>
        <v>Rejected</v>
      </c>
      <c r="P829" s="6">
        <v>0</v>
      </c>
    </row>
    <row r="830" spans="1:16" x14ac:dyDescent="0.25">
      <c r="A830" s="4" t="str">
        <f t="shared" si="12"/>
        <v>C0829</v>
      </c>
      <c r="B830" s="4">
        <v>36</v>
      </c>
      <c r="C830" s="5" t="str">
        <f>IF(recruitment_data3[[#This Row],[Gender]]=1,"Female","Male")</f>
        <v>Male</v>
      </c>
      <c r="D830" s="5">
        <v>0</v>
      </c>
      <c r="E830" s="5" t="str">
        <f>_xlfn.SWITCH(recruitment_data3[[#This Row],[EducationLevel]], 1,"Bachelor Type 1", 2,"Bachelor Type 2", 3,"Masters", 4,"PhD")</f>
        <v>Bachelor Type 2</v>
      </c>
      <c r="F830" s="5">
        <v>2</v>
      </c>
      <c r="G830" s="5">
        <v>11</v>
      </c>
      <c r="H830" s="5">
        <v>4</v>
      </c>
      <c r="I830" s="5">
        <v>4.1591548430113248</v>
      </c>
      <c r="J830" s="5">
        <v>48</v>
      </c>
      <c r="K830" s="5">
        <v>69</v>
      </c>
      <c r="L830" s="5">
        <v>93</v>
      </c>
      <c r="M830" s="5" t="str">
        <f>_xlfn.SWITCH(recruitment_data3[[#This Row],[RecruitmentStrategy]], 1,"Aggressive", 2,"Moderate", 3,"Conservative")</f>
        <v>Conservative</v>
      </c>
      <c r="N830" s="5">
        <v>3</v>
      </c>
      <c r="O830" s="5" t="str">
        <f>IF(recruitment_data3[[#This Row],[HiringDecision]]=1,"Hired","Rejected")</f>
        <v>Rejected</v>
      </c>
      <c r="P830" s="6">
        <v>0</v>
      </c>
    </row>
    <row r="831" spans="1:16" x14ac:dyDescent="0.25">
      <c r="A831" s="4" t="str">
        <f t="shared" si="12"/>
        <v>C0830</v>
      </c>
      <c r="B831" s="4">
        <v>48</v>
      </c>
      <c r="C831" s="5" t="str">
        <f>IF(recruitment_data3[[#This Row],[Gender]]=1,"Female","Male")</f>
        <v>Female</v>
      </c>
      <c r="D831" s="5">
        <v>1</v>
      </c>
      <c r="E831" s="5" t="str">
        <f>_xlfn.SWITCH(recruitment_data3[[#This Row],[EducationLevel]], 1,"Bachelor Type 1", 2,"Bachelor Type 2", 3,"Masters", 4,"PhD")</f>
        <v>Masters</v>
      </c>
      <c r="F831" s="5">
        <v>3</v>
      </c>
      <c r="G831" s="5">
        <v>4</v>
      </c>
      <c r="H831" s="5">
        <v>4</v>
      </c>
      <c r="I831" s="5">
        <v>31.557076160562307</v>
      </c>
      <c r="J831" s="5">
        <v>64</v>
      </c>
      <c r="K831" s="5">
        <v>78</v>
      </c>
      <c r="L831" s="5">
        <v>33</v>
      </c>
      <c r="M831" s="5" t="str">
        <f>_xlfn.SWITCH(recruitment_data3[[#This Row],[RecruitmentStrategy]], 1,"Aggressive", 2,"Moderate", 3,"Conservative")</f>
        <v>Conservative</v>
      </c>
      <c r="N831" s="5">
        <v>3</v>
      </c>
      <c r="O831" s="5" t="str">
        <f>IF(recruitment_data3[[#This Row],[HiringDecision]]=1,"Hired","Rejected")</f>
        <v>Rejected</v>
      </c>
      <c r="P831" s="6">
        <v>0</v>
      </c>
    </row>
    <row r="832" spans="1:16" x14ac:dyDescent="0.25">
      <c r="A832" s="4" t="str">
        <f t="shared" si="12"/>
        <v>C0831</v>
      </c>
      <c r="B832" s="4">
        <v>25</v>
      </c>
      <c r="C832" s="5" t="str">
        <f>IF(recruitment_data3[[#This Row],[Gender]]=1,"Female","Male")</f>
        <v>Female</v>
      </c>
      <c r="D832" s="5">
        <v>1</v>
      </c>
      <c r="E832" s="5" t="str">
        <f>_xlfn.SWITCH(recruitment_data3[[#This Row],[EducationLevel]], 1,"Bachelor Type 1", 2,"Bachelor Type 2", 3,"Masters", 4,"PhD")</f>
        <v>Bachelor Type 2</v>
      </c>
      <c r="F832" s="5">
        <v>2</v>
      </c>
      <c r="G832" s="5">
        <v>14</v>
      </c>
      <c r="H832" s="5">
        <v>4</v>
      </c>
      <c r="I832" s="5">
        <v>50.18675168378789</v>
      </c>
      <c r="J832" s="5">
        <v>90</v>
      </c>
      <c r="K832" s="5">
        <v>79</v>
      </c>
      <c r="L832" s="5">
        <v>90</v>
      </c>
      <c r="M832" s="5" t="str">
        <f>_xlfn.SWITCH(recruitment_data3[[#This Row],[RecruitmentStrategy]], 1,"Aggressive", 2,"Moderate", 3,"Conservative")</f>
        <v>Moderate</v>
      </c>
      <c r="N832" s="5">
        <v>2</v>
      </c>
      <c r="O832" s="5" t="str">
        <f>IF(recruitment_data3[[#This Row],[HiringDecision]]=1,"Hired","Rejected")</f>
        <v>Hired</v>
      </c>
      <c r="P832" s="6">
        <v>1</v>
      </c>
    </row>
    <row r="833" spans="1:16" x14ac:dyDescent="0.25">
      <c r="A833" s="4" t="str">
        <f t="shared" si="12"/>
        <v>C0832</v>
      </c>
      <c r="B833" s="4">
        <v>26</v>
      </c>
      <c r="C833" s="5" t="str">
        <f>IF(recruitment_data3[[#This Row],[Gender]]=1,"Female","Male")</f>
        <v>Male</v>
      </c>
      <c r="D833" s="5">
        <v>0</v>
      </c>
      <c r="E833" s="5" t="str">
        <f>_xlfn.SWITCH(recruitment_data3[[#This Row],[EducationLevel]], 1,"Bachelor Type 1", 2,"Bachelor Type 2", 3,"Masters", 4,"PhD")</f>
        <v>Masters</v>
      </c>
      <c r="F833" s="5">
        <v>3</v>
      </c>
      <c r="G833" s="5">
        <v>10</v>
      </c>
      <c r="H833" s="5">
        <v>4</v>
      </c>
      <c r="I833" s="5">
        <v>19.040315568900127</v>
      </c>
      <c r="J833" s="5">
        <v>56</v>
      </c>
      <c r="K833" s="5">
        <v>23</v>
      </c>
      <c r="L833" s="5">
        <v>94</v>
      </c>
      <c r="M833" s="5" t="str">
        <f>_xlfn.SWITCH(recruitment_data3[[#This Row],[RecruitmentStrategy]], 1,"Aggressive", 2,"Moderate", 3,"Conservative")</f>
        <v>Aggressive</v>
      </c>
      <c r="N833" s="5">
        <v>1</v>
      </c>
      <c r="O833" s="5" t="str">
        <f>IF(recruitment_data3[[#This Row],[HiringDecision]]=1,"Hired","Rejected")</f>
        <v>Hired</v>
      </c>
      <c r="P833" s="6">
        <v>1</v>
      </c>
    </row>
    <row r="834" spans="1:16" x14ac:dyDescent="0.25">
      <c r="A834" s="4" t="str">
        <f t="shared" ref="A834:A897" si="13">"C"&amp;TEXT(ROW()-1,"0000")</f>
        <v>C0833</v>
      </c>
      <c r="B834" s="4">
        <v>33</v>
      </c>
      <c r="C834" s="5" t="str">
        <f>IF(recruitment_data3[[#This Row],[Gender]]=1,"Female","Male")</f>
        <v>Female</v>
      </c>
      <c r="D834" s="5">
        <v>1</v>
      </c>
      <c r="E834" s="5" t="str">
        <f>_xlfn.SWITCH(recruitment_data3[[#This Row],[EducationLevel]], 1,"Bachelor Type 1", 2,"Bachelor Type 2", 3,"Masters", 4,"PhD")</f>
        <v>PhD</v>
      </c>
      <c r="F834" s="5">
        <v>4</v>
      </c>
      <c r="G834" s="5">
        <v>4</v>
      </c>
      <c r="H834" s="5">
        <v>3</v>
      </c>
      <c r="I834" s="5">
        <v>38.642373754569199</v>
      </c>
      <c r="J834" s="5">
        <v>26</v>
      </c>
      <c r="K834" s="5">
        <v>22</v>
      </c>
      <c r="L834" s="5">
        <v>55</v>
      </c>
      <c r="M834" s="5" t="str">
        <f>_xlfn.SWITCH(recruitment_data3[[#This Row],[RecruitmentStrategy]], 1,"Aggressive", 2,"Moderate", 3,"Conservative")</f>
        <v>Moderate</v>
      </c>
      <c r="N834" s="5">
        <v>2</v>
      </c>
      <c r="O834" s="5" t="str">
        <f>IF(recruitment_data3[[#This Row],[HiringDecision]]=1,"Hired","Rejected")</f>
        <v>Rejected</v>
      </c>
      <c r="P834" s="6">
        <v>0</v>
      </c>
    </row>
    <row r="835" spans="1:16" x14ac:dyDescent="0.25">
      <c r="A835" s="4" t="str">
        <f t="shared" si="13"/>
        <v>C0834</v>
      </c>
      <c r="B835" s="4">
        <v>32</v>
      </c>
      <c r="C835" s="5" t="str">
        <f>IF(recruitment_data3[[#This Row],[Gender]]=1,"Female","Male")</f>
        <v>Female</v>
      </c>
      <c r="D835" s="5">
        <v>1</v>
      </c>
      <c r="E835" s="5" t="str">
        <f>_xlfn.SWITCH(recruitment_data3[[#This Row],[EducationLevel]], 1,"Bachelor Type 1", 2,"Bachelor Type 2", 3,"Masters", 4,"PhD")</f>
        <v>Masters</v>
      </c>
      <c r="F835" s="5">
        <v>3</v>
      </c>
      <c r="G835" s="5">
        <v>2</v>
      </c>
      <c r="H835" s="5">
        <v>1</v>
      </c>
      <c r="I835" s="5">
        <v>26.0016957784804</v>
      </c>
      <c r="J835" s="5">
        <v>74</v>
      </c>
      <c r="K835" s="5">
        <v>9</v>
      </c>
      <c r="L835" s="5">
        <v>31</v>
      </c>
      <c r="M835" s="5" t="str">
        <f>_xlfn.SWITCH(recruitment_data3[[#This Row],[RecruitmentStrategy]], 1,"Aggressive", 2,"Moderate", 3,"Conservative")</f>
        <v>Moderate</v>
      </c>
      <c r="N835" s="5">
        <v>2</v>
      </c>
      <c r="O835" s="5" t="str">
        <f>IF(recruitment_data3[[#This Row],[HiringDecision]]=1,"Hired","Rejected")</f>
        <v>Rejected</v>
      </c>
      <c r="P835" s="6">
        <v>0</v>
      </c>
    </row>
    <row r="836" spans="1:16" x14ac:dyDescent="0.25">
      <c r="A836" s="4" t="str">
        <f t="shared" si="13"/>
        <v>C0835</v>
      </c>
      <c r="B836" s="4">
        <v>27</v>
      </c>
      <c r="C836" s="5" t="str">
        <f>IF(recruitment_data3[[#This Row],[Gender]]=1,"Female","Male")</f>
        <v>Female</v>
      </c>
      <c r="D836" s="5">
        <v>1</v>
      </c>
      <c r="E836" s="5" t="str">
        <f>_xlfn.SWITCH(recruitment_data3[[#This Row],[EducationLevel]], 1,"Bachelor Type 1", 2,"Bachelor Type 2", 3,"Masters", 4,"PhD")</f>
        <v>Bachelor Type 2</v>
      </c>
      <c r="F836" s="5">
        <v>2</v>
      </c>
      <c r="G836" s="5">
        <v>4</v>
      </c>
      <c r="H836" s="5">
        <v>3</v>
      </c>
      <c r="I836" s="5">
        <v>7.3905922180191368</v>
      </c>
      <c r="J836" s="5">
        <v>4</v>
      </c>
      <c r="K836" s="5">
        <v>53</v>
      </c>
      <c r="L836" s="5">
        <v>8</v>
      </c>
      <c r="M836" s="5" t="str">
        <f>_xlfn.SWITCH(recruitment_data3[[#This Row],[RecruitmentStrategy]], 1,"Aggressive", 2,"Moderate", 3,"Conservative")</f>
        <v>Moderate</v>
      </c>
      <c r="N836" s="5">
        <v>2</v>
      </c>
      <c r="O836" s="5" t="str">
        <f>IF(recruitment_data3[[#This Row],[HiringDecision]]=1,"Hired","Rejected")</f>
        <v>Rejected</v>
      </c>
      <c r="P836" s="6">
        <v>0</v>
      </c>
    </row>
    <row r="837" spans="1:16" x14ac:dyDescent="0.25">
      <c r="A837" s="4" t="str">
        <f t="shared" si="13"/>
        <v>C0836</v>
      </c>
      <c r="B837" s="4">
        <v>29</v>
      </c>
      <c r="C837" s="5" t="str">
        <f>IF(recruitment_data3[[#This Row],[Gender]]=1,"Female","Male")</f>
        <v>Male</v>
      </c>
      <c r="D837" s="5">
        <v>0</v>
      </c>
      <c r="E837" s="5" t="str">
        <f>_xlfn.SWITCH(recruitment_data3[[#This Row],[EducationLevel]], 1,"Bachelor Type 1", 2,"Bachelor Type 2", 3,"Masters", 4,"PhD")</f>
        <v>Bachelor Type 2</v>
      </c>
      <c r="F837" s="5">
        <v>2</v>
      </c>
      <c r="G837" s="5">
        <v>11</v>
      </c>
      <c r="H837" s="5">
        <v>4</v>
      </c>
      <c r="I837" s="5">
        <v>30.111872440129318</v>
      </c>
      <c r="J837" s="5">
        <v>70</v>
      </c>
      <c r="K837" s="5">
        <v>40</v>
      </c>
      <c r="L837" s="5">
        <v>62</v>
      </c>
      <c r="M837" s="5" t="str">
        <f>_xlfn.SWITCH(recruitment_data3[[#This Row],[RecruitmentStrategy]], 1,"Aggressive", 2,"Moderate", 3,"Conservative")</f>
        <v>Moderate</v>
      </c>
      <c r="N837" s="5">
        <v>2</v>
      </c>
      <c r="O837" s="5" t="str">
        <f>IF(recruitment_data3[[#This Row],[HiringDecision]]=1,"Hired","Rejected")</f>
        <v>Rejected</v>
      </c>
      <c r="P837" s="6">
        <v>0</v>
      </c>
    </row>
    <row r="838" spans="1:16" x14ac:dyDescent="0.25">
      <c r="A838" s="4" t="str">
        <f t="shared" si="13"/>
        <v>C0837</v>
      </c>
      <c r="B838" s="4">
        <v>28</v>
      </c>
      <c r="C838" s="5" t="str">
        <f>IF(recruitment_data3[[#This Row],[Gender]]=1,"Female","Male")</f>
        <v>Female</v>
      </c>
      <c r="D838" s="5">
        <v>1</v>
      </c>
      <c r="E838" s="5" t="str">
        <f>_xlfn.SWITCH(recruitment_data3[[#This Row],[EducationLevel]], 1,"Bachelor Type 1", 2,"Bachelor Type 2", 3,"Masters", 4,"PhD")</f>
        <v>Bachelor Type 2</v>
      </c>
      <c r="F838" s="5">
        <v>2</v>
      </c>
      <c r="G838" s="5">
        <v>1</v>
      </c>
      <c r="H838" s="5">
        <v>3</v>
      </c>
      <c r="I838" s="5">
        <v>15.993713422203248</v>
      </c>
      <c r="J838" s="5">
        <v>82</v>
      </c>
      <c r="K838" s="5">
        <v>48</v>
      </c>
      <c r="L838" s="5">
        <v>71</v>
      </c>
      <c r="M838" s="5" t="str">
        <f>_xlfn.SWITCH(recruitment_data3[[#This Row],[RecruitmentStrategy]], 1,"Aggressive", 2,"Moderate", 3,"Conservative")</f>
        <v>Aggressive</v>
      </c>
      <c r="N838" s="5">
        <v>1</v>
      </c>
      <c r="O838" s="5" t="str">
        <f>IF(recruitment_data3[[#This Row],[HiringDecision]]=1,"Hired","Rejected")</f>
        <v>Hired</v>
      </c>
      <c r="P838" s="6">
        <v>1</v>
      </c>
    </row>
    <row r="839" spans="1:16" x14ac:dyDescent="0.25">
      <c r="A839" s="4" t="str">
        <f t="shared" si="13"/>
        <v>C0838</v>
      </c>
      <c r="B839" s="4">
        <v>37</v>
      </c>
      <c r="C839" s="5" t="str">
        <f>IF(recruitment_data3[[#This Row],[Gender]]=1,"Female","Male")</f>
        <v>Female</v>
      </c>
      <c r="D839" s="5">
        <v>1</v>
      </c>
      <c r="E839" s="5" t="str">
        <f>_xlfn.SWITCH(recruitment_data3[[#This Row],[EducationLevel]], 1,"Bachelor Type 1", 2,"Bachelor Type 2", 3,"Masters", 4,"PhD")</f>
        <v>Bachelor Type 1</v>
      </c>
      <c r="F839" s="5">
        <v>1</v>
      </c>
      <c r="G839" s="5">
        <v>3</v>
      </c>
      <c r="H839" s="5">
        <v>4</v>
      </c>
      <c r="I839" s="5">
        <v>2.7201604226729117</v>
      </c>
      <c r="J839" s="5">
        <v>56</v>
      </c>
      <c r="K839" s="5">
        <v>16</v>
      </c>
      <c r="L839" s="5">
        <v>77</v>
      </c>
      <c r="M839" s="5" t="str">
        <f>_xlfn.SWITCH(recruitment_data3[[#This Row],[RecruitmentStrategy]], 1,"Aggressive", 2,"Moderate", 3,"Conservative")</f>
        <v>Moderate</v>
      </c>
      <c r="N839" s="5">
        <v>2</v>
      </c>
      <c r="O839" s="5" t="str">
        <f>IF(recruitment_data3[[#This Row],[HiringDecision]]=1,"Hired","Rejected")</f>
        <v>Rejected</v>
      </c>
      <c r="P839" s="6">
        <v>0</v>
      </c>
    </row>
    <row r="840" spans="1:16" x14ac:dyDescent="0.25">
      <c r="A840" s="4" t="str">
        <f t="shared" si="13"/>
        <v>C0839</v>
      </c>
      <c r="B840" s="4">
        <v>46</v>
      </c>
      <c r="C840" s="5" t="str">
        <f>IF(recruitment_data3[[#This Row],[Gender]]=1,"Female","Male")</f>
        <v>Female</v>
      </c>
      <c r="D840" s="5">
        <v>1</v>
      </c>
      <c r="E840" s="5" t="str">
        <f>_xlfn.SWITCH(recruitment_data3[[#This Row],[EducationLevel]], 1,"Bachelor Type 1", 2,"Bachelor Type 2", 3,"Masters", 4,"PhD")</f>
        <v>Bachelor Type 2</v>
      </c>
      <c r="F840" s="5">
        <v>2</v>
      </c>
      <c r="G840" s="5">
        <v>5</v>
      </c>
      <c r="H840" s="5">
        <v>5</v>
      </c>
      <c r="I840" s="5">
        <v>32.746486505887191</v>
      </c>
      <c r="J840" s="5">
        <v>92</v>
      </c>
      <c r="K840" s="5">
        <v>55</v>
      </c>
      <c r="L840" s="5">
        <v>32</v>
      </c>
      <c r="M840" s="5" t="str">
        <f>_xlfn.SWITCH(recruitment_data3[[#This Row],[RecruitmentStrategy]], 1,"Aggressive", 2,"Moderate", 3,"Conservative")</f>
        <v>Moderate</v>
      </c>
      <c r="N840" s="5">
        <v>2</v>
      </c>
      <c r="O840" s="5" t="str">
        <f>IF(recruitment_data3[[#This Row],[HiringDecision]]=1,"Hired","Rejected")</f>
        <v>Rejected</v>
      </c>
      <c r="P840" s="6">
        <v>0</v>
      </c>
    </row>
    <row r="841" spans="1:16" x14ac:dyDescent="0.25">
      <c r="A841" s="4" t="str">
        <f t="shared" si="13"/>
        <v>C0840</v>
      </c>
      <c r="B841" s="4">
        <v>45</v>
      </c>
      <c r="C841" s="5" t="str">
        <f>IF(recruitment_data3[[#This Row],[Gender]]=1,"Female","Male")</f>
        <v>Female</v>
      </c>
      <c r="D841" s="5">
        <v>1</v>
      </c>
      <c r="E841" s="5" t="str">
        <f>_xlfn.SWITCH(recruitment_data3[[#This Row],[EducationLevel]], 1,"Bachelor Type 1", 2,"Bachelor Type 2", 3,"Masters", 4,"PhD")</f>
        <v>PhD</v>
      </c>
      <c r="F841" s="5">
        <v>4</v>
      </c>
      <c r="G841" s="5">
        <v>0</v>
      </c>
      <c r="H841" s="5">
        <v>1</v>
      </c>
      <c r="I841" s="5">
        <v>43.946617466236383</v>
      </c>
      <c r="J841" s="5">
        <v>14</v>
      </c>
      <c r="K841" s="5">
        <v>44</v>
      </c>
      <c r="L841" s="5">
        <v>86</v>
      </c>
      <c r="M841" s="5" t="str">
        <f>_xlfn.SWITCH(recruitment_data3[[#This Row],[RecruitmentStrategy]], 1,"Aggressive", 2,"Moderate", 3,"Conservative")</f>
        <v>Aggressive</v>
      </c>
      <c r="N841" s="5">
        <v>1</v>
      </c>
      <c r="O841" s="5" t="str">
        <f>IF(recruitment_data3[[#This Row],[HiringDecision]]=1,"Hired","Rejected")</f>
        <v>Hired</v>
      </c>
      <c r="P841" s="6">
        <v>1</v>
      </c>
    </row>
    <row r="842" spans="1:16" x14ac:dyDescent="0.25">
      <c r="A842" s="4" t="str">
        <f t="shared" si="13"/>
        <v>C0841</v>
      </c>
      <c r="B842" s="4">
        <v>21</v>
      </c>
      <c r="C842" s="5" t="str">
        <f>IF(recruitment_data3[[#This Row],[Gender]]=1,"Female","Male")</f>
        <v>Male</v>
      </c>
      <c r="D842" s="5">
        <v>0</v>
      </c>
      <c r="E842" s="5" t="str">
        <f>_xlfn.SWITCH(recruitment_data3[[#This Row],[EducationLevel]], 1,"Bachelor Type 1", 2,"Bachelor Type 2", 3,"Masters", 4,"PhD")</f>
        <v>Masters</v>
      </c>
      <c r="F842" s="5">
        <v>3</v>
      </c>
      <c r="G842" s="5">
        <v>9</v>
      </c>
      <c r="H842" s="5">
        <v>5</v>
      </c>
      <c r="I842" s="5">
        <v>18.238488344993709</v>
      </c>
      <c r="J842" s="5">
        <v>98</v>
      </c>
      <c r="K842" s="5">
        <v>29</v>
      </c>
      <c r="L842" s="5">
        <v>20</v>
      </c>
      <c r="M842" s="5" t="str">
        <f>_xlfn.SWITCH(recruitment_data3[[#This Row],[RecruitmentStrategy]], 1,"Aggressive", 2,"Moderate", 3,"Conservative")</f>
        <v>Moderate</v>
      </c>
      <c r="N842" s="5">
        <v>2</v>
      </c>
      <c r="O842" s="5" t="str">
        <f>IF(recruitment_data3[[#This Row],[HiringDecision]]=1,"Hired","Rejected")</f>
        <v>Rejected</v>
      </c>
      <c r="P842" s="6">
        <v>0</v>
      </c>
    </row>
    <row r="843" spans="1:16" x14ac:dyDescent="0.25">
      <c r="A843" s="4" t="str">
        <f t="shared" si="13"/>
        <v>C0842</v>
      </c>
      <c r="B843" s="4">
        <v>24</v>
      </c>
      <c r="C843" s="5" t="str">
        <f>IF(recruitment_data3[[#This Row],[Gender]]=1,"Female","Male")</f>
        <v>Male</v>
      </c>
      <c r="D843" s="5">
        <v>0</v>
      </c>
      <c r="E843" s="5" t="str">
        <f>_xlfn.SWITCH(recruitment_data3[[#This Row],[EducationLevel]], 1,"Bachelor Type 1", 2,"Bachelor Type 2", 3,"Masters", 4,"PhD")</f>
        <v>Bachelor Type 2</v>
      </c>
      <c r="F843" s="5">
        <v>2</v>
      </c>
      <c r="G843" s="5">
        <v>3</v>
      </c>
      <c r="H843" s="5">
        <v>2</v>
      </c>
      <c r="I843" s="5">
        <v>20.514777360638526</v>
      </c>
      <c r="J843" s="5">
        <v>100</v>
      </c>
      <c r="K843" s="5">
        <v>43</v>
      </c>
      <c r="L843" s="5">
        <v>54</v>
      </c>
      <c r="M843" s="5" t="str">
        <f>_xlfn.SWITCH(recruitment_data3[[#This Row],[RecruitmentStrategy]], 1,"Aggressive", 2,"Moderate", 3,"Conservative")</f>
        <v>Conservative</v>
      </c>
      <c r="N843" s="5">
        <v>3</v>
      </c>
      <c r="O843" s="5" t="str">
        <f>IF(recruitment_data3[[#This Row],[HiringDecision]]=1,"Hired","Rejected")</f>
        <v>Rejected</v>
      </c>
      <c r="P843" s="6">
        <v>0</v>
      </c>
    </row>
    <row r="844" spans="1:16" x14ac:dyDescent="0.25">
      <c r="A844" s="4" t="str">
        <f t="shared" si="13"/>
        <v>C0843</v>
      </c>
      <c r="B844" s="4">
        <v>48</v>
      </c>
      <c r="C844" s="5" t="str">
        <f>IF(recruitment_data3[[#This Row],[Gender]]=1,"Female","Male")</f>
        <v>Female</v>
      </c>
      <c r="D844" s="5">
        <v>1</v>
      </c>
      <c r="E844" s="5" t="str">
        <f>_xlfn.SWITCH(recruitment_data3[[#This Row],[EducationLevel]], 1,"Bachelor Type 1", 2,"Bachelor Type 2", 3,"Masters", 4,"PhD")</f>
        <v>Bachelor Type 2</v>
      </c>
      <c r="F844" s="5">
        <v>2</v>
      </c>
      <c r="G844" s="5">
        <v>5</v>
      </c>
      <c r="H844" s="5">
        <v>3</v>
      </c>
      <c r="I844" s="5">
        <v>45.551084148360573</v>
      </c>
      <c r="J844" s="5">
        <v>75</v>
      </c>
      <c r="K844" s="5">
        <v>73</v>
      </c>
      <c r="L844" s="5">
        <v>75</v>
      </c>
      <c r="M844" s="5" t="str">
        <f>_xlfn.SWITCH(recruitment_data3[[#This Row],[RecruitmentStrategy]], 1,"Aggressive", 2,"Moderate", 3,"Conservative")</f>
        <v>Conservative</v>
      </c>
      <c r="N844" s="5">
        <v>3</v>
      </c>
      <c r="O844" s="5" t="str">
        <f>IF(recruitment_data3[[#This Row],[HiringDecision]]=1,"Hired","Rejected")</f>
        <v>Rejected</v>
      </c>
      <c r="P844" s="6">
        <v>0</v>
      </c>
    </row>
    <row r="845" spans="1:16" x14ac:dyDescent="0.25">
      <c r="A845" s="4" t="str">
        <f t="shared" si="13"/>
        <v>C0844</v>
      </c>
      <c r="B845" s="4">
        <v>24</v>
      </c>
      <c r="C845" s="5" t="str">
        <f>IF(recruitment_data3[[#This Row],[Gender]]=1,"Female","Male")</f>
        <v>Female</v>
      </c>
      <c r="D845" s="5">
        <v>1</v>
      </c>
      <c r="E845" s="5" t="str">
        <f>_xlfn.SWITCH(recruitment_data3[[#This Row],[EducationLevel]], 1,"Bachelor Type 1", 2,"Bachelor Type 2", 3,"Masters", 4,"PhD")</f>
        <v>Masters</v>
      </c>
      <c r="F845" s="5">
        <v>3</v>
      </c>
      <c r="G845" s="5">
        <v>8</v>
      </c>
      <c r="H845" s="5">
        <v>2</v>
      </c>
      <c r="I845" s="5">
        <v>41.680440668367794</v>
      </c>
      <c r="J845" s="5">
        <v>29</v>
      </c>
      <c r="K845" s="5">
        <v>54</v>
      </c>
      <c r="L845" s="5">
        <v>56</v>
      </c>
      <c r="M845" s="5" t="str">
        <f>_xlfn.SWITCH(recruitment_data3[[#This Row],[RecruitmentStrategy]], 1,"Aggressive", 2,"Moderate", 3,"Conservative")</f>
        <v>Moderate</v>
      </c>
      <c r="N845" s="5">
        <v>2</v>
      </c>
      <c r="O845" s="5" t="str">
        <f>IF(recruitment_data3[[#This Row],[HiringDecision]]=1,"Hired","Rejected")</f>
        <v>Rejected</v>
      </c>
      <c r="P845" s="6">
        <v>0</v>
      </c>
    </row>
    <row r="846" spans="1:16" x14ac:dyDescent="0.25">
      <c r="A846" s="4" t="str">
        <f t="shared" si="13"/>
        <v>C0845</v>
      </c>
      <c r="B846" s="4">
        <v>25</v>
      </c>
      <c r="C846" s="5" t="str">
        <f>IF(recruitment_data3[[#This Row],[Gender]]=1,"Female","Male")</f>
        <v>Male</v>
      </c>
      <c r="D846" s="5">
        <v>0</v>
      </c>
      <c r="E846" s="5" t="str">
        <f>_xlfn.SWITCH(recruitment_data3[[#This Row],[EducationLevel]], 1,"Bachelor Type 1", 2,"Bachelor Type 2", 3,"Masters", 4,"PhD")</f>
        <v>Bachelor Type 1</v>
      </c>
      <c r="F846" s="5">
        <v>1</v>
      </c>
      <c r="G846" s="5">
        <v>13</v>
      </c>
      <c r="H846" s="5">
        <v>3</v>
      </c>
      <c r="I846" s="5">
        <v>36.747641177588854</v>
      </c>
      <c r="J846" s="5">
        <v>19</v>
      </c>
      <c r="K846" s="5">
        <v>18</v>
      </c>
      <c r="L846" s="5">
        <v>1</v>
      </c>
      <c r="M846" s="5" t="str">
        <f>_xlfn.SWITCH(recruitment_data3[[#This Row],[RecruitmentStrategy]], 1,"Aggressive", 2,"Moderate", 3,"Conservative")</f>
        <v>Moderate</v>
      </c>
      <c r="N846" s="5">
        <v>2</v>
      </c>
      <c r="O846" s="5" t="str">
        <f>IF(recruitment_data3[[#This Row],[HiringDecision]]=1,"Hired","Rejected")</f>
        <v>Rejected</v>
      </c>
      <c r="P846" s="6">
        <v>0</v>
      </c>
    </row>
    <row r="847" spans="1:16" x14ac:dyDescent="0.25">
      <c r="A847" s="4" t="str">
        <f t="shared" si="13"/>
        <v>C0846</v>
      </c>
      <c r="B847" s="4">
        <v>38</v>
      </c>
      <c r="C847" s="5" t="str">
        <f>IF(recruitment_data3[[#This Row],[Gender]]=1,"Female","Male")</f>
        <v>Male</v>
      </c>
      <c r="D847" s="5">
        <v>0</v>
      </c>
      <c r="E847" s="5" t="str">
        <f>_xlfn.SWITCH(recruitment_data3[[#This Row],[EducationLevel]], 1,"Bachelor Type 1", 2,"Bachelor Type 2", 3,"Masters", 4,"PhD")</f>
        <v>Bachelor Type 2</v>
      </c>
      <c r="F847" s="5">
        <v>2</v>
      </c>
      <c r="G847" s="5">
        <v>10</v>
      </c>
      <c r="H847" s="5">
        <v>5</v>
      </c>
      <c r="I847" s="5">
        <v>13.439853187657397</v>
      </c>
      <c r="J847" s="5">
        <v>36</v>
      </c>
      <c r="K847" s="5">
        <v>28</v>
      </c>
      <c r="L847" s="5">
        <v>12</v>
      </c>
      <c r="M847" s="5" t="str">
        <f>_xlfn.SWITCH(recruitment_data3[[#This Row],[RecruitmentStrategy]], 1,"Aggressive", 2,"Moderate", 3,"Conservative")</f>
        <v>Aggressive</v>
      </c>
      <c r="N847" s="5">
        <v>1</v>
      </c>
      <c r="O847" s="5" t="str">
        <f>IF(recruitment_data3[[#This Row],[HiringDecision]]=1,"Hired","Rejected")</f>
        <v>Rejected</v>
      </c>
      <c r="P847" s="6">
        <v>0</v>
      </c>
    </row>
    <row r="848" spans="1:16" x14ac:dyDescent="0.25">
      <c r="A848" s="4" t="str">
        <f t="shared" si="13"/>
        <v>C0847</v>
      </c>
      <c r="B848" s="4">
        <v>27</v>
      </c>
      <c r="C848" s="5" t="str">
        <f>IF(recruitment_data3[[#This Row],[Gender]]=1,"Female","Male")</f>
        <v>Female</v>
      </c>
      <c r="D848" s="5">
        <v>1</v>
      </c>
      <c r="E848" s="5" t="str">
        <f>_xlfn.SWITCH(recruitment_data3[[#This Row],[EducationLevel]], 1,"Bachelor Type 1", 2,"Bachelor Type 2", 3,"Masters", 4,"PhD")</f>
        <v>Masters</v>
      </c>
      <c r="F848" s="5">
        <v>3</v>
      </c>
      <c r="G848" s="5">
        <v>15</v>
      </c>
      <c r="H848" s="5">
        <v>4</v>
      </c>
      <c r="I848" s="5">
        <v>46.510832748332227</v>
      </c>
      <c r="J848" s="5">
        <v>2</v>
      </c>
      <c r="K848" s="5">
        <v>1</v>
      </c>
      <c r="L848" s="5">
        <v>3</v>
      </c>
      <c r="M848" s="5" t="str">
        <f>_xlfn.SWITCH(recruitment_data3[[#This Row],[RecruitmentStrategy]], 1,"Aggressive", 2,"Moderate", 3,"Conservative")</f>
        <v>Moderate</v>
      </c>
      <c r="N848" s="5">
        <v>2</v>
      </c>
      <c r="O848" s="5" t="str">
        <f>IF(recruitment_data3[[#This Row],[HiringDecision]]=1,"Hired","Rejected")</f>
        <v>Rejected</v>
      </c>
      <c r="P848" s="6">
        <v>0</v>
      </c>
    </row>
    <row r="849" spans="1:16" x14ac:dyDescent="0.25">
      <c r="A849" s="4" t="str">
        <f t="shared" si="13"/>
        <v>C0848</v>
      </c>
      <c r="B849" s="4">
        <v>35</v>
      </c>
      <c r="C849" s="5" t="str">
        <f>IF(recruitment_data3[[#This Row],[Gender]]=1,"Female","Male")</f>
        <v>Male</v>
      </c>
      <c r="D849" s="5">
        <v>0</v>
      </c>
      <c r="E849" s="5" t="str">
        <f>_xlfn.SWITCH(recruitment_data3[[#This Row],[EducationLevel]], 1,"Bachelor Type 1", 2,"Bachelor Type 2", 3,"Masters", 4,"PhD")</f>
        <v>Bachelor Type 2</v>
      </c>
      <c r="F849" s="5">
        <v>2</v>
      </c>
      <c r="G849" s="5">
        <v>10</v>
      </c>
      <c r="H849" s="5">
        <v>4</v>
      </c>
      <c r="I849" s="5">
        <v>8.7207878769606495</v>
      </c>
      <c r="J849" s="5">
        <v>72</v>
      </c>
      <c r="K849" s="5">
        <v>35</v>
      </c>
      <c r="L849" s="5">
        <v>83</v>
      </c>
      <c r="M849" s="5" t="str">
        <f>_xlfn.SWITCH(recruitment_data3[[#This Row],[RecruitmentStrategy]], 1,"Aggressive", 2,"Moderate", 3,"Conservative")</f>
        <v>Moderate</v>
      </c>
      <c r="N849" s="5">
        <v>2</v>
      </c>
      <c r="O849" s="5" t="str">
        <f>IF(recruitment_data3[[#This Row],[HiringDecision]]=1,"Hired","Rejected")</f>
        <v>Rejected</v>
      </c>
      <c r="P849" s="6">
        <v>0</v>
      </c>
    </row>
    <row r="850" spans="1:16" x14ac:dyDescent="0.25">
      <c r="A850" s="4" t="str">
        <f t="shared" si="13"/>
        <v>C0849</v>
      </c>
      <c r="B850" s="4">
        <v>32</v>
      </c>
      <c r="C850" s="5" t="str">
        <f>IF(recruitment_data3[[#This Row],[Gender]]=1,"Female","Male")</f>
        <v>Female</v>
      </c>
      <c r="D850" s="5">
        <v>1</v>
      </c>
      <c r="E850" s="5" t="str">
        <f>_xlfn.SWITCH(recruitment_data3[[#This Row],[EducationLevel]], 1,"Bachelor Type 1", 2,"Bachelor Type 2", 3,"Masters", 4,"PhD")</f>
        <v>Bachelor Type 1</v>
      </c>
      <c r="F850" s="5">
        <v>1</v>
      </c>
      <c r="G850" s="5">
        <v>12</v>
      </c>
      <c r="H850" s="5">
        <v>3</v>
      </c>
      <c r="I850" s="5">
        <v>32.338525970861092</v>
      </c>
      <c r="J850" s="5">
        <v>40</v>
      </c>
      <c r="K850" s="5">
        <v>18</v>
      </c>
      <c r="L850" s="5">
        <v>49</v>
      </c>
      <c r="M850" s="5" t="str">
        <f>_xlfn.SWITCH(recruitment_data3[[#This Row],[RecruitmentStrategy]], 1,"Aggressive", 2,"Moderate", 3,"Conservative")</f>
        <v>Moderate</v>
      </c>
      <c r="N850" s="5">
        <v>2</v>
      </c>
      <c r="O850" s="5" t="str">
        <f>IF(recruitment_data3[[#This Row],[HiringDecision]]=1,"Hired","Rejected")</f>
        <v>Rejected</v>
      </c>
      <c r="P850" s="6">
        <v>0</v>
      </c>
    </row>
    <row r="851" spans="1:16" x14ac:dyDescent="0.25">
      <c r="A851" s="4" t="str">
        <f t="shared" si="13"/>
        <v>C0850</v>
      </c>
      <c r="B851" s="4">
        <v>20</v>
      </c>
      <c r="C851" s="5" t="str">
        <f>IF(recruitment_data3[[#This Row],[Gender]]=1,"Female","Male")</f>
        <v>Male</v>
      </c>
      <c r="D851" s="5">
        <v>0</v>
      </c>
      <c r="E851" s="5" t="str">
        <f>_xlfn.SWITCH(recruitment_data3[[#This Row],[EducationLevel]], 1,"Bachelor Type 1", 2,"Bachelor Type 2", 3,"Masters", 4,"PhD")</f>
        <v>Bachelor Type 2</v>
      </c>
      <c r="F851" s="5">
        <v>2</v>
      </c>
      <c r="G851" s="5">
        <v>1</v>
      </c>
      <c r="H851" s="5">
        <v>4</v>
      </c>
      <c r="I851" s="5">
        <v>2.440059027325935</v>
      </c>
      <c r="J851" s="5">
        <v>38</v>
      </c>
      <c r="K851" s="5">
        <v>6</v>
      </c>
      <c r="L851" s="5">
        <v>47</v>
      </c>
      <c r="M851" s="5" t="str">
        <f>_xlfn.SWITCH(recruitment_data3[[#This Row],[RecruitmentStrategy]], 1,"Aggressive", 2,"Moderate", 3,"Conservative")</f>
        <v>Conservative</v>
      </c>
      <c r="N851" s="5">
        <v>3</v>
      </c>
      <c r="O851" s="5" t="str">
        <f>IF(recruitment_data3[[#This Row],[HiringDecision]]=1,"Hired","Rejected")</f>
        <v>Rejected</v>
      </c>
      <c r="P851" s="6">
        <v>0</v>
      </c>
    </row>
    <row r="852" spans="1:16" x14ac:dyDescent="0.25">
      <c r="A852" s="4" t="str">
        <f t="shared" si="13"/>
        <v>C0851</v>
      </c>
      <c r="B852" s="4">
        <v>41</v>
      </c>
      <c r="C852" s="5" t="str">
        <f>IF(recruitment_data3[[#This Row],[Gender]]=1,"Female","Male")</f>
        <v>Male</v>
      </c>
      <c r="D852" s="5">
        <v>0</v>
      </c>
      <c r="E852" s="5" t="str">
        <f>_xlfn.SWITCH(recruitment_data3[[#This Row],[EducationLevel]], 1,"Bachelor Type 1", 2,"Bachelor Type 2", 3,"Masters", 4,"PhD")</f>
        <v>Masters</v>
      </c>
      <c r="F852" s="5">
        <v>3</v>
      </c>
      <c r="G852" s="5">
        <v>10</v>
      </c>
      <c r="H852" s="5">
        <v>5</v>
      </c>
      <c r="I852" s="5">
        <v>33.185990316247292</v>
      </c>
      <c r="J852" s="5">
        <v>25</v>
      </c>
      <c r="K852" s="5">
        <v>25</v>
      </c>
      <c r="L852" s="5">
        <v>77</v>
      </c>
      <c r="M852" s="5" t="str">
        <f>_xlfn.SWITCH(recruitment_data3[[#This Row],[RecruitmentStrategy]], 1,"Aggressive", 2,"Moderate", 3,"Conservative")</f>
        <v>Moderate</v>
      </c>
      <c r="N852" s="5">
        <v>2</v>
      </c>
      <c r="O852" s="5" t="str">
        <f>IF(recruitment_data3[[#This Row],[HiringDecision]]=1,"Hired","Rejected")</f>
        <v>Rejected</v>
      </c>
      <c r="P852" s="6">
        <v>0</v>
      </c>
    </row>
    <row r="853" spans="1:16" x14ac:dyDescent="0.25">
      <c r="A853" s="4" t="str">
        <f t="shared" si="13"/>
        <v>C0852</v>
      </c>
      <c r="B853" s="4">
        <v>39</v>
      </c>
      <c r="C853" s="5" t="str">
        <f>IF(recruitment_data3[[#This Row],[Gender]]=1,"Female","Male")</f>
        <v>Male</v>
      </c>
      <c r="D853" s="5">
        <v>0</v>
      </c>
      <c r="E853" s="5" t="str">
        <f>_xlfn.SWITCH(recruitment_data3[[#This Row],[EducationLevel]], 1,"Bachelor Type 1", 2,"Bachelor Type 2", 3,"Masters", 4,"PhD")</f>
        <v>Bachelor Type 2</v>
      </c>
      <c r="F853" s="5">
        <v>2</v>
      </c>
      <c r="G853" s="5">
        <v>6</v>
      </c>
      <c r="H853" s="5">
        <v>4</v>
      </c>
      <c r="I853" s="5">
        <v>14.857217593667992</v>
      </c>
      <c r="J853" s="5">
        <v>1</v>
      </c>
      <c r="K853" s="5">
        <v>78</v>
      </c>
      <c r="L853" s="5">
        <v>29</v>
      </c>
      <c r="M853" s="5" t="str">
        <f>_xlfn.SWITCH(recruitment_data3[[#This Row],[RecruitmentStrategy]], 1,"Aggressive", 2,"Moderate", 3,"Conservative")</f>
        <v>Aggressive</v>
      </c>
      <c r="N853" s="5">
        <v>1</v>
      </c>
      <c r="O853" s="5" t="str">
        <f>IF(recruitment_data3[[#This Row],[HiringDecision]]=1,"Hired","Rejected")</f>
        <v>Hired</v>
      </c>
      <c r="P853" s="6">
        <v>1</v>
      </c>
    </row>
    <row r="854" spans="1:16" x14ac:dyDescent="0.25">
      <c r="A854" s="4" t="str">
        <f t="shared" si="13"/>
        <v>C0853</v>
      </c>
      <c r="B854" s="4">
        <v>36</v>
      </c>
      <c r="C854" s="5" t="str">
        <f>IF(recruitment_data3[[#This Row],[Gender]]=1,"Female","Male")</f>
        <v>Male</v>
      </c>
      <c r="D854" s="5">
        <v>0</v>
      </c>
      <c r="E854" s="5" t="str">
        <f>_xlfn.SWITCH(recruitment_data3[[#This Row],[EducationLevel]], 1,"Bachelor Type 1", 2,"Bachelor Type 2", 3,"Masters", 4,"PhD")</f>
        <v>Bachelor Type 2</v>
      </c>
      <c r="F854" s="5">
        <v>2</v>
      </c>
      <c r="G854" s="5">
        <v>5</v>
      </c>
      <c r="H854" s="5">
        <v>5</v>
      </c>
      <c r="I854" s="5">
        <v>23.483848859186001</v>
      </c>
      <c r="J854" s="5">
        <v>22</v>
      </c>
      <c r="K854" s="5">
        <v>37</v>
      </c>
      <c r="L854" s="5">
        <v>28</v>
      </c>
      <c r="M854" s="5" t="str">
        <f>_xlfn.SWITCH(recruitment_data3[[#This Row],[RecruitmentStrategy]], 1,"Aggressive", 2,"Moderate", 3,"Conservative")</f>
        <v>Aggressive</v>
      </c>
      <c r="N854" s="5">
        <v>1</v>
      </c>
      <c r="O854" s="5" t="str">
        <f>IF(recruitment_data3[[#This Row],[HiringDecision]]=1,"Hired","Rejected")</f>
        <v>Rejected</v>
      </c>
      <c r="P854" s="6">
        <v>0</v>
      </c>
    </row>
    <row r="855" spans="1:16" x14ac:dyDescent="0.25">
      <c r="A855" s="4" t="str">
        <f t="shared" si="13"/>
        <v>C0854</v>
      </c>
      <c r="B855" s="4">
        <v>50</v>
      </c>
      <c r="C855" s="5" t="str">
        <f>IF(recruitment_data3[[#This Row],[Gender]]=1,"Female","Male")</f>
        <v>Female</v>
      </c>
      <c r="D855" s="5">
        <v>1</v>
      </c>
      <c r="E855" s="5" t="str">
        <f>_xlfn.SWITCH(recruitment_data3[[#This Row],[EducationLevel]], 1,"Bachelor Type 1", 2,"Bachelor Type 2", 3,"Masters", 4,"PhD")</f>
        <v>Bachelor Type 2</v>
      </c>
      <c r="F855" s="5">
        <v>2</v>
      </c>
      <c r="G855" s="5">
        <v>1</v>
      </c>
      <c r="H855" s="5">
        <v>2</v>
      </c>
      <c r="I855" s="5">
        <v>18.263227602852655</v>
      </c>
      <c r="J855" s="5">
        <v>22</v>
      </c>
      <c r="K855" s="5">
        <v>2</v>
      </c>
      <c r="L855" s="5">
        <v>7</v>
      </c>
      <c r="M855" s="5" t="str">
        <f>_xlfn.SWITCH(recruitment_data3[[#This Row],[RecruitmentStrategy]], 1,"Aggressive", 2,"Moderate", 3,"Conservative")</f>
        <v>Moderate</v>
      </c>
      <c r="N855" s="5">
        <v>2</v>
      </c>
      <c r="O855" s="5" t="str">
        <f>IF(recruitment_data3[[#This Row],[HiringDecision]]=1,"Hired","Rejected")</f>
        <v>Rejected</v>
      </c>
      <c r="P855" s="6">
        <v>0</v>
      </c>
    </row>
    <row r="856" spans="1:16" x14ac:dyDescent="0.25">
      <c r="A856" s="4" t="str">
        <f t="shared" si="13"/>
        <v>C0855</v>
      </c>
      <c r="B856" s="4">
        <v>26</v>
      </c>
      <c r="C856" s="5" t="str">
        <f>IF(recruitment_data3[[#This Row],[Gender]]=1,"Female","Male")</f>
        <v>Male</v>
      </c>
      <c r="D856" s="5">
        <v>0</v>
      </c>
      <c r="E856" s="5" t="str">
        <f>_xlfn.SWITCH(recruitment_data3[[#This Row],[EducationLevel]], 1,"Bachelor Type 1", 2,"Bachelor Type 2", 3,"Masters", 4,"PhD")</f>
        <v>Bachelor Type 2</v>
      </c>
      <c r="F856" s="5">
        <v>2</v>
      </c>
      <c r="G856" s="5">
        <v>7</v>
      </c>
      <c r="H856" s="5">
        <v>5</v>
      </c>
      <c r="I856" s="5">
        <v>9.6378378123104955</v>
      </c>
      <c r="J856" s="5">
        <v>84</v>
      </c>
      <c r="K856" s="5">
        <v>79</v>
      </c>
      <c r="L856" s="5">
        <v>11</v>
      </c>
      <c r="M856" s="5" t="str">
        <f>_xlfn.SWITCH(recruitment_data3[[#This Row],[RecruitmentStrategy]], 1,"Aggressive", 2,"Moderate", 3,"Conservative")</f>
        <v>Moderate</v>
      </c>
      <c r="N856" s="5">
        <v>2</v>
      </c>
      <c r="O856" s="5" t="str">
        <f>IF(recruitment_data3[[#This Row],[HiringDecision]]=1,"Hired","Rejected")</f>
        <v>Rejected</v>
      </c>
      <c r="P856" s="6">
        <v>0</v>
      </c>
    </row>
    <row r="857" spans="1:16" x14ac:dyDescent="0.25">
      <c r="A857" s="4" t="str">
        <f t="shared" si="13"/>
        <v>C0856</v>
      </c>
      <c r="B857" s="4">
        <v>44</v>
      </c>
      <c r="C857" s="5" t="str">
        <f>IF(recruitment_data3[[#This Row],[Gender]]=1,"Female","Male")</f>
        <v>Male</v>
      </c>
      <c r="D857" s="5">
        <v>0</v>
      </c>
      <c r="E857" s="5" t="str">
        <f>_xlfn.SWITCH(recruitment_data3[[#This Row],[EducationLevel]], 1,"Bachelor Type 1", 2,"Bachelor Type 2", 3,"Masters", 4,"PhD")</f>
        <v>Bachelor Type 2</v>
      </c>
      <c r="F857" s="5">
        <v>2</v>
      </c>
      <c r="G857" s="5">
        <v>6</v>
      </c>
      <c r="H857" s="5">
        <v>1</v>
      </c>
      <c r="I857" s="5">
        <v>32.099039504693707</v>
      </c>
      <c r="J857" s="5">
        <v>15</v>
      </c>
      <c r="K857" s="5">
        <v>65</v>
      </c>
      <c r="L857" s="5">
        <v>40</v>
      </c>
      <c r="M857" s="5" t="str">
        <f>_xlfn.SWITCH(recruitment_data3[[#This Row],[RecruitmentStrategy]], 1,"Aggressive", 2,"Moderate", 3,"Conservative")</f>
        <v>Conservative</v>
      </c>
      <c r="N857" s="5">
        <v>3</v>
      </c>
      <c r="O857" s="5" t="str">
        <f>IF(recruitment_data3[[#This Row],[HiringDecision]]=1,"Hired","Rejected")</f>
        <v>Rejected</v>
      </c>
      <c r="P857" s="6">
        <v>0</v>
      </c>
    </row>
    <row r="858" spans="1:16" x14ac:dyDescent="0.25">
      <c r="A858" s="4" t="str">
        <f t="shared" si="13"/>
        <v>C0857</v>
      </c>
      <c r="B858" s="4">
        <v>32</v>
      </c>
      <c r="C858" s="5" t="str">
        <f>IF(recruitment_data3[[#This Row],[Gender]]=1,"Female","Male")</f>
        <v>Female</v>
      </c>
      <c r="D858" s="5">
        <v>1</v>
      </c>
      <c r="E858" s="5" t="str">
        <f>_xlfn.SWITCH(recruitment_data3[[#This Row],[EducationLevel]], 1,"Bachelor Type 1", 2,"Bachelor Type 2", 3,"Masters", 4,"PhD")</f>
        <v>Masters</v>
      </c>
      <c r="F858" s="5">
        <v>3</v>
      </c>
      <c r="G858" s="5">
        <v>10</v>
      </c>
      <c r="H858" s="5">
        <v>1</v>
      </c>
      <c r="I858" s="5">
        <v>45.098777757030369</v>
      </c>
      <c r="J858" s="5">
        <v>8</v>
      </c>
      <c r="K858" s="5">
        <v>94</v>
      </c>
      <c r="L858" s="5">
        <v>25</v>
      </c>
      <c r="M858" s="5" t="str">
        <f>_xlfn.SWITCH(recruitment_data3[[#This Row],[RecruitmentStrategy]], 1,"Aggressive", 2,"Moderate", 3,"Conservative")</f>
        <v>Moderate</v>
      </c>
      <c r="N858" s="5">
        <v>2</v>
      </c>
      <c r="O858" s="5" t="str">
        <f>IF(recruitment_data3[[#This Row],[HiringDecision]]=1,"Hired","Rejected")</f>
        <v>Rejected</v>
      </c>
      <c r="P858" s="6">
        <v>0</v>
      </c>
    </row>
    <row r="859" spans="1:16" x14ac:dyDescent="0.25">
      <c r="A859" s="4" t="str">
        <f t="shared" si="13"/>
        <v>C0858</v>
      </c>
      <c r="B859" s="4">
        <v>23</v>
      </c>
      <c r="C859" s="5" t="str">
        <f>IF(recruitment_data3[[#This Row],[Gender]]=1,"Female","Male")</f>
        <v>Male</v>
      </c>
      <c r="D859" s="5">
        <v>0</v>
      </c>
      <c r="E859" s="5" t="str">
        <f>_xlfn.SWITCH(recruitment_data3[[#This Row],[EducationLevel]], 1,"Bachelor Type 1", 2,"Bachelor Type 2", 3,"Masters", 4,"PhD")</f>
        <v>Bachelor Type 1</v>
      </c>
      <c r="F859" s="5">
        <v>1</v>
      </c>
      <c r="G859" s="5">
        <v>4</v>
      </c>
      <c r="H859" s="5">
        <v>1</v>
      </c>
      <c r="I859" s="5">
        <v>48.954212114120168</v>
      </c>
      <c r="J859" s="5">
        <v>12</v>
      </c>
      <c r="K859" s="5">
        <v>91</v>
      </c>
      <c r="L859" s="5">
        <v>49</v>
      </c>
      <c r="M859" s="5" t="str">
        <f>_xlfn.SWITCH(recruitment_data3[[#This Row],[RecruitmentStrategy]], 1,"Aggressive", 2,"Moderate", 3,"Conservative")</f>
        <v>Moderate</v>
      </c>
      <c r="N859" s="5">
        <v>2</v>
      </c>
      <c r="O859" s="5" t="str">
        <f>IF(recruitment_data3[[#This Row],[HiringDecision]]=1,"Hired","Rejected")</f>
        <v>Rejected</v>
      </c>
      <c r="P859" s="6">
        <v>0</v>
      </c>
    </row>
    <row r="860" spans="1:16" x14ac:dyDescent="0.25">
      <c r="A860" s="4" t="str">
        <f t="shared" si="13"/>
        <v>C0859</v>
      </c>
      <c r="B860" s="4">
        <v>23</v>
      </c>
      <c r="C860" s="5" t="str">
        <f>IF(recruitment_data3[[#This Row],[Gender]]=1,"Female","Male")</f>
        <v>Male</v>
      </c>
      <c r="D860" s="5">
        <v>0</v>
      </c>
      <c r="E860" s="5" t="str">
        <f>_xlfn.SWITCH(recruitment_data3[[#This Row],[EducationLevel]], 1,"Bachelor Type 1", 2,"Bachelor Type 2", 3,"Masters", 4,"PhD")</f>
        <v>Masters</v>
      </c>
      <c r="F860" s="5">
        <v>3</v>
      </c>
      <c r="G860" s="5">
        <v>11</v>
      </c>
      <c r="H860" s="5">
        <v>3</v>
      </c>
      <c r="I860" s="5">
        <v>10.617318157695752</v>
      </c>
      <c r="J860" s="5">
        <v>27</v>
      </c>
      <c r="K860" s="5">
        <v>70</v>
      </c>
      <c r="L860" s="5">
        <v>1</v>
      </c>
      <c r="M860" s="5" t="str">
        <f>_xlfn.SWITCH(recruitment_data3[[#This Row],[RecruitmentStrategy]], 1,"Aggressive", 2,"Moderate", 3,"Conservative")</f>
        <v>Moderate</v>
      </c>
      <c r="N860" s="5">
        <v>2</v>
      </c>
      <c r="O860" s="5" t="str">
        <f>IF(recruitment_data3[[#This Row],[HiringDecision]]=1,"Hired","Rejected")</f>
        <v>Rejected</v>
      </c>
      <c r="P860" s="6">
        <v>0</v>
      </c>
    </row>
    <row r="861" spans="1:16" x14ac:dyDescent="0.25">
      <c r="A861" s="4" t="str">
        <f t="shared" si="13"/>
        <v>C0860</v>
      </c>
      <c r="B861" s="4">
        <v>25</v>
      </c>
      <c r="C861" s="5" t="str">
        <f>IF(recruitment_data3[[#This Row],[Gender]]=1,"Female","Male")</f>
        <v>Female</v>
      </c>
      <c r="D861" s="5">
        <v>1</v>
      </c>
      <c r="E861" s="5" t="str">
        <f>_xlfn.SWITCH(recruitment_data3[[#This Row],[EducationLevel]], 1,"Bachelor Type 1", 2,"Bachelor Type 2", 3,"Masters", 4,"PhD")</f>
        <v>Bachelor Type 1</v>
      </c>
      <c r="F861" s="5">
        <v>1</v>
      </c>
      <c r="G861" s="5">
        <v>4</v>
      </c>
      <c r="H861" s="5">
        <v>3</v>
      </c>
      <c r="I861" s="5">
        <v>36.868638703148669</v>
      </c>
      <c r="J861" s="5">
        <v>26</v>
      </c>
      <c r="K861" s="5">
        <v>93</v>
      </c>
      <c r="L861" s="5">
        <v>54</v>
      </c>
      <c r="M861" s="5" t="str">
        <f>_xlfn.SWITCH(recruitment_data3[[#This Row],[RecruitmentStrategy]], 1,"Aggressive", 2,"Moderate", 3,"Conservative")</f>
        <v>Moderate</v>
      </c>
      <c r="N861" s="5">
        <v>2</v>
      </c>
      <c r="O861" s="5" t="str">
        <f>IF(recruitment_data3[[#This Row],[HiringDecision]]=1,"Hired","Rejected")</f>
        <v>Rejected</v>
      </c>
      <c r="P861" s="6">
        <v>0</v>
      </c>
    </row>
    <row r="862" spans="1:16" x14ac:dyDescent="0.25">
      <c r="A862" s="4" t="str">
        <f t="shared" si="13"/>
        <v>C0861</v>
      </c>
      <c r="B862" s="4">
        <v>47</v>
      </c>
      <c r="C862" s="5" t="str">
        <f>IF(recruitment_data3[[#This Row],[Gender]]=1,"Female","Male")</f>
        <v>Male</v>
      </c>
      <c r="D862" s="5">
        <v>0</v>
      </c>
      <c r="E862" s="5" t="str">
        <f>_xlfn.SWITCH(recruitment_data3[[#This Row],[EducationLevel]], 1,"Bachelor Type 1", 2,"Bachelor Type 2", 3,"Masters", 4,"PhD")</f>
        <v>Bachelor Type 2</v>
      </c>
      <c r="F862" s="5">
        <v>2</v>
      </c>
      <c r="G862" s="5">
        <v>6</v>
      </c>
      <c r="H862" s="5">
        <v>3</v>
      </c>
      <c r="I862" s="5">
        <v>34.216968330284111</v>
      </c>
      <c r="J862" s="5">
        <v>50</v>
      </c>
      <c r="K862" s="5">
        <v>42</v>
      </c>
      <c r="L862" s="5">
        <v>55</v>
      </c>
      <c r="M862" s="5" t="str">
        <f>_xlfn.SWITCH(recruitment_data3[[#This Row],[RecruitmentStrategy]], 1,"Aggressive", 2,"Moderate", 3,"Conservative")</f>
        <v>Moderate</v>
      </c>
      <c r="N862" s="5">
        <v>2</v>
      </c>
      <c r="O862" s="5" t="str">
        <f>IF(recruitment_data3[[#This Row],[HiringDecision]]=1,"Hired","Rejected")</f>
        <v>Rejected</v>
      </c>
      <c r="P862" s="6">
        <v>0</v>
      </c>
    </row>
    <row r="863" spans="1:16" x14ac:dyDescent="0.25">
      <c r="A863" s="4" t="str">
        <f t="shared" si="13"/>
        <v>C0862</v>
      </c>
      <c r="B863" s="4">
        <v>50</v>
      </c>
      <c r="C863" s="5" t="str">
        <f>IF(recruitment_data3[[#This Row],[Gender]]=1,"Female","Male")</f>
        <v>Female</v>
      </c>
      <c r="D863" s="5">
        <v>1</v>
      </c>
      <c r="E863" s="5" t="str">
        <f>_xlfn.SWITCH(recruitment_data3[[#This Row],[EducationLevel]], 1,"Bachelor Type 1", 2,"Bachelor Type 2", 3,"Masters", 4,"PhD")</f>
        <v>Bachelor Type 1</v>
      </c>
      <c r="F863" s="5">
        <v>1</v>
      </c>
      <c r="G863" s="5">
        <v>8</v>
      </c>
      <c r="H863" s="5">
        <v>5</v>
      </c>
      <c r="I863" s="5">
        <v>18.168889478728627</v>
      </c>
      <c r="J863" s="5">
        <v>63</v>
      </c>
      <c r="K863" s="5">
        <v>61</v>
      </c>
      <c r="L863" s="5">
        <v>13</v>
      </c>
      <c r="M863" s="5" t="str">
        <f>_xlfn.SWITCH(recruitment_data3[[#This Row],[RecruitmentStrategy]], 1,"Aggressive", 2,"Moderate", 3,"Conservative")</f>
        <v>Moderate</v>
      </c>
      <c r="N863" s="5">
        <v>2</v>
      </c>
      <c r="O863" s="5" t="str">
        <f>IF(recruitment_data3[[#This Row],[HiringDecision]]=1,"Hired","Rejected")</f>
        <v>Rejected</v>
      </c>
      <c r="P863" s="6">
        <v>0</v>
      </c>
    </row>
    <row r="864" spans="1:16" x14ac:dyDescent="0.25">
      <c r="A864" s="4" t="str">
        <f t="shared" si="13"/>
        <v>C0863</v>
      </c>
      <c r="B864" s="4">
        <v>38</v>
      </c>
      <c r="C864" s="5" t="str">
        <f>IF(recruitment_data3[[#This Row],[Gender]]=1,"Female","Male")</f>
        <v>Female</v>
      </c>
      <c r="D864" s="5">
        <v>1</v>
      </c>
      <c r="E864" s="5" t="str">
        <f>_xlfn.SWITCH(recruitment_data3[[#This Row],[EducationLevel]], 1,"Bachelor Type 1", 2,"Bachelor Type 2", 3,"Masters", 4,"PhD")</f>
        <v>Bachelor Type 2</v>
      </c>
      <c r="F864" s="5">
        <v>2</v>
      </c>
      <c r="G864" s="5">
        <v>10</v>
      </c>
      <c r="H864" s="5">
        <v>3</v>
      </c>
      <c r="I864" s="5">
        <v>1.9549599676862919</v>
      </c>
      <c r="J864" s="5">
        <v>51</v>
      </c>
      <c r="K864" s="5">
        <v>70</v>
      </c>
      <c r="L864" s="5">
        <v>5</v>
      </c>
      <c r="M864" s="5" t="str">
        <f>_xlfn.SWITCH(recruitment_data3[[#This Row],[RecruitmentStrategy]], 1,"Aggressive", 2,"Moderate", 3,"Conservative")</f>
        <v>Moderate</v>
      </c>
      <c r="N864" s="5">
        <v>2</v>
      </c>
      <c r="O864" s="5" t="str">
        <f>IF(recruitment_data3[[#This Row],[HiringDecision]]=1,"Hired","Rejected")</f>
        <v>Rejected</v>
      </c>
      <c r="P864" s="6">
        <v>0</v>
      </c>
    </row>
    <row r="865" spans="1:16" x14ac:dyDescent="0.25">
      <c r="A865" s="4" t="str">
        <f t="shared" si="13"/>
        <v>C0864</v>
      </c>
      <c r="B865" s="4">
        <v>48</v>
      </c>
      <c r="C865" s="5" t="str">
        <f>IF(recruitment_data3[[#This Row],[Gender]]=1,"Female","Male")</f>
        <v>Female</v>
      </c>
      <c r="D865" s="5">
        <v>1</v>
      </c>
      <c r="E865" s="5" t="str">
        <f>_xlfn.SWITCH(recruitment_data3[[#This Row],[EducationLevel]], 1,"Bachelor Type 1", 2,"Bachelor Type 2", 3,"Masters", 4,"PhD")</f>
        <v>Bachelor Type 2</v>
      </c>
      <c r="F865" s="5">
        <v>2</v>
      </c>
      <c r="G865" s="5">
        <v>14</v>
      </c>
      <c r="H865" s="5">
        <v>2</v>
      </c>
      <c r="I865" s="5">
        <v>35.489562365643309</v>
      </c>
      <c r="J865" s="5">
        <v>80</v>
      </c>
      <c r="K865" s="5">
        <v>99</v>
      </c>
      <c r="L865" s="5">
        <v>94</v>
      </c>
      <c r="M865" s="5" t="str">
        <f>_xlfn.SWITCH(recruitment_data3[[#This Row],[RecruitmentStrategy]], 1,"Aggressive", 2,"Moderate", 3,"Conservative")</f>
        <v>Aggressive</v>
      </c>
      <c r="N865" s="5">
        <v>1</v>
      </c>
      <c r="O865" s="5" t="str">
        <f>IF(recruitment_data3[[#This Row],[HiringDecision]]=1,"Hired","Rejected")</f>
        <v>Hired</v>
      </c>
      <c r="P865" s="6">
        <v>1</v>
      </c>
    </row>
    <row r="866" spans="1:16" x14ac:dyDescent="0.25">
      <c r="A866" s="4" t="str">
        <f t="shared" si="13"/>
        <v>C0865</v>
      </c>
      <c r="B866" s="4">
        <v>31</v>
      </c>
      <c r="C866" s="5" t="str">
        <f>IF(recruitment_data3[[#This Row],[Gender]]=1,"Female","Male")</f>
        <v>Female</v>
      </c>
      <c r="D866" s="5">
        <v>1</v>
      </c>
      <c r="E866" s="5" t="str">
        <f>_xlfn.SWITCH(recruitment_data3[[#This Row],[EducationLevel]], 1,"Bachelor Type 1", 2,"Bachelor Type 2", 3,"Masters", 4,"PhD")</f>
        <v>Bachelor Type 2</v>
      </c>
      <c r="F866" s="5">
        <v>2</v>
      </c>
      <c r="G866" s="5">
        <v>8</v>
      </c>
      <c r="H866" s="5">
        <v>1</v>
      </c>
      <c r="I866" s="5">
        <v>48.274743027975006</v>
      </c>
      <c r="J866" s="5">
        <v>37</v>
      </c>
      <c r="K866" s="5">
        <v>92</v>
      </c>
      <c r="L866" s="5">
        <v>80</v>
      </c>
      <c r="M866" s="5" t="str">
        <f>_xlfn.SWITCH(recruitment_data3[[#This Row],[RecruitmentStrategy]], 1,"Aggressive", 2,"Moderate", 3,"Conservative")</f>
        <v>Conservative</v>
      </c>
      <c r="N866" s="5">
        <v>3</v>
      </c>
      <c r="O866" s="5" t="str">
        <f>IF(recruitment_data3[[#This Row],[HiringDecision]]=1,"Hired","Rejected")</f>
        <v>Rejected</v>
      </c>
      <c r="P866" s="6">
        <v>0</v>
      </c>
    </row>
    <row r="867" spans="1:16" x14ac:dyDescent="0.25">
      <c r="A867" s="4" t="str">
        <f t="shared" si="13"/>
        <v>C0866</v>
      </c>
      <c r="B867" s="4">
        <v>41</v>
      </c>
      <c r="C867" s="5" t="str">
        <f>IF(recruitment_data3[[#This Row],[Gender]]=1,"Female","Male")</f>
        <v>Male</v>
      </c>
      <c r="D867" s="5">
        <v>0</v>
      </c>
      <c r="E867" s="5" t="str">
        <f>_xlfn.SWITCH(recruitment_data3[[#This Row],[EducationLevel]], 1,"Bachelor Type 1", 2,"Bachelor Type 2", 3,"Masters", 4,"PhD")</f>
        <v>Bachelor Type 1</v>
      </c>
      <c r="F867" s="5">
        <v>1</v>
      </c>
      <c r="G867" s="5">
        <v>8</v>
      </c>
      <c r="H867" s="5">
        <v>5</v>
      </c>
      <c r="I867" s="5">
        <v>32.606006095782568</v>
      </c>
      <c r="J867" s="5">
        <v>99</v>
      </c>
      <c r="K867" s="5">
        <v>23</v>
      </c>
      <c r="L867" s="5">
        <v>88</v>
      </c>
      <c r="M867" s="5" t="str">
        <f>_xlfn.SWITCH(recruitment_data3[[#This Row],[RecruitmentStrategy]], 1,"Aggressive", 2,"Moderate", 3,"Conservative")</f>
        <v>Moderate</v>
      </c>
      <c r="N867" s="5">
        <v>2</v>
      </c>
      <c r="O867" s="5" t="str">
        <f>IF(recruitment_data3[[#This Row],[HiringDecision]]=1,"Hired","Rejected")</f>
        <v>Rejected</v>
      </c>
      <c r="P867" s="6">
        <v>0</v>
      </c>
    </row>
    <row r="868" spans="1:16" x14ac:dyDescent="0.25">
      <c r="A868" s="4" t="str">
        <f t="shared" si="13"/>
        <v>C0867</v>
      </c>
      <c r="B868" s="4">
        <v>26</v>
      </c>
      <c r="C868" s="5" t="str">
        <f>IF(recruitment_data3[[#This Row],[Gender]]=1,"Female","Male")</f>
        <v>Female</v>
      </c>
      <c r="D868" s="5">
        <v>1</v>
      </c>
      <c r="E868" s="5" t="str">
        <f>_xlfn.SWITCH(recruitment_data3[[#This Row],[EducationLevel]], 1,"Bachelor Type 1", 2,"Bachelor Type 2", 3,"Masters", 4,"PhD")</f>
        <v>Bachelor Type 2</v>
      </c>
      <c r="F868" s="5">
        <v>2</v>
      </c>
      <c r="G868" s="5">
        <v>5</v>
      </c>
      <c r="H868" s="5">
        <v>1</v>
      </c>
      <c r="I868" s="5">
        <v>22.764636209381706</v>
      </c>
      <c r="J868" s="5">
        <v>64</v>
      </c>
      <c r="K868" s="5">
        <v>38</v>
      </c>
      <c r="L868" s="5">
        <v>60</v>
      </c>
      <c r="M868" s="5" t="str">
        <f>_xlfn.SWITCH(recruitment_data3[[#This Row],[RecruitmentStrategy]], 1,"Aggressive", 2,"Moderate", 3,"Conservative")</f>
        <v>Aggressive</v>
      </c>
      <c r="N868" s="5">
        <v>1</v>
      </c>
      <c r="O868" s="5" t="str">
        <f>IF(recruitment_data3[[#This Row],[HiringDecision]]=1,"Hired","Rejected")</f>
        <v>Rejected</v>
      </c>
      <c r="P868" s="6">
        <v>0</v>
      </c>
    </row>
    <row r="869" spans="1:16" x14ac:dyDescent="0.25">
      <c r="A869" s="4" t="str">
        <f t="shared" si="13"/>
        <v>C0868</v>
      </c>
      <c r="B869" s="4">
        <v>46</v>
      </c>
      <c r="C869" s="5" t="str">
        <f>IF(recruitment_data3[[#This Row],[Gender]]=1,"Female","Male")</f>
        <v>Male</v>
      </c>
      <c r="D869" s="5">
        <v>0</v>
      </c>
      <c r="E869" s="5" t="str">
        <f>_xlfn.SWITCH(recruitment_data3[[#This Row],[EducationLevel]], 1,"Bachelor Type 1", 2,"Bachelor Type 2", 3,"Masters", 4,"PhD")</f>
        <v>Bachelor Type 1</v>
      </c>
      <c r="F869" s="5">
        <v>1</v>
      </c>
      <c r="G869" s="5">
        <v>9</v>
      </c>
      <c r="H869" s="5">
        <v>3</v>
      </c>
      <c r="I869" s="5">
        <v>27.257694705581418</v>
      </c>
      <c r="J869" s="5">
        <v>17</v>
      </c>
      <c r="K869" s="5">
        <v>67</v>
      </c>
      <c r="L869" s="5">
        <v>95</v>
      </c>
      <c r="M869" s="5" t="str">
        <f>_xlfn.SWITCH(recruitment_data3[[#This Row],[RecruitmentStrategy]], 1,"Aggressive", 2,"Moderate", 3,"Conservative")</f>
        <v>Aggressive</v>
      </c>
      <c r="N869" s="5">
        <v>1</v>
      </c>
      <c r="O869" s="5" t="str">
        <f>IF(recruitment_data3[[#This Row],[HiringDecision]]=1,"Hired","Rejected")</f>
        <v>Hired</v>
      </c>
      <c r="P869" s="6">
        <v>1</v>
      </c>
    </row>
    <row r="870" spans="1:16" x14ac:dyDescent="0.25">
      <c r="A870" s="4" t="str">
        <f t="shared" si="13"/>
        <v>C0869</v>
      </c>
      <c r="B870" s="4">
        <v>29</v>
      </c>
      <c r="C870" s="5" t="str">
        <f>IF(recruitment_data3[[#This Row],[Gender]]=1,"Female","Male")</f>
        <v>Male</v>
      </c>
      <c r="D870" s="5">
        <v>0</v>
      </c>
      <c r="E870" s="5" t="str">
        <f>_xlfn.SWITCH(recruitment_data3[[#This Row],[EducationLevel]], 1,"Bachelor Type 1", 2,"Bachelor Type 2", 3,"Masters", 4,"PhD")</f>
        <v>Masters</v>
      </c>
      <c r="F870" s="5">
        <v>3</v>
      </c>
      <c r="G870" s="5">
        <v>5</v>
      </c>
      <c r="H870" s="5">
        <v>5</v>
      </c>
      <c r="I870" s="5">
        <v>10.981440382995876</v>
      </c>
      <c r="J870" s="5">
        <v>62</v>
      </c>
      <c r="K870" s="5">
        <v>92</v>
      </c>
      <c r="L870" s="5">
        <v>11</v>
      </c>
      <c r="M870" s="5" t="str">
        <f>_xlfn.SWITCH(recruitment_data3[[#This Row],[RecruitmentStrategy]], 1,"Aggressive", 2,"Moderate", 3,"Conservative")</f>
        <v>Aggressive</v>
      </c>
      <c r="N870" s="5">
        <v>1</v>
      </c>
      <c r="O870" s="5" t="str">
        <f>IF(recruitment_data3[[#This Row],[HiringDecision]]=1,"Hired","Rejected")</f>
        <v>Hired</v>
      </c>
      <c r="P870" s="6">
        <v>1</v>
      </c>
    </row>
    <row r="871" spans="1:16" x14ac:dyDescent="0.25">
      <c r="A871" s="4" t="str">
        <f t="shared" si="13"/>
        <v>C0870</v>
      </c>
      <c r="B871" s="4">
        <v>45</v>
      </c>
      <c r="C871" s="5" t="str">
        <f>IF(recruitment_data3[[#This Row],[Gender]]=1,"Female","Male")</f>
        <v>Male</v>
      </c>
      <c r="D871" s="5">
        <v>0</v>
      </c>
      <c r="E871" s="5" t="str">
        <f>_xlfn.SWITCH(recruitment_data3[[#This Row],[EducationLevel]], 1,"Bachelor Type 1", 2,"Bachelor Type 2", 3,"Masters", 4,"PhD")</f>
        <v>PhD</v>
      </c>
      <c r="F871" s="5">
        <v>4</v>
      </c>
      <c r="G871" s="5">
        <v>2</v>
      </c>
      <c r="H871" s="5">
        <v>4</v>
      </c>
      <c r="I871" s="5">
        <v>38.527208187686881</v>
      </c>
      <c r="J871" s="5">
        <v>50</v>
      </c>
      <c r="K871" s="5">
        <v>43</v>
      </c>
      <c r="L871" s="5">
        <v>12</v>
      </c>
      <c r="M871" s="5" t="str">
        <f>_xlfn.SWITCH(recruitment_data3[[#This Row],[RecruitmentStrategy]], 1,"Aggressive", 2,"Moderate", 3,"Conservative")</f>
        <v>Moderate</v>
      </c>
      <c r="N871" s="5">
        <v>2</v>
      </c>
      <c r="O871" s="5" t="str">
        <f>IF(recruitment_data3[[#This Row],[HiringDecision]]=1,"Hired","Rejected")</f>
        <v>Rejected</v>
      </c>
      <c r="P871" s="6">
        <v>0</v>
      </c>
    </row>
    <row r="872" spans="1:16" x14ac:dyDescent="0.25">
      <c r="A872" s="4" t="str">
        <f t="shared" si="13"/>
        <v>C0871</v>
      </c>
      <c r="B872" s="4">
        <v>38</v>
      </c>
      <c r="C872" s="5" t="str">
        <f>IF(recruitment_data3[[#This Row],[Gender]]=1,"Female","Male")</f>
        <v>Male</v>
      </c>
      <c r="D872" s="5">
        <v>0</v>
      </c>
      <c r="E872" s="5" t="str">
        <f>_xlfn.SWITCH(recruitment_data3[[#This Row],[EducationLevel]], 1,"Bachelor Type 1", 2,"Bachelor Type 2", 3,"Masters", 4,"PhD")</f>
        <v>Bachelor Type 2</v>
      </c>
      <c r="F872" s="5">
        <v>2</v>
      </c>
      <c r="G872" s="5">
        <v>0</v>
      </c>
      <c r="H872" s="5">
        <v>2</v>
      </c>
      <c r="I872" s="5">
        <v>38.320991500492454</v>
      </c>
      <c r="J872" s="5">
        <v>8</v>
      </c>
      <c r="K872" s="5">
        <v>4</v>
      </c>
      <c r="L872" s="5">
        <v>18</v>
      </c>
      <c r="M872" s="5" t="str">
        <f>_xlfn.SWITCH(recruitment_data3[[#This Row],[RecruitmentStrategy]], 1,"Aggressive", 2,"Moderate", 3,"Conservative")</f>
        <v>Aggressive</v>
      </c>
      <c r="N872" s="5">
        <v>1</v>
      </c>
      <c r="O872" s="5" t="str">
        <f>IF(recruitment_data3[[#This Row],[HiringDecision]]=1,"Hired","Rejected")</f>
        <v>Rejected</v>
      </c>
      <c r="P872" s="6">
        <v>0</v>
      </c>
    </row>
    <row r="873" spans="1:16" x14ac:dyDescent="0.25">
      <c r="A873" s="4" t="str">
        <f t="shared" si="13"/>
        <v>C0872</v>
      </c>
      <c r="B873" s="4">
        <v>26</v>
      </c>
      <c r="C873" s="5" t="str">
        <f>IF(recruitment_data3[[#This Row],[Gender]]=1,"Female","Male")</f>
        <v>Male</v>
      </c>
      <c r="D873" s="5">
        <v>0</v>
      </c>
      <c r="E873" s="5" t="str">
        <f>_xlfn.SWITCH(recruitment_data3[[#This Row],[EducationLevel]], 1,"Bachelor Type 1", 2,"Bachelor Type 2", 3,"Masters", 4,"PhD")</f>
        <v>Bachelor Type 2</v>
      </c>
      <c r="F873" s="5">
        <v>2</v>
      </c>
      <c r="G873" s="5">
        <v>15</v>
      </c>
      <c r="H873" s="5">
        <v>3</v>
      </c>
      <c r="I873" s="5">
        <v>8.2758650193712473</v>
      </c>
      <c r="J873" s="5">
        <v>12</v>
      </c>
      <c r="K873" s="5">
        <v>54</v>
      </c>
      <c r="L873" s="5">
        <v>43</v>
      </c>
      <c r="M873" s="5" t="str">
        <f>_xlfn.SWITCH(recruitment_data3[[#This Row],[RecruitmentStrategy]], 1,"Aggressive", 2,"Moderate", 3,"Conservative")</f>
        <v>Aggressive</v>
      </c>
      <c r="N873" s="5">
        <v>1</v>
      </c>
      <c r="O873" s="5" t="str">
        <f>IF(recruitment_data3[[#This Row],[HiringDecision]]=1,"Hired","Rejected")</f>
        <v>Hired</v>
      </c>
      <c r="P873" s="6">
        <v>1</v>
      </c>
    </row>
    <row r="874" spans="1:16" x14ac:dyDescent="0.25">
      <c r="A874" s="4" t="str">
        <f t="shared" si="13"/>
        <v>C0873</v>
      </c>
      <c r="B874" s="4">
        <v>49</v>
      </c>
      <c r="C874" s="5" t="str">
        <f>IF(recruitment_data3[[#This Row],[Gender]]=1,"Female","Male")</f>
        <v>Male</v>
      </c>
      <c r="D874" s="5">
        <v>0</v>
      </c>
      <c r="E874" s="5" t="str">
        <f>_xlfn.SWITCH(recruitment_data3[[#This Row],[EducationLevel]], 1,"Bachelor Type 1", 2,"Bachelor Type 2", 3,"Masters", 4,"PhD")</f>
        <v>Bachelor Type 2</v>
      </c>
      <c r="F874" s="5">
        <v>2</v>
      </c>
      <c r="G874" s="5">
        <v>6</v>
      </c>
      <c r="H874" s="5">
        <v>3</v>
      </c>
      <c r="I874" s="5">
        <v>44.898919124982953</v>
      </c>
      <c r="J874" s="5">
        <v>39</v>
      </c>
      <c r="K874" s="5">
        <v>92</v>
      </c>
      <c r="L874" s="5">
        <v>88</v>
      </c>
      <c r="M874" s="5" t="str">
        <f>_xlfn.SWITCH(recruitment_data3[[#This Row],[RecruitmentStrategy]], 1,"Aggressive", 2,"Moderate", 3,"Conservative")</f>
        <v>Moderate</v>
      </c>
      <c r="N874" s="5">
        <v>2</v>
      </c>
      <c r="O874" s="5" t="str">
        <f>IF(recruitment_data3[[#This Row],[HiringDecision]]=1,"Hired","Rejected")</f>
        <v>Rejected</v>
      </c>
      <c r="P874" s="6">
        <v>0</v>
      </c>
    </row>
    <row r="875" spans="1:16" x14ac:dyDescent="0.25">
      <c r="A875" s="4" t="str">
        <f t="shared" si="13"/>
        <v>C0874</v>
      </c>
      <c r="B875" s="4">
        <v>22</v>
      </c>
      <c r="C875" s="5" t="str">
        <f>IF(recruitment_data3[[#This Row],[Gender]]=1,"Female","Male")</f>
        <v>Male</v>
      </c>
      <c r="D875" s="5">
        <v>0</v>
      </c>
      <c r="E875" s="5" t="str">
        <f>_xlfn.SWITCH(recruitment_data3[[#This Row],[EducationLevel]], 1,"Bachelor Type 1", 2,"Bachelor Type 2", 3,"Masters", 4,"PhD")</f>
        <v>Bachelor Type 1</v>
      </c>
      <c r="F875" s="5">
        <v>1</v>
      </c>
      <c r="G875" s="5">
        <v>3</v>
      </c>
      <c r="H875" s="5">
        <v>2</v>
      </c>
      <c r="I875" s="5">
        <v>14.459486973665264</v>
      </c>
      <c r="J875" s="5">
        <v>54</v>
      </c>
      <c r="K875" s="5">
        <v>29</v>
      </c>
      <c r="L875" s="5">
        <v>94</v>
      </c>
      <c r="M875" s="5" t="str">
        <f>_xlfn.SWITCH(recruitment_data3[[#This Row],[RecruitmentStrategy]], 1,"Aggressive", 2,"Moderate", 3,"Conservative")</f>
        <v>Moderate</v>
      </c>
      <c r="N875" s="5">
        <v>2</v>
      </c>
      <c r="O875" s="5" t="str">
        <f>IF(recruitment_data3[[#This Row],[HiringDecision]]=1,"Hired","Rejected")</f>
        <v>Rejected</v>
      </c>
      <c r="P875" s="6">
        <v>0</v>
      </c>
    </row>
    <row r="876" spans="1:16" x14ac:dyDescent="0.25">
      <c r="A876" s="4" t="str">
        <f t="shared" si="13"/>
        <v>C0875</v>
      </c>
      <c r="B876" s="4">
        <v>32</v>
      </c>
      <c r="C876" s="5" t="str">
        <f>IF(recruitment_data3[[#This Row],[Gender]]=1,"Female","Male")</f>
        <v>Male</v>
      </c>
      <c r="D876" s="5">
        <v>0</v>
      </c>
      <c r="E876" s="5" t="str">
        <f>_xlfn.SWITCH(recruitment_data3[[#This Row],[EducationLevel]], 1,"Bachelor Type 1", 2,"Bachelor Type 2", 3,"Masters", 4,"PhD")</f>
        <v>Bachelor Type 2</v>
      </c>
      <c r="F876" s="5">
        <v>2</v>
      </c>
      <c r="G876" s="5">
        <v>0</v>
      </c>
      <c r="H876" s="5">
        <v>2</v>
      </c>
      <c r="I876" s="5">
        <v>50.112803046830741</v>
      </c>
      <c r="J876" s="5">
        <v>78</v>
      </c>
      <c r="K876" s="5">
        <v>28</v>
      </c>
      <c r="L876" s="5">
        <v>58</v>
      </c>
      <c r="M876" s="5" t="str">
        <f>_xlfn.SWITCH(recruitment_data3[[#This Row],[RecruitmentStrategy]], 1,"Aggressive", 2,"Moderate", 3,"Conservative")</f>
        <v>Aggressive</v>
      </c>
      <c r="N876" s="5">
        <v>1</v>
      </c>
      <c r="O876" s="5" t="str">
        <f>IF(recruitment_data3[[#This Row],[HiringDecision]]=1,"Hired","Rejected")</f>
        <v>Rejected</v>
      </c>
      <c r="P876" s="6">
        <v>0</v>
      </c>
    </row>
    <row r="877" spans="1:16" x14ac:dyDescent="0.25">
      <c r="A877" s="4" t="str">
        <f t="shared" si="13"/>
        <v>C0876</v>
      </c>
      <c r="B877" s="4">
        <v>32</v>
      </c>
      <c r="C877" s="5" t="str">
        <f>IF(recruitment_data3[[#This Row],[Gender]]=1,"Female","Male")</f>
        <v>Male</v>
      </c>
      <c r="D877" s="5">
        <v>0</v>
      </c>
      <c r="E877" s="5" t="str">
        <f>_xlfn.SWITCH(recruitment_data3[[#This Row],[EducationLevel]], 1,"Bachelor Type 1", 2,"Bachelor Type 2", 3,"Masters", 4,"PhD")</f>
        <v>Masters</v>
      </c>
      <c r="F877" s="5">
        <v>3</v>
      </c>
      <c r="G877" s="5">
        <v>14</v>
      </c>
      <c r="H877" s="5">
        <v>4</v>
      </c>
      <c r="I877" s="5">
        <v>20.145150701862292</v>
      </c>
      <c r="J877" s="5">
        <v>42</v>
      </c>
      <c r="K877" s="5">
        <v>25</v>
      </c>
      <c r="L877" s="5">
        <v>36</v>
      </c>
      <c r="M877" s="5" t="str">
        <f>_xlfn.SWITCH(recruitment_data3[[#This Row],[RecruitmentStrategy]], 1,"Aggressive", 2,"Moderate", 3,"Conservative")</f>
        <v>Moderate</v>
      </c>
      <c r="N877" s="5">
        <v>2</v>
      </c>
      <c r="O877" s="5" t="str">
        <f>IF(recruitment_data3[[#This Row],[HiringDecision]]=1,"Hired","Rejected")</f>
        <v>Rejected</v>
      </c>
      <c r="P877" s="6">
        <v>0</v>
      </c>
    </row>
    <row r="878" spans="1:16" x14ac:dyDescent="0.25">
      <c r="A878" s="4" t="str">
        <f t="shared" si="13"/>
        <v>C0877</v>
      </c>
      <c r="B878" s="4">
        <v>37</v>
      </c>
      <c r="C878" s="5" t="str">
        <f>IF(recruitment_data3[[#This Row],[Gender]]=1,"Female","Male")</f>
        <v>Male</v>
      </c>
      <c r="D878" s="5">
        <v>0</v>
      </c>
      <c r="E878" s="5" t="str">
        <f>_xlfn.SWITCH(recruitment_data3[[#This Row],[EducationLevel]], 1,"Bachelor Type 1", 2,"Bachelor Type 2", 3,"Masters", 4,"PhD")</f>
        <v>Bachelor Type 2</v>
      </c>
      <c r="F878" s="5">
        <v>2</v>
      </c>
      <c r="G878" s="5">
        <v>7</v>
      </c>
      <c r="H878" s="5">
        <v>3</v>
      </c>
      <c r="I878" s="5">
        <v>9.894202936724982</v>
      </c>
      <c r="J878" s="5">
        <v>43</v>
      </c>
      <c r="K878" s="5">
        <v>82</v>
      </c>
      <c r="L878" s="5">
        <v>24</v>
      </c>
      <c r="M878" s="5" t="str">
        <f>_xlfn.SWITCH(recruitment_data3[[#This Row],[RecruitmentStrategy]], 1,"Aggressive", 2,"Moderate", 3,"Conservative")</f>
        <v>Moderate</v>
      </c>
      <c r="N878" s="5">
        <v>2</v>
      </c>
      <c r="O878" s="5" t="str">
        <f>IF(recruitment_data3[[#This Row],[HiringDecision]]=1,"Hired","Rejected")</f>
        <v>Rejected</v>
      </c>
      <c r="P878" s="6">
        <v>0</v>
      </c>
    </row>
    <row r="879" spans="1:16" x14ac:dyDescent="0.25">
      <c r="A879" s="4" t="str">
        <f t="shared" si="13"/>
        <v>C0878</v>
      </c>
      <c r="B879" s="4">
        <v>47</v>
      </c>
      <c r="C879" s="5" t="str">
        <f>IF(recruitment_data3[[#This Row],[Gender]]=1,"Female","Male")</f>
        <v>Female</v>
      </c>
      <c r="D879" s="5">
        <v>1</v>
      </c>
      <c r="E879" s="5" t="str">
        <f>_xlfn.SWITCH(recruitment_data3[[#This Row],[EducationLevel]], 1,"Bachelor Type 1", 2,"Bachelor Type 2", 3,"Masters", 4,"PhD")</f>
        <v>Bachelor Type 1</v>
      </c>
      <c r="F879" s="5">
        <v>1</v>
      </c>
      <c r="G879" s="5">
        <v>11</v>
      </c>
      <c r="H879" s="5">
        <v>3</v>
      </c>
      <c r="I879" s="5">
        <v>18.586005567282616</v>
      </c>
      <c r="J879" s="5">
        <v>67</v>
      </c>
      <c r="K879" s="5">
        <v>25</v>
      </c>
      <c r="L879" s="5">
        <v>15</v>
      </c>
      <c r="M879" s="5" t="str">
        <f>_xlfn.SWITCH(recruitment_data3[[#This Row],[RecruitmentStrategy]], 1,"Aggressive", 2,"Moderate", 3,"Conservative")</f>
        <v>Conservative</v>
      </c>
      <c r="N879" s="5">
        <v>3</v>
      </c>
      <c r="O879" s="5" t="str">
        <f>IF(recruitment_data3[[#This Row],[HiringDecision]]=1,"Hired","Rejected")</f>
        <v>Rejected</v>
      </c>
      <c r="P879" s="6">
        <v>0</v>
      </c>
    </row>
    <row r="880" spans="1:16" x14ac:dyDescent="0.25">
      <c r="A880" s="4" t="str">
        <f t="shared" si="13"/>
        <v>C0879</v>
      </c>
      <c r="B880" s="4">
        <v>49</v>
      </c>
      <c r="C880" s="5" t="str">
        <f>IF(recruitment_data3[[#This Row],[Gender]]=1,"Female","Male")</f>
        <v>Female</v>
      </c>
      <c r="D880" s="5">
        <v>1</v>
      </c>
      <c r="E880" s="5" t="str">
        <f>_xlfn.SWITCH(recruitment_data3[[#This Row],[EducationLevel]], 1,"Bachelor Type 1", 2,"Bachelor Type 2", 3,"Masters", 4,"PhD")</f>
        <v>Masters</v>
      </c>
      <c r="F880" s="5">
        <v>3</v>
      </c>
      <c r="G880" s="5">
        <v>5</v>
      </c>
      <c r="H880" s="5">
        <v>1</v>
      </c>
      <c r="I880" s="5">
        <v>23.009016434859657</v>
      </c>
      <c r="J880" s="5">
        <v>32</v>
      </c>
      <c r="K880" s="5">
        <v>36</v>
      </c>
      <c r="L880" s="5">
        <v>37</v>
      </c>
      <c r="M880" s="5" t="str">
        <f>_xlfn.SWITCH(recruitment_data3[[#This Row],[RecruitmentStrategy]], 1,"Aggressive", 2,"Moderate", 3,"Conservative")</f>
        <v>Moderate</v>
      </c>
      <c r="N880" s="5">
        <v>2</v>
      </c>
      <c r="O880" s="5" t="str">
        <f>IF(recruitment_data3[[#This Row],[HiringDecision]]=1,"Hired","Rejected")</f>
        <v>Rejected</v>
      </c>
      <c r="P880" s="6">
        <v>0</v>
      </c>
    </row>
    <row r="881" spans="1:16" x14ac:dyDescent="0.25">
      <c r="A881" s="4" t="str">
        <f t="shared" si="13"/>
        <v>C0880</v>
      </c>
      <c r="B881" s="4">
        <v>45</v>
      </c>
      <c r="C881" s="5" t="str">
        <f>IF(recruitment_data3[[#This Row],[Gender]]=1,"Female","Male")</f>
        <v>Female</v>
      </c>
      <c r="D881" s="5">
        <v>1</v>
      </c>
      <c r="E881" s="5" t="str">
        <f>_xlfn.SWITCH(recruitment_data3[[#This Row],[EducationLevel]], 1,"Bachelor Type 1", 2,"Bachelor Type 2", 3,"Masters", 4,"PhD")</f>
        <v>Bachelor Type 2</v>
      </c>
      <c r="F881" s="5">
        <v>2</v>
      </c>
      <c r="G881" s="5">
        <v>5</v>
      </c>
      <c r="H881" s="5">
        <v>5</v>
      </c>
      <c r="I881" s="5">
        <v>4.4653886519147417</v>
      </c>
      <c r="J881" s="5">
        <v>23</v>
      </c>
      <c r="K881" s="5">
        <v>90</v>
      </c>
      <c r="L881" s="5">
        <v>42</v>
      </c>
      <c r="M881" s="5" t="str">
        <f>_xlfn.SWITCH(recruitment_data3[[#This Row],[RecruitmentStrategy]], 1,"Aggressive", 2,"Moderate", 3,"Conservative")</f>
        <v>Aggressive</v>
      </c>
      <c r="N881" s="5">
        <v>1</v>
      </c>
      <c r="O881" s="5" t="str">
        <f>IF(recruitment_data3[[#This Row],[HiringDecision]]=1,"Hired","Rejected")</f>
        <v>Rejected</v>
      </c>
      <c r="P881" s="6">
        <v>0</v>
      </c>
    </row>
    <row r="882" spans="1:16" x14ac:dyDescent="0.25">
      <c r="A882" s="4" t="str">
        <f t="shared" si="13"/>
        <v>C0881</v>
      </c>
      <c r="B882" s="4">
        <v>39</v>
      </c>
      <c r="C882" s="5" t="str">
        <f>IF(recruitment_data3[[#This Row],[Gender]]=1,"Female","Male")</f>
        <v>Male</v>
      </c>
      <c r="D882" s="5">
        <v>0</v>
      </c>
      <c r="E882" s="5" t="str">
        <f>_xlfn.SWITCH(recruitment_data3[[#This Row],[EducationLevel]], 1,"Bachelor Type 1", 2,"Bachelor Type 2", 3,"Masters", 4,"PhD")</f>
        <v>Masters</v>
      </c>
      <c r="F882" s="5">
        <v>3</v>
      </c>
      <c r="G882" s="5">
        <v>1</v>
      </c>
      <c r="H882" s="5">
        <v>5</v>
      </c>
      <c r="I882" s="5">
        <v>29.910919061164474</v>
      </c>
      <c r="J882" s="5">
        <v>35</v>
      </c>
      <c r="K882" s="5">
        <v>93</v>
      </c>
      <c r="L882" s="5">
        <v>86</v>
      </c>
      <c r="M882" s="5" t="str">
        <f>_xlfn.SWITCH(recruitment_data3[[#This Row],[RecruitmentStrategy]], 1,"Aggressive", 2,"Moderate", 3,"Conservative")</f>
        <v>Moderate</v>
      </c>
      <c r="N882" s="5">
        <v>2</v>
      </c>
      <c r="O882" s="5" t="str">
        <f>IF(recruitment_data3[[#This Row],[HiringDecision]]=1,"Hired","Rejected")</f>
        <v>Rejected</v>
      </c>
      <c r="P882" s="6">
        <v>0</v>
      </c>
    </row>
    <row r="883" spans="1:16" x14ac:dyDescent="0.25">
      <c r="A883" s="4" t="str">
        <f t="shared" si="13"/>
        <v>C0882</v>
      </c>
      <c r="B883" s="4">
        <v>47</v>
      </c>
      <c r="C883" s="5" t="str">
        <f>IF(recruitment_data3[[#This Row],[Gender]]=1,"Female","Male")</f>
        <v>Female</v>
      </c>
      <c r="D883" s="5">
        <v>1</v>
      </c>
      <c r="E883" s="5" t="str">
        <f>_xlfn.SWITCH(recruitment_data3[[#This Row],[EducationLevel]], 1,"Bachelor Type 1", 2,"Bachelor Type 2", 3,"Masters", 4,"PhD")</f>
        <v>Bachelor Type 2</v>
      </c>
      <c r="F883" s="5">
        <v>2</v>
      </c>
      <c r="G883" s="5">
        <v>14</v>
      </c>
      <c r="H883" s="5">
        <v>1</v>
      </c>
      <c r="I883" s="5">
        <v>30.881621993445016</v>
      </c>
      <c r="J883" s="5">
        <v>9</v>
      </c>
      <c r="K883" s="5">
        <v>52</v>
      </c>
      <c r="L883" s="5">
        <v>13</v>
      </c>
      <c r="M883" s="5" t="str">
        <f>_xlfn.SWITCH(recruitment_data3[[#This Row],[RecruitmentStrategy]], 1,"Aggressive", 2,"Moderate", 3,"Conservative")</f>
        <v>Moderate</v>
      </c>
      <c r="N883" s="5">
        <v>2</v>
      </c>
      <c r="O883" s="5" t="str">
        <f>IF(recruitment_data3[[#This Row],[HiringDecision]]=1,"Hired","Rejected")</f>
        <v>Rejected</v>
      </c>
      <c r="P883" s="6">
        <v>0</v>
      </c>
    </row>
    <row r="884" spans="1:16" x14ac:dyDescent="0.25">
      <c r="A884" s="4" t="str">
        <f t="shared" si="13"/>
        <v>C0883</v>
      </c>
      <c r="B884" s="4">
        <v>27</v>
      </c>
      <c r="C884" s="5" t="str">
        <f>IF(recruitment_data3[[#This Row],[Gender]]=1,"Female","Male")</f>
        <v>Female</v>
      </c>
      <c r="D884" s="5">
        <v>1</v>
      </c>
      <c r="E884" s="5" t="str">
        <f>_xlfn.SWITCH(recruitment_data3[[#This Row],[EducationLevel]], 1,"Bachelor Type 1", 2,"Bachelor Type 2", 3,"Masters", 4,"PhD")</f>
        <v>Bachelor Type 2</v>
      </c>
      <c r="F884" s="5">
        <v>2</v>
      </c>
      <c r="G884" s="5">
        <v>0</v>
      </c>
      <c r="H884" s="5">
        <v>5</v>
      </c>
      <c r="I884" s="5">
        <v>37.94652276747361</v>
      </c>
      <c r="J884" s="5">
        <v>99</v>
      </c>
      <c r="K884" s="5">
        <v>29</v>
      </c>
      <c r="L884" s="5">
        <v>5</v>
      </c>
      <c r="M884" s="5" t="str">
        <f>_xlfn.SWITCH(recruitment_data3[[#This Row],[RecruitmentStrategy]], 1,"Aggressive", 2,"Moderate", 3,"Conservative")</f>
        <v>Aggressive</v>
      </c>
      <c r="N884" s="5">
        <v>1</v>
      </c>
      <c r="O884" s="5" t="str">
        <f>IF(recruitment_data3[[#This Row],[HiringDecision]]=1,"Hired","Rejected")</f>
        <v>Rejected</v>
      </c>
      <c r="P884" s="6">
        <v>0</v>
      </c>
    </row>
    <row r="885" spans="1:16" x14ac:dyDescent="0.25">
      <c r="A885" s="4" t="str">
        <f t="shared" si="13"/>
        <v>C0884</v>
      </c>
      <c r="B885" s="4">
        <v>48</v>
      </c>
      <c r="C885" s="5" t="str">
        <f>IF(recruitment_data3[[#This Row],[Gender]]=1,"Female","Male")</f>
        <v>Female</v>
      </c>
      <c r="D885" s="5">
        <v>1</v>
      </c>
      <c r="E885" s="5" t="str">
        <f>_xlfn.SWITCH(recruitment_data3[[#This Row],[EducationLevel]], 1,"Bachelor Type 1", 2,"Bachelor Type 2", 3,"Masters", 4,"PhD")</f>
        <v>Bachelor Type 1</v>
      </c>
      <c r="F885" s="5">
        <v>1</v>
      </c>
      <c r="G885" s="5">
        <v>12</v>
      </c>
      <c r="H885" s="5">
        <v>2</v>
      </c>
      <c r="I885" s="5">
        <v>2.4584946145371647</v>
      </c>
      <c r="J885" s="5">
        <v>19</v>
      </c>
      <c r="K885" s="5">
        <v>2</v>
      </c>
      <c r="L885" s="5">
        <v>88</v>
      </c>
      <c r="M885" s="5" t="str">
        <f>_xlfn.SWITCH(recruitment_data3[[#This Row],[RecruitmentStrategy]], 1,"Aggressive", 2,"Moderate", 3,"Conservative")</f>
        <v>Conservative</v>
      </c>
      <c r="N885" s="5">
        <v>3</v>
      </c>
      <c r="O885" s="5" t="str">
        <f>IF(recruitment_data3[[#This Row],[HiringDecision]]=1,"Hired","Rejected")</f>
        <v>Rejected</v>
      </c>
      <c r="P885" s="6">
        <v>0</v>
      </c>
    </row>
    <row r="886" spans="1:16" x14ac:dyDescent="0.25">
      <c r="A886" s="4" t="str">
        <f t="shared" si="13"/>
        <v>C0885</v>
      </c>
      <c r="B886" s="4">
        <v>50</v>
      </c>
      <c r="C886" s="5" t="str">
        <f>IF(recruitment_data3[[#This Row],[Gender]]=1,"Female","Male")</f>
        <v>Male</v>
      </c>
      <c r="D886" s="5">
        <v>0</v>
      </c>
      <c r="E886" s="5" t="str">
        <f>_xlfn.SWITCH(recruitment_data3[[#This Row],[EducationLevel]], 1,"Bachelor Type 1", 2,"Bachelor Type 2", 3,"Masters", 4,"PhD")</f>
        <v>Bachelor Type 1</v>
      </c>
      <c r="F886" s="5">
        <v>1</v>
      </c>
      <c r="G886" s="5">
        <v>13</v>
      </c>
      <c r="H886" s="5">
        <v>5</v>
      </c>
      <c r="I886" s="5">
        <v>28.061910721691508</v>
      </c>
      <c r="J886" s="5">
        <v>74</v>
      </c>
      <c r="K886" s="5">
        <v>42</v>
      </c>
      <c r="L886" s="5">
        <v>22</v>
      </c>
      <c r="M886" s="5" t="str">
        <f>_xlfn.SWITCH(recruitment_data3[[#This Row],[RecruitmentStrategy]], 1,"Aggressive", 2,"Moderate", 3,"Conservative")</f>
        <v>Moderate</v>
      </c>
      <c r="N886" s="5">
        <v>2</v>
      </c>
      <c r="O886" s="5" t="str">
        <f>IF(recruitment_data3[[#This Row],[HiringDecision]]=1,"Hired","Rejected")</f>
        <v>Rejected</v>
      </c>
      <c r="P886" s="6">
        <v>0</v>
      </c>
    </row>
    <row r="887" spans="1:16" x14ac:dyDescent="0.25">
      <c r="A887" s="4" t="str">
        <f t="shared" si="13"/>
        <v>C0886</v>
      </c>
      <c r="B887" s="4">
        <v>28</v>
      </c>
      <c r="C887" s="5" t="str">
        <f>IF(recruitment_data3[[#This Row],[Gender]]=1,"Female","Male")</f>
        <v>Male</v>
      </c>
      <c r="D887" s="5">
        <v>0</v>
      </c>
      <c r="E887" s="5" t="str">
        <f>_xlfn.SWITCH(recruitment_data3[[#This Row],[EducationLevel]], 1,"Bachelor Type 1", 2,"Bachelor Type 2", 3,"Masters", 4,"PhD")</f>
        <v>PhD</v>
      </c>
      <c r="F887" s="5">
        <v>4</v>
      </c>
      <c r="G887" s="5">
        <v>13</v>
      </c>
      <c r="H887" s="5">
        <v>5</v>
      </c>
      <c r="I887" s="5">
        <v>3.6453716635332194</v>
      </c>
      <c r="J887" s="5">
        <v>11</v>
      </c>
      <c r="K887" s="5">
        <v>6</v>
      </c>
      <c r="L887" s="5">
        <v>59</v>
      </c>
      <c r="M887" s="5" t="str">
        <f>_xlfn.SWITCH(recruitment_data3[[#This Row],[RecruitmentStrategy]], 1,"Aggressive", 2,"Moderate", 3,"Conservative")</f>
        <v>Conservative</v>
      </c>
      <c r="N887" s="5">
        <v>3</v>
      </c>
      <c r="O887" s="5" t="str">
        <f>IF(recruitment_data3[[#This Row],[HiringDecision]]=1,"Hired","Rejected")</f>
        <v>Rejected</v>
      </c>
      <c r="P887" s="6">
        <v>0</v>
      </c>
    </row>
    <row r="888" spans="1:16" x14ac:dyDescent="0.25">
      <c r="A888" s="4" t="str">
        <f t="shared" si="13"/>
        <v>C0887</v>
      </c>
      <c r="B888" s="4">
        <v>26</v>
      </c>
      <c r="C888" s="5" t="str">
        <f>IF(recruitment_data3[[#This Row],[Gender]]=1,"Female","Male")</f>
        <v>Male</v>
      </c>
      <c r="D888" s="5">
        <v>0</v>
      </c>
      <c r="E888" s="5" t="str">
        <f>_xlfn.SWITCH(recruitment_data3[[#This Row],[EducationLevel]], 1,"Bachelor Type 1", 2,"Bachelor Type 2", 3,"Masters", 4,"PhD")</f>
        <v>Bachelor Type 2</v>
      </c>
      <c r="F888" s="5">
        <v>2</v>
      </c>
      <c r="G888" s="5">
        <v>1</v>
      </c>
      <c r="H888" s="5">
        <v>1</v>
      </c>
      <c r="I888" s="5">
        <v>36.057210998332671</v>
      </c>
      <c r="J888" s="5">
        <v>61</v>
      </c>
      <c r="K888" s="5">
        <v>48</v>
      </c>
      <c r="L888" s="5">
        <v>11</v>
      </c>
      <c r="M888" s="5" t="str">
        <f>_xlfn.SWITCH(recruitment_data3[[#This Row],[RecruitmentStrategy]], 1,"Aggressive", 2,"Moderate", 3,"Conservative")</f>
        <v>Moderate</v>
      </c>
      <c r="N888" s="5">
        <v>2</v>
      </c>
      <c r="O888" s="5" t="str">
        <f>IF(recruitment_data3[[#This Row],[HiringDecision]]=1,"Hired","Rejected")</f>
        <v>Rejected</v>
      </c>
      <c r="P888" s="6">
        <v>0</v>
      </c>
    </row>
    <row r="889" spans="1:16" x14ac:dyDescent="0.25">
      <c r="A889" s="4" t="str">
        <f t="shared" si="13"/>
        <v>C0888</v>
      </c>
      <c r="B889" s="4">
        <v>20</v>
      </c>
      <c r="C889" s="5" t="str">
        <f>IF(recruitment_data3[[#This Row],[Gender]]=1,"Female","Male")</f>
        <v>Male</v>
      </c>
      <c r="D889" s="5">
        <v>0</v>
      </c>
      <c r="E889" s="5" t="str">
        <f>_xlfn.SWITCH(recruitment_data3[[#This Row],[EducationLevel]], 1,"Bachelor Type 1", 2,"Bachelor Type 2", 3,"Masters", 4,"PhD")</f>
        <v>PhD</v>
      </c>
      <c r="F889" s="5">
        <v>4</v>
      </c>
      <c r="G889" s="5">
        <v>3</v>
      </c>
      <c r="H889" s="5">
        <v>4</v>
      </c>
      <c r="I889" s="5">
        <v>3.7863992850492236</v>
      </c>
      <c r="J889" s="5">
        <v>17</v>
      </c>
      <c r="K889" s="5">
        <v>72</v>
      </c>
      <c r="L889" s="5">
        <v>12</v>
      </c>
      <c r="M889" s="5" t="str">
        <f>_xlfn.SWITCH(recruitment_data3[[#This Row],[RecruitmentStrategy]], 1,"Aggressive", 2,"Moderate", 3,"Conservative")</f>
        <v>Moderate</v>
      </c>
      <c r="N889" s="5">
        <v>2</v>
      </c>
      <c r="O889" s="5" t="str">
        <f>IF(recruitment_data3[[#This Row],[HiringDecision]]=1,"Hired","Rejected")</f>
        <v>Rejected</v>
      </c>
      <c r="P889" s="6">
        <v>0</v>
      </c>
    </row>
    <row r="890" spans="1:16" x14ac:dyDescent="0.25">
      <c r="A890" s="4" t="str">
        <f t="shared" si="13"/>
        <v>C0889</v>
      </c>
      <c r="B890" s="4">
        <v>22</v>
      </c>
      <c r="C890" s="5" t="str">
        <f>IF(recruitment_data3[[#This Row],[Gender]]=1,"Female","Male")</f>
        <v>Female</v>
      </c>
      <c r="D890" s="5">
        <v>1</v>
      </c>
      <c r="E890" s="5" t="str">
        <f>_xlfn.SWITCH(recruitment_data3[[#This Row],[EducationLevel]], 1,"Bachelor Type 1", 2,"Bachelor Type 2", 3,"Masters", 4,"PhD")</f>
        <v>Bachelor Type 2</v>
      </c>
      <c r="F890" s="5">
        <v>2</v>
      </c>
      <c r="G890" s="5">
        <v>1</v>
      </c>
      <c r="H890" s="5">
        <v>5</v>
      </c>
      <c r="I890" s="5">
        <v>46.586392417081633</v>
      </c>
      <c r="J890" s="5">
        <v>93</v>
      </c>
      <c r="K890" s="5">
        <v>40</v>
      </c>
      <c r="L890" s="5">
        <v>99</v>
      </c>
      <c r="M890" s="5" t="str">
        <f>_xlfn.SWITCH(recruitment_data3[[#This Row],[RecruitmentStrategy]], 1,"Aggressive", 2,"Moderate", 3,"Conservative")</f>
        <v>Moderate</v>
      </c>
      <c r="N890" s="5">
        <v>2</v>
      </c>
      <c r="O890" s="5" t="str">
        <f>IF(recruitment_data3[[#This Row],[HiringDecision]]=1,"Hired","Rejected")</f>
        <v>Rejected</v>
      </c>
      <c r="P890" s="6">
        <v>0</v>
      </c>
    </row>
    <row r="891" spans="1:16" x14ac:dyDescent="0.25">
      <c r="A891" s="4" t="str">
        <f t="shared" si="13"/>
        <v>C0890</v>
      </c>
      <c r="B891" s="4">
        <v>32</v>
      </c>
      <c r="C891" s="5" t="str">
        <f>IF(recruitment_data3[[#This Row],[Gender]]=1,"Female","Male")</f>
        <v>Female</v>
      </c>
      <c r="D891" s="5">
        <v>1</v>
      </c>
      <c r="E891" s="5" t="str">
        <f>_xlfn.SWITCH(recruitment_data3[[#This Row],[EducationLevel]], 1,"Bachelor Type 1", 2,"Bachelor Type 2", 3,"Masters", 4,"PhD")</f>
        <v>Bachelor Type 1</v>
      </c>
      <c r="F891" s="5">
        <v>1</v>
      </c>
      <c r="G891" s="5">
        <v>15</v>
      </c>
      <c r="H891" s="5">
        <v>5</v>
      </c>
      <c r="I891" s="5">
        <v>36.104128344224826</v>
      </c>
      <c r="J891" s="5">
        <v>100</v>
      </c>
      <c r="K891" s="5">
        <v>76</v>
      </c>
      <c r="L891" s="5">
        <v>97</v>
      </c>
      <c r="M891" s="5" t="str">
        <f>_xlfn.SWITCH(recruitment_data3[[#This Row],[RecruitmentStrategy]], 1,"Aggressive", 2,"Moderate", 3,"Conservative")</f>
        <v>Moderate</v>
      </c>
      <c r="N891" s="5">
        <v>2</v>
      </c>
      <c r="O891" s="5" t="str">
        <f>IF(recruitment_data3[[#This Row],[HiringDecision]]=1,"Hired","Rejected")</f>
        <v>Hired</v>
      </c>
      <c r="P891" s="6">
        <v>1</v>
      </c>
    </row>
    <row r="892" spans="1:16" x14ac:dyDescent="0.25">
      <c r="A892" s="4" t="str">
        <f t="shared" si="13"/>
        <v>C0891</v>
      </c>
      <c r="B892" s="4">
        <v>47</v>
      </c>
      <c r="C892" s="5" t="str">
        <f>IF(recruitment_data3[[#This Row],[Gender]]=1,"Female","Male")</f>
        <v>Female</v>
      </c>
      <c r="D892" s="5">
        <v>1</v>
      </c>
      <c r="E892" s="5" t="str">
        <f>_xlfn.SWITCH(recruitment_data3[[#This Row],[EducationLevel]], 1,"Bachelor Type 1", 2,"Bachelor Type 2", 3,"Masters", 4,"PhD")</f>
        <v>Bachelor Type 1</v>
      </c>
      <c r="F892" s="5">
        <v>1</v>
      </c>
      <c r="G892" s="5">
        <v>0</v>
      </c>
      <c r="H892" s="5">
        <v>4</v>
      </c>
      <c r="I892" s="5">
        <v>26.369488254257856</v>
      </c>
      <c r="J892" s="5">
        <v>62</v>
      </c>
      <c r="K892" s="5">
        <v>78</v>
      </c>
      <c r="L892" s="5">
        <v>5</v>
      </c>
      <c r="M892" s="5" t="str">
        <f>_xlfn.SWITCH(recruitment_data3[[#This Row],[RecruitmentStrategy]], 1,"Aggressive", 2,"Moderate", 3,"Conservative")</f>
        <v>Moderate</v>
      </c>
      <c r="N892" s="5">
        <v>2</v>
      </c>
      <c r="O892" s="5" t="str">
        <f>IF(recruitment_data3[[#This Row],[HiringDecision]]=1,"Hired","Rejected")</f>
        <v>Rejected</v>
      </c>
      <c r="P892" s="6">
        <v>0</v>
      </c>
    </row>
    <row r="893" spans="1:16" x14ac:dyDescent="0.25">
      <c r="A893" s="4" t="str">
        <f t="shared" si="13"/>
        <v>C0892</v>
      </c>
      <c r="B893" s="4">
        <v>49</v>
      </c>
      <c r="C893" s="5" t="str">
        <f>IF(recruitment_data3[[#This Row],[Gender]]=1,"Female","Male")</f>
        <v>Female</v>
      </c>
      <c r="D893" s="5">
        <v>1</v>
      </c>
      <c r="E893" s="5" t="str">
        <f>_xlfn.SWITCH(recruitment_data3[[#This Row],[EducationLevel]], 1,"Bachelor Type 1", 2,"Bachelor Type 2", 3,"Masters", 4,"PhD")</f>
        <v>Bachelor Type 2</v>
      </c>
      <c r="F893" s="5">
        <v>2</v>
      </c>
      <c r="G893" s="5">
        <v>6</v>
      </c>
      <c r="H893" s="5">
        <v>1</v>
      </c>
      <c r="I893" s="5">
        <v>23.075196164058745</v>
      </c>
      <c r="J893" s="5">
        <v>83</v>
      </c>
      <c r="K893" s="5">
        <v>53</v>
      </c>
      <c r="L893" s="5">
        <v>62</v>
      </c>
      <c r="M893" s="5" t="str">
        <f>_xlfn.SWITCH(recruitment_data3[[#This Row],[RecruitmentStrategy]], 1,"Aggressive", 2,"Moderate", 3,"Conservative")</f>
        <v>Conservative</v>
      </c>
      <c r="N893" s="5">
        <v>3</v>
      </c>
      <c r="O893" s="5" t="str">
        <f>IF(recruitment_data3[[#This Row],[HiringDecision]]=1,"Hired","Rejected")</f>
        <v>Hired</v>
      </c>
      <c r="P893" s="6">
        <v>1</v>
      </c>
    </row>
    <row r="894" spans="1:16" x14ac:dyDescent="0.25">
      <c r="A894" s="4" t="str">
        <f t="shared" si="13"/>
        <v>C0893</v>
      </c>
      <c r="B894" s="4">
        <v>44</v>
      </c>
      <c r="C894" s="5" t="str">
        <f>IF(recruitment_data3[[#This Row],[Gender]]=1,"Female","Male")</f>
        <v>Male</v>
      </c>
      <c r="D894" s="5">
        <v>0</v>
      </c>
      <c r="E894" s="5" t="str">
        <f>_xlfn.SWITCH(recruitment_data3[[#This Row],[EducationLevel]], 1,"Bachelor Type 1", 2,"Bachelor Type 2", 3,"Masters", 4,"PhD")</f>
        <v>PhD</v>
      </c>
      <c r="F894" s="5">
        <v>4</v>
      </c>
      <c r="G894" s="5">
        <v>10</v>
      </c>
      <c r="H894" s="5">
        <v>4</v>
      </c>
      <c r="I894" s="5">
        <v>7.5336315206631195</v>
      </c>
      <c r="J894" s="5">
        <v>24</v>
      </c>
      <c r="K894" s="5">
        <v>68</v>
      </c>
      <c r="L894" s="5">
        <v>37</v>
      </c>
      <c r="M894" s="5" t="str">
        <f>_xlfn.SWITCH(recruitment_data3[[#This Row],[RecruitmentStrategy]], 1,"Aggressive", 2,"Moderate", 3,"Conservative")</f>
        <v>Moderate</v>
      </c>
      <c r="N894" s="5">
        <v>2</v>
      </c>
      <c r="O894" s="5" t="str">
        <f>IF(recruitment_data3[[#This Row],[HiringDecision]]=1,"Hired","Rejected")</f>
        <v>Rejected</v>
      </c>
      <c r="P894" s="6">
        <v>0</v>
      </c>
    </row>
    <row r="895" spans="1:16" x14ac:dyDescent="0.25">
      <c r="A895" s="4" t="str">
        <f t="shared" si="13"/>
        <v>C0894</v>
      </c>
      <c r="B895" s="4">
        <v>50</v>
      </c>
      <c r="C895" s="5" t="str">
        <f>IF(recruitment_data3[[#This Row],[Gender]]=1,"Female","Male")</f>
        <v>Male</v>
      </c>
      <c r="D895" s="5">
        <v>0</v>
      </c>
      <c r="E895" s="5" t="str">
        <f>_xlfn.SWITCH(recruitment_data3[[#This Row],[EducationLevel]], 1,"Bachelor Type 1", 2,"Bachelor Type 2", 3,"Masters", 4,"PhD")</f>
        <v>Bachelor Type 2</v>
      </c>
      <c r="F895" s="5">
        <v>2</v>
      </c>
      <c r="G895" s="5">
        <v>10</v>
      </c>
      <c r="H895" s="5">
        <v>1</v>
      </c>
      <c r="I895" s="5">
        <v>15.549969478233155</v>
      </c>
      <c r="J895" s="5">
        <v>11</v>
      </c>
      <c r="K895" s="5">
        <v>92</v>
      </c>
      <c r="L895" s="5">
        <v>49</v>
      </c>
      <c r="M895" s="5" t="str">
        <f>_xlfn.SWITCH(recruitment_data3[[#This Row],[RecruitmentStrategy]], 1,"Aggressive", 2,"Moderate", 3,"Conservative")</f>
        <v>Conservative</v>
      </c>
      <c r="N895" s="5">
        <v>3</v>
      </c>
      <c r="O895" s="5" t="str">
        <f>IF(recruitment_data3[[#This Row],[HiringDecision]]=1,"Hired","Rejected")</f>
        <v>Rejected</v>
      </c>
      <c r="P895" s="6">
        <v>0</v>
      </c>
    </row>
    <row r="896" spans="1:16" x14ac:dyDescent="0.25">
      <c r="A896" s="4" t="str">
        <f t="shared" si="13"/>
        <v>C0895</v>
      </c>
      <c r="B896" s="4">
        <v>47</v>
      </c>
      <c r="C896" s="5" t="str">
        <f>IF(recruitment_data3[[#This Row],[Gender]]=1,"Female","Male")</f>
        <v>Male</v>
      </c>
      <c r="D896" s="5">
        <v>0</v>
      </c>
      <c r="E896" s="5" t="str">
        <f>_xlfn.SWITCH(recruitment_data3[[#This Row],[EducationLevel]], 1,"Bachelor Type 1", 2,"Bachelor Type 2", 3,"Masters", 4,"PhD")</f>
        <v>Bachelor Type 2</v>
      </c>
      <c r="F896" s="5">
        <v>2</v>
      </c>
      <c r="G896" s="5">
        <v>14</v>
      </c>
      <c r="H896" s="5">
        <v>2</v>
      </c>
      <c r="I896" s="5">
        <v>44.44795525104481</v>
      </c>
      <c r="J896" s="5">
        <v>20</v>
      </c>
      <c r="K896" s="5">
        <v>98</v>
      </c>
      <c r="L896" s="5">
        <v>51</v>
      </c>
      <c r="M896" s="5" t="str">
        <f>_xlfn.SWITCH(recruitment_data3[[#This Row],[RecruitmentStrategy]], 1,"Aggressive", 2,"Moderate", 3,"Conservative")</f>
        <v>Conservative</v>
      </c>
      <c r="N896" s="5">
        <v>3</v>
      </c>
      <c r="O896" s="5" t="str">
        <f>IF(recruitment_data3[[#This Row],[HiringDecision]]=1,"Hired","Rejected")</f>
        <v>Rejected</v>
      </c>
      <c r="P896" s="6">
        <v>0</v>
      </c>
    </row>
    <row r="897" spans="1:16" x14ac:dyDescent="0.25">
      <c r="A897" s="4" t="str">
        <f t="shared" si="13"/>
        <v>C0896</v>
      </c>
      <c r="B897" s="4">
        <v>36</v>
      </c>
      <c r="C897" s="5" t="str">
        <f>IF(recruitment_data3[[#This Row],[Gender]]=1,"Female","Male")</f>
        <v>Female</v>
      </c>
      <c r="D897" s="5">
        <v>1</v>
      </c>
      <c r="E897" s="5" t="str">
        <f>_xlfn.SWITCH(recruitment_data3[[#This Row],[EducationLevel]], 1,"Bachelor Type 1", 2,"Bachelor Type 2", 3,"Masters", 4,"PhD")</f>
        <v>Bachelor Type 2</v>
      </c>
      <c r="F897" s="5">
        <v>2</v>
      </c>
      <c r="G897" s="5">
        <v>11</v>
      </c>
      <c r="H897" s="5">
        <v>1</v>
      </c>
      <c r="I897" s="5">
        <v>46.222640578124697</v>
      </c>
      <c r="J897" s="5">
        <v>24</v>
      </c>
      <c r="K897" s="5">
        <v>90</v>
      </c>
      <c r="L897" s="5">
        <v>39</v>
      </c>
      <c r="M897" s="5" t="str">
        <f>_xlfn.SWITCH(recruitment_data3[[#This Row],[RecruitmentStrategy]], 1,"Aggressive", 2,"Moderate", 3,"Conservative")</f>
        <v>Conservative</v>
      </c>
      <c r="N897" s="5">
        <v>3</v>
      </c>
      <c r="O897" s="5" t="str">
        <f>IF(recruitment_data3[[#This Row],[HiringDecision]]=1,"Hired","Rejected")</f>
        <v>Rejected</v>
      </c>
      <c r="P897" s="6">
        <v>0</v>
      </c>
    </row>
    <row r="898" spans="1:16" x14ac:dyDescent="0.25">
      <c r="A898" s="4" t="str">
        <f t="shared" ref="A898:A961" si="14">"C"&amp;TEXT(ROW()-1,"0000")</f>
        <v>C0897</v>
      </c>
      <c r="B898" s="4">
        <v>44</v>
      </c>
      <c r="C898" s="5" t="str">
        <f>IF(recruitment_data3[[#This Row],[Gender]]=1,"Female","Male")</f>
        <v>Male</v>
      </c>
      <c r="D898" s="5">
        <v>0</v>
      </c>
      <c r="E898" s="5" t="str">
        <f>_xlfn.SWITCH(recruitment_data3[[#This Row],[EducationLevel]], 1,"Bachelor Type 1", 2,"Bachelor Type 2", 3,"Masters", 4,"PhD")</f>
        <v>Bachelor Type 1</v>
      </c>
      <c r="F898" s="5">
        <v>1</v>
      </c>
      <c r="G898" s="5">
        <v>7</v>
      </c>
      <c r="H898" s="5">
        <v>2</v>
      </c>
      <c r="I898" s="5">
        <v>1.0373854185265532</v>
      </c>
      <c r="J898" s="5">
        <v>10</v>
      </c>
      <c r="K898" s="5">
        <v>26</v>
      </c>
      <c r="L898" s="5">
        <v>7</v>
      </c>
      <c r="M898" s="5" t="str">
        <f>_xlfn.SWITCH(recruitment_data3[[#This Row],[RecruitmentStrategy]], 1,"Aggressive", 2,"Moderate", 3,"Conservative")</f>
        <v>Moderate</v>
      </c>
      <c r="N898" s="5">
        <v>2</v>
      </c>
      <c r="O898" s="5" t="str">
        <f>IF(recruitment_data3[[#This Row],[HiringDecision]]=1,"Hired","Rejected")</f>
        <v>Rejected</v>
      </c>
      <c r="P898" s="6">
        <v>0</v>
      </c>
    </row>
    <row r="899" spans="1:16" x14ac:dyDescent="0.25">
      <c r="A899" s="4" t="str">
        <f t="shared" si="14"/>
        <v>C0898</v>
      </c>
      <c r="B899" s="4">
        <v>43</v>
      </c>
      <c r="C899" s="5" t="str">
        <f>IF(recruitment_data3[[#This Row],[Gender]]=1,"Female","Male")</f>
        <v>Male</v>
      </c>
      <c r="D899" s="5">
        <v>0</v>
      </c>
      <c r="E899" s="5" t="str">
        <f>_xlfn.SWITCH(recruitment_data3[[#This Row],[EducationLevel]], 1,"Bachelor Type 1", 2,"Bachelor Type 2", 3,"Masters", 4,"PhD")</f>
        <v>Bachelor Type 2</v>
      </c>
      <c r="F899" s="5">
        <v>2</v>
      </c>
      <c r="G899" s="5">
        <v>5</v>
      </c>
      <c r="H899" s="5">
        <v>2</v>
      </c>
      <c r="I899" s="5">
        <v>30.706819573877564</v>
      </c>
      <c r="J899" s="5">
        <v>63</v>
      </c>
      <c r="K899" s="5">
        <v>7</v>
      </c>
      <c r="L899" s="5">
        <v>60</v>
      </c>
      <c r="M899" s="5" t="str">
        <f>_xlfn.SWITCH(recruitment_data3[[#This Row],[RecruitmentStrategy]], 1,"Aggressive", 2,"Moderate", 3,"Conservative")</f>
        <v>Moderate</v>
      </c>
      <c r="N899" s="5">
        <v>2</v>
      </c>
      <c r="O899" s="5" t="str">
        <f>IF(recruitment_data3[[#This Row],[HiringDecision]]=1,"Hired","Rejected")</f>
        <v>Rejected</v>
      </c>
      <c r="P899" s="6">
        <v>0</v>
      </c>
    </row>
    <row r="900" spans="1:16" x14ac:dyDescent="0.25">
      <c r="A900" s="4" t="str">
        <f t="shared" si="14"/>
        <v>C0899</v>
      </c>
      <c r="B900" s="4">
        <v>20</v>
      </c>
      <c r="C900" s="5" t="str">
        <f>IF(recruitment_data3[[#This Row],[Gender]]=1,"Female","Male")</f>
        <v>Female</v>
      </c>
      <c r="D900" s="5">
        <v>1</v>
      </c>
      <c r="E900" s="5" t="str">
        <f>_xlfn.SWITCH(recruitment_data3[[#This Row],[EducationLevel]], 1,"Bachelor Type 1", 2,"Bachelor Type 2", 3,"Masters", 4,"PhD")</f>
        <v>Bachelor Type 1</v>
      </c>
      <c r="F900" s="5">
        <v>1</v>
      </c>
      <c r="G900" s="5">
        <v>3</v>
      </c>
      <c r="H900" s="5">
        <v>1</v>
      </c>
      <c r="I900" s="5">
        <v>36.965030451255679</v>
      </c>
      <c r="J900" s="5">
        <v>72</v>
      </c>
      <c r="K900" s="5">
        <v>31</v>
      </c>
      <c r="L900" s="5">
        <v>7</v>
      </c>
      <c r="M900" s="5" t="str">
        <f>_xlfn.SWITCH(recruitment_data3[[#This Row],[RecruitmentStrategy]], 1,"Aggressive", 2,"Moderate", 3,"Conservative")</f>
        <v>Aggressive</v>
      </c>
      <c r="N900" s="5">
        <v>1</v>
      </c>
      <c r="O900" s="5" t="str">
        <f>IF(recruitment_data3[[#This Row],[HiringDecision]]=1,"Hired","Rejected")</f>
        <v>Rejected</v>
      </c>
      <c r="P900" s="6">
        <v>0</v>
      </c>
    </row>
    <row r="901" spans="1:16" x14ac:dyDescent="0.25">
      <c r="A901" s="4" t="str">
        <f t="shared" si="14"/>
        <v>C0900</v>
      </c>
      <c r="B901" s="4">
        <v>25</v>
      </c>
      <c r="C901" s="5" t="str">
        <f>IF(recruitment_data3[[#This Row],[Gender]]=1,"Female","Male")</f>
        <v>Female</v>
      </c>
      <c r="D901" s="5">
        <v>1</v>
      </c>
      <c r="E901" s="5" t="str">
        <f>_xlfn.SWITCH(recruitment_data3[[#This Row],[EducationLevel]], 1,"Bachelor Type 1", 2,"Bachelor Type 2", 3,"Masters", 4,"PhD")</f>
        <v>Masters</v>
      </c>
      <c r="F901" s="5">
        <v>3</v>
      </c>
      <c r="G901" s="5">
        <v>13</v>
      </c>
      <c r="H901" s="5">
        <v>3</v>
      </c>
      <c r="I901" s="5">
        <v>31.937349122880313</v>
      </c>
      <c r="J901" s="5">
        <v>49</v>
      </c>
      <c r="K901" s="5">
        <v>83</v>
      </c>
      <c r="L901" s="5">
        <v>96</v>
      </c>
      <c r="M901" s="5" t="str">
        <f>_xlfn.SWITCH(recruitment_data3[[#This Row],[RecruitmentStrategy]], 1,"Aggressive", 2,"Moderate", 3,"Conservative")</f>
        <v>Moderate</v>
      </c>
      <c r="N901" s="5">
        <v>2</v>
      </c>
      <c r="O901" s="5" t="str">
        <f>IF(recruitment_data3[[#This Row],[HiringDecision]]=1,"Hired","Rejected")</f>
        <v>Hired</v>
      </c>
      <c r="P901" s="6">
        <v>1</v>
      </c>
    </row>
    <row r="902" spans="1:16" x14ac:dyDescent="0.25">
      <c r="A902" s="4" t="str">
        <f t="shared" si="14"/>
        <v>C0901</v>
      </c>
      <c r="B902" s="4">
        <v>40</v>
      </c>
      <c r="C902" s="5" t="str">
        <f>IF(recruitment_data3[[#This Row],[Gender]]=1,"Female","Male")</f>
        <v>Male</v>
      </c>
      <c r="D902" s="5">
        <v>0</v>
      </c>
      <c r="E902" s="5" t="str">
        <f>_xlfn.SWITCH(recruitment_data3[[#This Row],[EducationLevel]], 1,"Bachelor Type 1", 2,"Bachelor Type 2", 3,"Masters", 4,"PhD")</f>
        <v>Bachelor Type 2</v>
      </c>
      <c r="F902" s="5">
        <v>2</v>
      </c>
      <c r="G902" s="5">
        <v>5</v>
      </c>
      <c r="H902" s="5">
        <v>1</v>
      </c>
      <c r="I902" s="5">
        <v>5.0839882433176991</v>
      </c>
      <c r="J902" s="5">
        <v>61</v>
      </c>
      <c r="K902" s="5">
        <v>63</v>
      </c>
      <c r="L902" s="5">
        <v>33</v>
      </c>
      <c r="M902" s="5" t="str">
        <f>_xlfn.SWITCH(recruitment_data3[[#This Row],[RecruitmentStrategy]], 1,"Aggressive", 2,"Moderate", 3,"Conservative")</f>
        <v>Aggressive</v>
      </c>
      <c r="N902" s="5">
        <v>1</v>
      </c>
      <c r="O902" s="5" t="str">
        <f>IF(recruitment_data3[[#This Row],[HiringDecision]]=1,"Hired","Rejected")</f>
        <v>Rejected</v>
      </c>
      <c r="P902" s="6">
        <v>0</v>
      </c>
    </row>
    <row r="903" spans="1:16" x14ac:dyDescent="0.25">
      <c r="A903" s="4" t="str">
        <f t="shared" si="14"/>
        <v>C0902</v>
      </c>
      <c r="B903" s="4">
        <v>25</v>
      </c>
      <c r="C903" s="5" t="str">
        <f>IF(recruitment_data3[[#This Row],[Gender]]=1,"Female","Male")</f>
        <v>Male</v>
      </c>
      <c r="D903" s="5">
        <v>0</v>
      </c>
      <c r="E903" s="5" t="str">
        <f>_xlfn.SWITCH(recruitment_data3[[#This Row],[EducationLevel]], 1,"Bachelor Type 1", 2,"Bachelor Type 2", 3,"Masters", 4,"PhD")</f>
        <v>Bachelor Type 2</v>
      </c>
      <c r="F903" s="5">
        <v>2</v>
      </c>
      <c r="G903" s="5">
        <v>2</v>
      </c>
      <c r="H903" s="5">
        <v>5</v>
      </c>
      <c r="I903" s="5">
        <v>11.886244939945112</v>
      </c>
      <c r="J903" s="5">
        <v>88</v>
      </c>
      <c r="K903" s="5">
        <v>9</v>
      </c>
      <c r="L903" s="5">
        <v>78</v>
      </c>
      <c r="M903" s="5" t="str">
        <f>_xlfn.SWITCH(recruitment_data3[[#This Row],[RecruitmentStrategy]], 1,"Aggressive", 2,"Moderate", 3,"Conservative")</f>
        <v>Aggressive</v>
      </c>
      <c r="N903" s="5">
        <v>1</v>
      </c>
      <c r="O903" s="5" t="str">
        <f>IF(recruitment_data3[[#This Row],[HiringDecision]]=1,"Hired","Rejected")</f>
        <v>Hired</v>
      </c>
      <c r="P903" s="6">
        <v>1</v>
      </c>
    </row>
    <row r="904" spans="1:16" x14ac:dyDescent="0.25">
      <c r="A904" s="4" t="str">
        <f t="shared" si="14"/>
        <v>C0903</v>
      </c>
      <c r="B904" s="4">
        <v>45</v>
      </c>
      <c r="C904" s="5" t="str">
        <f>IF(recruitment_data3[[#This Row],[Gender]]=1,"Female","Male")</f>
        <v>Male</v>
      </c>
      <c r="D904" s="5">
        <v>0</v>
      </c>
      <c r="E904" s="5" t="str">
        <f>_xlfn.SWITCH(recruitment_data3[[#This Row],[EducationLevel]], 1,"Bachelor Type 1", 2,"Bachelor Type 2", 3,"Masters", 4,"PhD")</f>
        <v>Bachelor Type 2</v>
      </c>
      <c r="F904" s="5">
        <v>2</v>
      </c>
      <c r="G904" s="5">
        <v>11</v>
      </c>
      <c r="H904" s="5">
        <v>5</v>
      </c>
      <c r="I904" s="5">
        <v>13.517013369069302</v>
      </c>
      <c r="J904" s="5">
        <v>98</v>
      </c>
      <c r="K904" s="5">
        <v>12</v>
      </c>
      <c r="L904" s="5">
        <v>99</v>
      </c>
      <c r="M904" s="5" t="str">
        <f>_xlfn.SWITCH(recruitment_data3[[#This Row],[RecruitmentStrategy]], 1,"Aggressive", 2,"Moderate", 3,"Conservative")</f>
        <v>Aggressive</v>
      </c>
      <c r="N904" s="5">
        <v>1</v>
      </c>
      <c r="O904" s="5" t="str">
        <f>IF(recruitment_data3[[#This Row],[HiringDecision]]=1,"Hired","Rejected")</f>
        <v>Hired</v>
      </c>
      <c r="P904" s="6">
        <v>1</v>
      </c>
    </row>
    <row r="905" spans="1:16" x14ac:dyDescent="0.25">
      <c r="A905" s="4" t="str">
        <f t="shared" si="14"/>
        <v>C0904</v>
      </c>
      <c r="B905" s="4">
        <v>31</v>
      </c>
      <c r="C905" s="5" t="str">
        <f>IF(recruitment_data3[[#This Row],[Gender]]=1,"Female","Male")</f>
        <v>Male</v>
      </c>
      <c r="D905" s="5">
        <v>0</v>
      </c>
      <c r="E905" s="5" t="str">
        <f>_xlfn.SWITCH(recruitment_data3[[#This Row],[EducationLevel]], 1,"Bachelor Type 1", 2,"Bachelor Type 2", 3,"Masters", 4,"PhD")</f>
        <v>Bachelor Type 2</v>
      </c>
      <c r="F905" s="5">
        <v>2</v>
      </c>
      <c r="G905" s="5">
        <v>7</v>
      </c>
      <c r="H905" s="5">
        <v>3</v>
      </c>
      <c r="I905" s="5">
        <v>42.586231565254486</v>
      </c>
      <c r="J905" s="5">
        <v>95</v>
      </c>
      <c r="K905" s="5">
        <v>62</v>
      </c>
      <c r="L905" s="5">
        <v>59</v>
      </c>
      <c r="M905" s="5" t="str">
        <f>_xlfn.SWITCH(recruitment_data3[[#This Row],[RecruitmentStrategy]], 1,"Aggressive", 2,"Moderate", 3,"Conservative")</f>
        <v>Conservative</v>
      </c>
      <c r="N905" s="5">
        <v>3</v>
      </c>
      <c r="O905" s="5" t="str">
        <f>IF(recruitment_data3[[#This Row],[HiringDecision]]=1,"Hired","Rejected")</f>
        <v>Rejected</v>
      </c>
      <c r="P905" s="6">
        <v>0</v>
      </c>
    </row>
    <row r="906" spans="1:16" x14ac:dyDescent="0.25">
      <c r="A906" s="4" t="str">
        <f t="shared" si="14"/>
        <v>C0905</v>
      </c>
      <c r="B906" s="4">
        <v>32</v>
      </c>
      <c r="C906" s="5" t="str">
        <f>IF(recruitment_data3[[#This Row],[Gender]]=1,"Female","Male")</f>
        <v>Male</v>
      </c>
      <c r="D906" s="5">
        <v>0</v>
      </c>
      <c r="E906" s="5" t="str">
        <f>_xlfn.SWITCH(recruitment_data3[[#This Row],[EducationLevel]], 1,"Bachelor Type 1", 2,"Bachelor Type 2", 3,"Masters", 4,"PhD")</f>
        <v>PhD</v>
      </c>
      <c r="F906" s="5">
        <v>4</v>
      </c>
      <c r="G906" s="5">
        <v>9</v>
      </c>
      <c r="H906" s="5">
        <v>2</v>
      </c>
      <c r="I906" s="5">
        <v>24.159971815446024</v>
      </c>
      <c r="J906" s="5">
        <v>48</v>
      </c>
      <c r="K906" s="5">
        <v>92</v>
      </c>
      <c r="L906" s="5">
        <v>56</v>
      </c>
      <c r="M906" s="5" t="str">
        <f>_xlfn.SWITCH(recruitment_data3[[#This Row],[RecruitmentStrategy]], 1,"Aggressive", 2,"Moderate", 3,"Conservative")</f>
        <v>Conservative</v>
      </c>
      <c r="N906" s="5">
        <v>3</v>
      </c>
      <c r="O906" s="5" t="str">
        <f>IF(recruitment_data3[[#This Row],[HiringDecision]]=1,"Hired","Rejected")</f>
        <v>Rejected</v>
      </c>
      <c r="P906" s="6">
        <v>0</v>
      </c>
    </row>
    <row r="907" spans="1:16" x14ac:dyDescent="0.25">
      <c r="A907" s="4" t="str">
        <f t="shared" si="14"/>
        <v>C0906</v>
      </c>
      <c r="B907" s="4">
        <v>32</v>
      </c>
      <c r="C907" s="5" t="str">
        <f>IF(recruitment_data3[[#This Row],[Gender]]=1,"Female","Male")</f>
        <v>Male</v>
      </c>
      <c r="D907" s="5">
        <v>0</v>
      </c>
      <c r="E907" s="5" t="str">
        <f>_xlfn.SWITCH(recruitment_data3[[#This Row],[EducationLevel]], 1,"Bachelor Type 1", 2,"Bachelor Type 2", 3,"Masters", 4,"PhD")</f>
        <v>Bachelor Type 2</v>
      </c>
      <c r="F907" s="5">
        <v>2</v>
      </c>
      <c r="G907" s="5">
        <v>13</v>
      </c>
      <c r="H907" s="5">
        <v>3</v>
      </c>
      <c r="I907" s="5">
        <v>25.341410597061842</v>
      </c>
      <c r="J907" s="5">
        <v>13</v>
      </c>
      <c r="K907" s="5">
        <v>34</v>
      </c>
      <c r="L907" s="5">
        <v>98</v>
      </c>
      <c r="M907" s="5" t="str">
        <f>_xlfn.SWITCH(recruitment_data3[[#This Row],[RecruitmentStrategy]], 1,"Aggressive", 2,"Moderate", 3,"Conservative")</f>
        <v>Moderate</v>
      </c>
      <c r="N907" s="5">
        <v>2</v>
      </c>
      <c r="O907" s="5" t="str">
        <f>IF(recruitment_data3[[#This Row],[HiringDecision]]=1,"Hired","Rejected")</f>
        <v>Rejected</v>
      </c>
      <c r="P907" s="6">
        <v>0</v>
      </c>
    </row>
    <row r="908" spans="1:16" x14ac:dyDescent="0.25">
      <c r="A908" s="4" t="str">
        <f t="shared" si="14"/>
        <v>C0907</v>
      </c>
      <c r="B908" s="4">
        <v>48</v>
      </c>
      <c r="C908" s="5" t="str">
        <f>IF(recruitment_data3[[#This Row],[Gender]]=1,"Female","Male")</f>
        <v>Female</v>
      </c>
      <c r="D908" s="5">
        <v>1</v>
      </c>
      <c r="E908" s="5" t="str">
        <f>_xlfn.SWITCH(recruitment_data3[[#This Row],[EducationLevel]], 1,"Bachelor Type 1", 2,"Bachelor Type 2", 3,"Masters", 4,"PhD")</f>
        <v>Bachelor Type 1</v>
      </c>
      <c r="F908" s="5">
        <v>1</v>
      </c>
      <c r="G908" s="5">
        <v>12</v>
      </c>
      <c r="H908" s="5">
        <v>5</v>
      </c>
      <c r="I908" s="5">
        <v>47.744652327725426</v>
      </c>
      <c r="J908" s="5">
        <v>0</v>
      </c>
      <c r="K908" s="5">
        <v>60</v>
      </c>
      <c r="L908" s="5">
        <v>45</v>
      </c>
      <c r="M908" s="5" t="str">
        <f>_xlfn.SWITCH(recruitment_data3[[#This Row],[RecruitmentStrategy]], 1,"Aggressive", 2,"Moderate", 3,"Conservative")</f>
        <v>Moderate</v>
      </c>
      <c r="N908" s="5">
        <v>2</v>
      </c>
      <c r="O908" s="5" t="str">
        <f>IF(recruitment_data3[[#This Row],[HiringDecision]]=1,"Hired","Rejected")</f>
        <v>Rejected</v>
      </c>
      <c r="P908" s="6">
        <v>0</v>
      </c>
    </row>
    <row r="909" spans="1:16" x14ac:dyDescent="0.25">
      <c r="A909" s="4" t="str">
        <f t="shared" si="14"/>
        <v>C0908</v>
      </c>
      <c r="B909" s="4">
        <v>34</v>
      </c>
      <c r="C909" s="5" t="str">
        <f>IF(recruitment_data3[[#This Row],[Gender]]=1,"Female","Male")</f>
        <v>Female</v>
      </c>
      <c r="D909" s="5">
        <v>1</v>
      </c>
      <c r="E909" s="5" t="str">
        <f>_xlfn.SWITCH(recruitment_data3[[#This Row],[EducationLevel]], 1,"Bachelor Type 1", 2,"Bachelor Type 2", 3,"Masters", 4,"PhD")</f>
        <v>Bachelor Type 2</v>
      </c>
      <c r="F909" s="5">
        <v>2</v>
      </c>
      <c r="G909" s="5">
        <v>12</v>
      </c>
      <c r="H909" s="5">
        <v>3</v>
      </c>
      <c r="I909" s="5">
        <v>32.854294442735778</v>
      </c>
      <c r="J909" s="5">
        <v>80</v>
      </c>
      <c r="K909" s="5">
        <v>53</v>
      </c>
      <c r="L909" s="5">
        <v>21</v>
      </c>
      <c r="M909" s="5" t="str">
        <f>_xlfn.SWITCH(recruitment_data3[[#This Row],[RecruitmentStrategy]], 1,"Aggressive", 2,"Moderate", 3,"Conservative")</f>
        <v>Moderate</v>
      </c>
      <c r="N909" s="5">
        <v>2</v>
      </c>
      <c r="O909" s="5" t="str">
        <f>IF(recruitment_data3[[#This Row],[HiringDecision]]=1,"Hired","Rejected")</f>
        <v>Rejected</v>
      </c>
      <c r="P909" s="6">
        <v>0</v>
      </c>
    </row>
    <row r="910" spans="1:16" x14ac:dyDescent="0.25">
      <c r="A910" s="4" t="str">
        <f t="shared" si="14"/>
        <v>C0909</v>
      </c>
      <c r="B910" s="4">
        <v>40</v>
      </c>
      <c r="C910" s="5" t="str">
        <f>IF(recruitment_data3[[#This Row],[Gender]]=1,"Female","Male")</f>
        <v>Female</v>
      </c>
      <c r="D910" s="5">
        <v>1</v>
      </c>
      <c r="E910" s="5" t="str">
        <f>_xlfn.SWITCH(recruitment_data3[[#This Row],[EducationLevel]], 1,"Bachelor Type 1", 2,"Bachelor Type 2", 3,"Masters", 4,"PhD")</f>
        <v>Bachelor Type 1</v>
      </c>
      <c r="F910" s="5">
        <v>1</v>
      </c>
      <c r="G910" s="5">
        <v>1</v>
      </c>
      <c r="H910" s="5">
        <v>1</v>
      </c>
      <c r="I910" s="5">
        <v>45.93338507763319</v>
      </c>
      <c r="J910" s="5">
        <v>24</v>
      </c>
      <c r="K910" s="5">
        <v>7</v>
      </c>
      <c r="L910" s="5">
        <v>86</v>
      </c>
      <c r="M910" s="5" t="str">
        <f>_xlfn.SWITCH(recruitment_data3[[#This Row],[RecruitmentStrategy]], 1,"Aggressive", 2,"Moderate", 3,"Conservative")</f>
        <v>Moderate</v>
      </c>
      <c r="N910" s="5">
        <v>2</v>
      </c>
      <c r="O910" s="5" t="str">
        <f>IF(recruitment_data3[[#This Row],[HiringDecision]]=1,"Hired","Rejected")</f>
        <v>Rejected</v>
      </c>
      <c r="P910" s="6">
        <v>0</v>
      </c>
    </row>
    <row r="911" spans="1:16" x14ac:dyDescent="0.25">
      <c r="A911" s="4" t="str">
        <f t="shared" si="14"/>
        <v>C0910</v>
      </c>
      <c r="B911" s="4">
        <v>35</v>
      </c>
      <c r="C911" s="5" t="str">
        <f>IF(recruitment_data3[[#This Row],[Gender]]=1,"Female","Male")</f>
        <v>Male</v>
      </c>
      <c r="D911" s="5">
        <v>0</v>
      </c>
      <c r="E911" s="5" t="str">
        <f>_xlfn.SWITCH(recruitment_data3[[#This Row],[EducationLevel]], 1,"Bachelor Type 1", 2,"Bachelor Type 2", 3,"Masters", 4,"PhD")</f>
        <v>Bachelor Type 1</v>
      </c>
      <c r="F911" s="5">
        <v>1</v>
      </c>
      <c r="G911" s="5">
        <v>4</v>
      </c>
      <c r="H911" s="5">
        <v>3</v>
      </c>
      <c r="I911" s="5">
        <v>23.825442767076648</v>
      </c>
      <c r="J911" s="5">
        <v>58</v>
      </c>
      <c r="K911" s="5">
        <v>28</v>
      </c>
      <c r="L911" s="5">
        <v>39</v>
      </c>
      <c r="M911" s="5" t="str">
        <f>_xlfn.SWITCH(recruitment_data3[[#This Row],[RecruitmentStrategy]], 1,"Aggressive", 2,"Moderate", 3,"Conservative")</f>
        <v>Moderate</v>
      </c>
      <c r="N911" s="5">
        <v>2</v>
      </c>
      <c r="O911" s="5" t="str">
        <f>IF(recruitment_data3[[#This Row],[HiringDecision]]=1,"Hired","Rejected")</f>
        <v>Rejected</v>
      </c>
      <c r="P911" s="6">
        <v>0</v>
      </c>
    </row>
    <row r="912" spans="1:16" x14ac:dyDescent="0.25">
      <c r="A912" s="4" t="str">
        <f t="shared" si="14"/>
        <v>C0911</v>
      </c>
      <c r="B912" s="4">
        <v>41</v>
      </c>
      <c r="C912" s="5" t="str">
        <f>IF(recruitment_data3[[#This Row],[Gender]]=1,"Female","Male")</f>
        <v>Female</v>
      </c>
      <c r="D912" s="5">
        <v>1</v>
      </c>
      <c r="E912" s="5" t="str">
        <f>_xlfn.SWITCH(recruitment_data3[[#This Row],[EducationLevel]], 1,"Bachelor Type 1", 2,"Bachelor Type 2", 3,"Masters", 4,"PhD")</f>
        <v>PhD</v>
      </c>
      <c r="F912" s="5">
        <v>4</v>
      </c>
      <c r="G912" s="5">
        <v>0</v>
      </c>
      <c r="H912" s="5">
        <v>2</v>
      </c>
      <c r="I912" s="5">
        <v>8.4718129259147119</v>
      </c>
      <c r="J912" s="5">
        <v>71</v>
      </c>
      <c r="K912" s="5">
        <v>94</v>
      </c>
      <c r="L912" s="5">
        <v>44</v>
      </c>
      <c r="M912" s="5" t="str">
        <f>_xlfn.SWITCH(recruitment_data3[[#This Row],[RecruitmentStrategy]], 1,"Aggressive", 2,"Moderate", 3,"Conservative")</f>
        <v>Moderate</v>
      </c>
      <c r="N912" s="5">
        <v>2</v>
      </c>
      <c r="O912" s="5" t="str">
        <f>IF(recruitment_data3[[#This Row],[HiringDecision]]=1,"Hired","Rejected")</f>
        <v>Rejected</v>
      </c>
      <c r="P912" s="6">
        <v>0</v>
      </c>
    </row>
    <row r="913" spans="1:16" x14ac:dyDescent="0.25">
      <c r="A913" s="4" t="str">
        <f t="shared" si="14"/>
        <v>C0912</v>
      </c>
      <c r="B913" s="4">
        <v>40</v>
      </c>
      <c r="C913" s="5" t="str">
        <f>IF(recruitment_data3[[#This Row],[Gender]]=1,"Female","Male")</f>
        <v>Male</v>
      </c>
      <c r="D913" s="5">
        <v>0</v>
      </c>
      <c r="E913" s="5" t="str">
        <f>_xlfn.SWITCH(recruitment_data3[[#This Row],[EducationLevel]], 1,"Bachelor Type 1", 2,"Bachelor Type 2", 3,"Masters", 4,"PhD")</f>
        <v>Masters</v>
      </c>
      <c r="F913" s="5">
        <v>3</v>
      </c>
      <c r="G913" s="5">
        <v>5</v>
      </c>
      <c r="H913" s="5">
        <v>1</v>
      </c>
      <c r="I913" s="5">
        <v>47.496779703704284</v>
      </c>
      <c r="J913" s="5">
        <v>68</v>
      </c>
      <c r="K913" s="5">
        <v>40</v>
      </c>
      <c r="L913" s="5">
        <v>54</v>
      </c>
      <c r="M913" s="5" t="str">
        <f>_xlfn.SWITCH(recruitment_data3[[#This Row],[RecruitmentStrategy]], 1,"Aggressive", 2,"Moderate", 3,"Conservative")</f>
        <v>Moderate</v>
      </c>
      <c r="N913" s="5">
        <v>2</v>
      </c>
      <c r="O913" s="5" t="str">
        <f>IF(recruitment_data3[[#This Row],[HiringDecision]]=1,"Hired","Rejected")</f>
        <v>Rejected</v>
      </c>
      <c r="P913" s="6">
        <v>0</v>
      </c>
    </row>
    <row r="914" spans="1:16" x14ac:dyDescent="0.25">
      <c r="A914" s="4" t="str">
        <f t="shared" si="14"/>
        <v>C0913</v>
      </c>
      <c r="B914" s="4">
        <v>30</v>
      </c>
      <c r="C914" s="5" t="str">
        <f>IF(recruitment_data3[[#This Row],[Gender]]=1,"Female","Male")</f>
        <v>Male</v>
      </c>
      <c r="D914" s="5">
        <v>0</v>
      </c>
      <c r="E914" s="5" t="str">
        <f>_xlfn.SWITCH(recruitment_data3[[#This Row],[EducationLevel]], 1,"Bachelor Type 1", 2,"Bachelor Type 2", 3,"Masters", 4,"PhD")</f>
        <v>PhD</v>
      </c>
      <c r="F914" s="5">
        <v>4</v>
      </c>
      <c r="G914" s="5">
        <v>1</v>
      </c>
      <c r="H914" s="5">
        <v>4</v>
      </c>
      <c r="I914" s="5">
        <v>23.935255783376913</v>
      </c>
      <c r="J914" s="5">
        <v>4</v>
      </c>
      <c r="K914" s="5">
        <v>29</v>
      </c>
      <c r="L914" s="5">
        <v>50</v>
      </c>
      <c r="M914" s="5" t="str">
        <f>_xlfn.SWITCH(recruitment_data3[[#This Row],[RecruitmentStrategy]], 1,"Aggressive", 2,"Moderate", 3,"Conservative")</f>
        <v>Moderate</v>
      </c>
      <c r="N914" s="5">
        <v>2</v>
      </c>
      <c r="O914" s="5" t="str">
        <f>IF(recruitment_data3[[#This Row],[HiringDecision]]=1,"Hired","Rejected")</f>
        <v>Rejected</v>
      </c>
      <c r="P914" s="6">
        <v>0</v>
      </c>
    </row>
    <row r="915" spans="1:16" x14ac:dyDescent="0.25">
      <c r="A915" s="4" t="str">
        <f t="shared" si="14"/>
        <v>C0914</v>
      </c>
      <c r="B915" s="4">
        <v>47</v>
      </c>
      <c r="C915" s="5" t="str">
        <f>IF(recruitment_data3[[#This Row],[Gender]]=1,"Female","Male")</f>
        <v>Female</v>
      </c>
      <c r="D915" s="5">
        <v>1</v>
      </c>
      <c r="E915" s="5" t="str">
        <f>_xlfn.SWITCH(recruitment_data3[[#This Row],[EducationLevel]], 1,"Bachelor Type 1", 2,"Bachelor Type 2", 3,"Masters", 4,"PhD")</f>
        <v>Bachelor Type 2</v>
      </c>
      <c r="F915" s="5">
        <v>2</v>
      </c>
      <c r="G915" s="5">
        <v>3</v>
      </c>
      <c r="H915" s="5">
        <v>5</v>
      </c>
      <c r="I915" s="5">
        <v>10.081571093941093</v>
      </c>
      <c r="J915" s="5">
        <v>98</v>
      </c>
      <c r="K915" s="5">
        <v>85</v>
      </c>
      <c r="L915" s="5">
        <v>85</v>
      </c>
      <c r="M915" s="5" t="str">
        <f>_xlfn.SWITCH(recruitment_data3[[#This Row],[RecruitmentStrategy]], 1,"Aggressive", 2,"Moderate", 3,"Conservative")</f>
        <v>Moderate</v>
      </c>
      <c r="N915" s="5">
        <v>2</v>
      </c>
      <c r="O915" s="5" t="str">
        <f>IF(recruitment_data3[[#This Row],[HiringDecision]]=1,"Hired","Rejected")</f>
        <v>Rejected</v>
      </c>
      <c r="P915" s="6">
        <v>0</v>
      </c>
    </row>
    <row r="916" spans="1:16" x14ac:dyDescent="0.25">
      <c r="A916" s="4" t="str">
        <f t="shared" si="14"/>
        <v>C0915</v>
      </c>
      <c r="B916" s="4">
        <v>24</v>
      </c>
      <c r="C916" s="5" t="str">
        <f>IF(recruitment_data3[[#This Row],[Gender]]=1,"Female","Male")</f>
        <v>Male</v>
      </c>
      <c r="D916" s="5">
        <v>0</v>
      </c>
      <c r="E916" s="5" t="str">
        <f>_xlfn.SWITCH(recruitment_data3[[#This Row],[EducationLevel]], 1,"Bachelor Type 1", 2,"Bachelor Type 2", 3,"Masters", 4,"PhD")</f>
        <v>Bachelor Type 2</v>
      </c>
      <c r="F916" s="5">
        <v>2</v>
      </c>
      <c r="G916" s="5">
        <v>5</v>
      </c>
      <c r="H916" s="5">
        <v>5</v>
      </c>
      <c r="I916" s="5">
        <v>16.11978701519611</v>
      </c>
      <c r="J916" s="5">
        <v>18</v>
      </c>
      <c r="K916" s="5">
        <v>20</v>
      </c>
      <c r="L916" s="5">
        <v>4</v>
      </c>
      <c r="M916" s="5" t="str">
        <f>_xlfn.SWITCH(recruitment_data3[[#This Row],[RecruitmentStrategy]], 1,"Aggressive", 2,"Moderate", 3,"Conservative")</f>
        <v>Moderate</v>
      </c>
      <c r="N916" s="5">
        <v>2</v>
      </c>
      <c r="O916" s="5" t="str">
        <f>IF(recruitment_data3[[#This Row],[HiringDecision]]=1,"Hired","Rejected")</f>
        <v>Rejected</v>
      </c>
      <c r="P916" s="6">
        <v>0</v>
      </c>
    </row>
    <row r="917" spans="1:16" x14ac:dyDescent="0.25">
      <c r="A917" s="4" t="str">
        <f t="shared" si="14"/>
        <v>C0916</v>
      </c>
      <c r="B917" s="4">
        <v>23</v>
      </c>
      <c r="C917" s="5" t="str">
        <f>IF(recruitment_data3[[#This Row],[Gender]]=1,"Female","Male")</f>
        <v>Male</v>
      </c>
      <c r="D917" s="5">
        <v>0</v>
      </c>
      <c r="E917" s="5" t="str">
        <f>_xlfn.SWITCH(recruitment_data3[[#This Row],[EducationLevel]], 1,"Bachelor Type 1", 2,"Bachelor Type 2", 3,"Masters", 4,"PhD")</f>
        <v>Bachelor Type 1</v>
      </c>
      <c r="F917" s="5">
        <v>1</v>
      </c>
      <c r="G917" s="5">
        <v>9</v>
      </c>
      <c r="H917" s="5">
        <v>3</v>
      </c>
      <c r="I917" s="5">
        <v>3.5401294844471121</v>
      </c>
      <c r="J917" s="5">
        <v>22</v>
      </c>
      <c r="K917" s="5">
        <v>75</v>
      </c>
      <c r="L917" s="5">
        <v>94</v>
      </c>
      <c r="M917" s="5" t="str">
        <f>_xlfn.SWITCH(recruitment_data3[[#This Row],[RecruitmentStrategy]], 1,"Aggressive", 2,"Moderate", 3,"Conservative")</f>
        <v>Conservative</v>
      </c>
      <c r="N917" s="5">
        <v>3</v>
      </c>
      <c r="O917" s="5" t="str">
        <f>IF(recruitment_data3[[#This Row],[HiringDecision]]=1,"Hired","Rejected")</f>
        <v>Rejected</v>
      </c>
      <c r="P917" s="6">
        <v>0</v>
      </c>
    </row>
    <row r="918" spans="1:16" x14ac:dyDescent="0.25">
      <c r="A918" s="4" t="str">
        <f t="shared" si="14"/>
        <v>C0917</v>
      </c>
      <c r="B918" s="4">
        <v>22</v>
      </c>
      <c r="C918" s="5" t="str">
        <f>IF(recruitment_data3[[#This Row],[Gender]]=1,"Female","Male")</f>
        <v>Female</v>
      </c>
      <c r="D918" s="5">
        <v>1</v>
      </c>
      <c r="E918" s="5" t="str">
        <f>_xlfn.SWITCH(recruitment_data3[[#This Row],[EducationLevel]], 1,"Bachelor Type 1", 2,"Bachelor Type 2", 3,"Masters", 4,"PhD")</f>
        <v>Bachelor Type 2</v>
      </c>
      <c r="F918" s="5">
        <v>2</v>
      </c>
      <c r="G918" s="5">
        <v>10</v>
      </c>
      <c r="H918" s="5">
        <v>1</v>
      </c>
      <c r="I918" s="5">
        <v>24.415029572819257</v>
      </c>
      <c r="J918" s="5">
        <v>8</v>
      </c>
      <c r="K918" s="5">
        <v>10</v>
      </c>
      <c r="L918" s="5">
        <v>12</v>
      </c>
      <c r="M918" s="5" t="str">
        <f>_xlfn.SWITCH(recruitment_data3[[#This Row],[RecruitmentStrategy]], 1,"Aggressive", 2,"Moderate", 3,"Conservative")</f>
        <v>Aggressive</v>
      </c>
      <c r="N918" s="5">
        <v>1</v>
      </c>
      <c r="O918" s="5" t="str">
        <f>IF(recruitment_data3[[#This Row],[HiringDecision]]=1,"Hired","Rejected")</f>
        <v>Rejected</v>
      </c>
      <c r="P918" s="6">
        <v>0</v>
      </c>
    </row>
    <row r="919" spans="1:16" x14ac:dyDescent="0.25">
      <c r="A919" s="4" t="str">
        <f t="shared" si="14"/>
        <v>C0918</v>
      </c>
      <c r="B919" s="4">
        <v>38</v>
      </c>
      <c r="C919" s="5" t="str">
        <f>IF(recruitment_data3[[#This Row],[Gender]]=1,"Female","Male")</f>
        <v>Female</v>
      </c>
      <c r="D919" s="5">
        <v>1</v>
      </c>
      <c r="E919" s="5" t="str">
        <f>_xlfn.SWITCH(recruitment_data3[[#This Row],[EducationLevel]], 1,"Bachelor Type 1", 2,"Bachelor Type 2", 3,"Masters", 4,"PhD")</f>
        <v>Masters</v>
      </c>
      <c r="F919" s="5">
        <v>3</v>
      </c>
      <c r="G919" s="5">
        <v>7</v>
      </c>
      <c r="H919" s="5">
        <v>4</v>
      </c>
      <c r="I919" s="5">
        <v>43.656408595511827</v>
      </c>
      <c r="J919" s="5">
        <v>93</v>
      </c>
      <c r="K919" s="5">
        <v>1</v>
      </c>
      <c r="L919" s="5">
        <v>27</v>
      </c>
      <c r="M919" s="5" t="str">
        <f>_xlfn.SWITCH(recruitment_data3[[#This Row],[RecruitmentStrategy]], 1,"Aggressive", 2,"Moderate", 3,"Conservative")</f>
        <v>Moderate</v>
      </c>
      <c r="N919" s="5">
        <v>2</v>
      </c>
      <c r="O919" s="5" t="str">
        <f>IF(recruitment_data3[[#This Row],[HiringDecision]]=1,"Hired","Rejected")</f>
        <v>Rejected</v>
      </c>
      <c r="P919" s="6">
        <v>0</v>
      </c>
    </row>
    <row r="920" spans="1:16" x14ac:dyDescent="0.25">
      <c r="A920" s="4" t="str">
        <f t="shared" si="14"/>
        <v>C0919</v>
      </c>
      <c r="B920" s="4">
        <v>39</v>
      </c>
      <c r="C920" s="5" t="str">
        <f>IF(recruitment_data3[[#This Row],[Gender]]=1,"Female","Male")</f>
        <v>Female</v>
      </c>
      <c r="D920" s="5">
        <v>1</v>
      </c>
      <c r="E920" s="5" t="str">
        <f>_xlfn.SWITCH(recruitment_data3[[#This Row],[EducationLevel]], 1,"Bachelor Type 1", 2,"Bachelor Type 2", 3,"Masters", 4,"PhD")</f>
        <v>Bachelor Type 2</v>
      </c>
      <c r="F920" s="5">
        <v>2</v>
      </c>
      <c r="G920" s="5">
        <v>11</v>
      </c>
      <c r="H920" s="5">
        <v>1</v>
      </c>
      <c r="I920" s="5">
        <v>47.679022800334465</v>
      </c>
      <c r="J920" s="5">
        <v>49</v>
      </c>
      <c r="K920" s="5">
        <v>49</v>
      </c>
      <c r="L920" s="5">
        <v>83</v>
      </c>
      <c r="M920" s="5" t="str">
        <f>_xlfn.SWITCH(recruitment_data3[[#This Row],[RecruitmentStrategy]], 1,"Aggressive", 2,"Moderate", 3,"Conservative")</f>
        <v>Moderate</v>
      </c>
      <c r="N920" s="5">
        <v>2</v>
      </c>
      <c r="O920" s="5" t="str">
        <f>IF(recruitment_data3[[#This Row],[HiringDecision]]=1,"Hired","Rejected")</f>
        <v>Rejected</v>
      </c>
      <c r="P920" s="6">
        <v>0</v>
      </c>
    </row>
    <row r="921" spans="1:16" x14ac:dyDescent="0.25">
      <c r="A921" s="4" t="str">
        <f t="shared" si="14"/>
        <v>C0920</v>
      </c>
      <c r="B921" s="4">
        <v>44</v>
      </c>
      <c r="C921" s="5" t="str">
        <f>IF(recruitment_data3[[#This Row],[Gender]]=1,"Female","Male")</f>
        <v>Male</v>
      </c>
      <c r="D921" s="5">
        <v>0</v>
      </c>
      <c r="E921" s="5" t="str">
        <f>_xlfn.SWITCH(recruitment_data3[[#This Row],[EducationLevel]], 1,"Bachelor Type 1", 2,"Bachelor Type 2", 3,"Masters", 4,"PhD")</f>
        <v>Masters</v>
      </c>
      <c r="F921" s="5">
        <v>3</v>
      </c>
      <c r="G921" s="5">
        <v>7</v>
      </c>
      <c r="H921" s="5">
        <v>5</v>
      </c>
      <c r="I921" s="5">
        <v>47.630110375182184</v>
      </c>
      <c r="J921" s="5">
        <v>15</v>
      </c>
      <c r="K921" s="5">
        <v>40</v>
      </c>
      <c r="L921" s="5">
        <v>96</v>
      </c>
      <c r="M921" s="5" t="str">
        <f>_xlfn.SWITCH(recruitment_data3[[#This Row],[RecruitmentStrategy]], 1,"Aggressive", 2,"Moderate", 3,"Conservative")</f>
        <v>Aggressive</v>
      </c>
      <c r="N921" s="5">
        <v>1</v>
      </c>
      <c r="O921" s="5" t="str">
        <f>IF(recruitment_data3[[#This Row],[HiringDecision]]=1,"Hired","Rejected")</f>
        <v>Hired</v>
      </c>
      <c r="P921" s="6">
        <v>1</v>
      </c>
    </row>
    <row r="922" spans="1:16" x14ac:dyDescent="0.25">
      <c r="A922" s="4" t="str">
        <f t="shared" si="14"/>
        <v>C0921</v>
      </c>
      <c r="B922" s="4">
        <v>37</v>
      </c>
      <c r="C922" s="5" t="str">
        <f>IF(recruitment_data3[[#This Row],[Gender]]=1,"Female","Male")</f>
        <v>Female</v>
      </c>
      <c r="D922" s="5">
        <v>1</v>
      </c>
      <c r="E922" s="5" t="str">
        <f>_xlfn.SWITCH(recruitment_data3[[#This Row],[EducationLevel]], 1,"Bachelor Type 1", 2,"Bachelor Type 2", 3,"Masters", 4,"PhD")</f>
        <v>Masters</v>
      </c>
      <c r="F922" s="5">
        <v>3</v>
      </c>
      <c r="G922" s="5">
        <v>10</v>
      </c>
      <c r="H922" s="5">
        <v>1</v>
      </c>
      <c r="I922" s="5">
        <v>7.2615012814373374</v>
      </c>
      <c r="J922" s="5">
        <v>32</v>
      </c>
      <c r="K922" s="5">
        <v>65</v>
      </c>
      <c r="L922" s="5">
        <v>79</v>
      </c>
      <c r="M922" s="5" t="str">
        <f>_xlfn.SWITCH(recruitment_data3[[#This Row],[RecruitmentStrategy]], 1,"Aggressive", 2,"Moderate", 3,"Conservative")</f>
        <v>Moderate</v>
      </c>
      <c r="N922" s="5">
        <v>2</v>
      </c>
      <c r="O922" s="5" t="str">
        <f>IF(recruitment_data3[[#This Row],[HiringDecision]]=1,"Hired","Rejected")</f>
        <v>Hired</v>
      </c>
      <c r="P922" s="6">
        <v>1</v>
      </c>
    </row>
    <row r="923" spans="1:16" x14ac:dyDescent="0.25">
      <c r="A923" s="4" t="str">
        <f t="shared" si="14"/>
        <v>C0922</v>
      </c>
      <c r="B923" s="4">
        <v>34</v>
      </c>
      <c r="C923" s="5" t="str">
        <f>IF(recruitment_data3[[#This Row],[Gender]]=1,"Female","Male")</f>
        <v>Female</v>
      </c>
      <c r="D923" s="5">
        <v>1</v>
      </c>
      <c r="E923" s="5" t="str">
        <f>_xlfn.SWITCH(recruitment_data3[[#This Row],[EducationLevel]], 1,"Bachelor Type 1", 2,"Bachelor Type 2", 3,"Masters", 4,"PhD")</f>
        <v>Bachelor Type 1</v>
      </c>
      <c r="F923" s="5">
        <v>1</v>
      </c>
      <c r="G923" s="5">
        <v>5</v>
      </c>
      <c r="H923" s="5">
        <v>4</v>
      </c>
      <c r="I923" s="5">
        <v>20.102694125552848</v>
      </c>
      <c r="J923" s="5">
        <v>1</v>
      </c>
      <c r="K923" s="5">
        <v>97</v>
      </c>
      <c r="L923" s="5">
        <v>61</v>
      </c>
      <c r="M923" s="5" t="str">
        <f>_xlfn.SWITCH(recruitment_data3[[#This Row],[RecruitmentStrategy]], 1,"Aggressive", 2,"Moderate", 3,"Conservative")</f>
        <v>Aggressive</v>
      </c>
      <c r="N923" s="5">
        <v>1</v>
      </c>
      <c r="O923" s="5" t="str">
        <f>IF(recruitment_data3[[#This Row],[HiringDecision]]=1,"Hired","Rejected")</f>
        <v>Hired</v>
      </c>
      <c r="P923" s="6">
        <v>1</v>
      </c>
    </row>
    <row r="924" spans="1:16" x14ac:dyDescent="0.25">
      <c r="A924" s="4" t="str">
        <f t="shared" si="14"/>
        <v>C0923</v>
      </c>
      <c r="B924" s="4">
        <v>28</v>
      </c>
      <c r="C924" s="5" t="str">
        <f>IF(recruitment_data3[[#This Row],[Gender]]=1,"Female","Male")</f>
        <v>Male</v>
      </c>
      <c r="D924" s="5">
        <v>0</v>
      </c>
      <c r="E924" s="5" t="str">
        <f>_xlfn.SWITCH(recruitment_data3[[#This Row],[EducationLevel]], 1,"Bachelor Type 1", 2,"Bachelor Type 2", 3,"Masters", 4,"PhD")</f>
        <v>Bachelor Type 2</v>
      </c>
      <c r="F924" s="5">
        <v>2</v>
      </c>
      <c r="G924" s="5">
        <v>3</v>
      </c>
      <c r="H924" s="5">
        <v>3</v>
      </c>
      <c r="I924" s="5">
        <v>2.4114379825353183</v>
      </c>
      <c r="J924" s="5">
        <v>13</v>
      </c>
      <c r="K924" s="5">
        <v>2</v>
      </c>
      <c r="L924" s="5">
        <v>92</v>
      </c>
      <c r="M924" s="5" t="str">
        <f>_xlfn.SWITCH(recruitment_data3[[#This Row],[RecruitmentStrategy]], 1,"Aggressive", 2,"Moderate", 3,"Conservative")</f>
        <v>Moderate</v>
      </c>
      <c r="N924" s="5">
        <v>2</v>
      </c>
      <c r="O924" s="5" t="str">
        <f>IF(recruitment_data3[[#This Row],[HiringDecision]]=1,"Hired","Rejected")</f>
        <v>Rejected</v>
      </c>
      <c r="P924" s="6">
        <v>0</v>
      </c>
    </row>
    <row r="925" spans="1:16" x14ac:dyDescent="0.25">
      <c r="A925" s="4" t="str">
        <f t="shared" si="14"/>
        <v>C0924</v>
      </c>
      <c r="B925" s="4">
        <v>36</v>
      </c>
      <c r="C925" s="5" t="str">
        <f>IF(recruitment_data3[[#This Row],[Gender]]=1,"Female","Male")</f>
        <v>Female</v>
      </c>
      <c r="D925" s="5">
        <v>1</v>
      </c>
      <c r="E925" s="5" t="str">
        <f>_xlfn.SWITCH(recruitment_data3[[#This Row],[EducationLevel]], 1,"Bachelor Type 1", 2,"Bachelor Type 2", 3,"Masters", 4,"PhD")</f>
        <v>Bachelor Type 2</v>
      </c>
      <c r="F925" s="5">
        <v>2</v>
      </c>
      <c r="G925" s="5">
        <v>7</v>
      </c>
      <c r="H925" s="5">
        <v>2</v>
      </c>
      <c r="I925" s="5">
        <v>43.758267248573638</v>
      </c>
      <c r="J925" s="5">
        <v>0</v>
      </c>
      <c r="K925" s="5">
        <v>79</v>
      </c>
      <c r="L925" s="5">
        <v>86</v>
      </c>
      <c r="M925" s="5" t="str">
        <f>_xlfn.SWITCH(recruitment_data3[[#This Row],[RecruitmentStrategy]], 1,"Aggressive", 2,"Moderate", 3,"Conservative")</f>
        <v>Moderate</v>
      </c>
      <c r="N925" s="5">
        <v>2</v>
      </c>
      <c r="O925" s="5" t="str">
        <f>IF(recruitment_data3[[#This Row],[HiringDecision]]=1,"Hired","Rejected")</f>
        <v>Rejected</v>
      </c>
      <c r="P925" s="6">
        <v>0</v>
      </c>
    </row>
    <row r="926" spans="1:16" x14ac:dyDescent="0.25">
      <c r="A926" s="4" t="str">
        <f t="shared" si="14"/>
        <v>C0925</v>
      </c>
      <c r="B926" s="4">
        <v>33</v>
      </c>
      <c r="C926" s="5" t="str">
        <f>IF(recruitment_data3[[#This Row],[Gender]]=1,"Female","Male")</f>
        <v>Female</v>
      </c>
      <c r="D926" s="5">
        <v>1</v>
      </c>
      <c r="E926" s="5" t="str">
        <f>_xlfn.SWITCH(recruitment_data3[[#This Row],[EducationLevel]], 1,"Bachelor Type 1", 2,"Bachelor Type 2", 3,"Masters", 4,"PhD")</f>
        <v>Bachelor Type 2</v>
      </c>
      <c r="F926" s="5">
        <v>2</v>
      </c>
      <c r="G926" s="5">
        <v>12</v>
      </c>
      <c r="H926" s="5">
        <v>1</v>
      </c>
      <c r="I926" s="5">
        <v>18.937788101063688</v>
      </c>
      <c r="J926" s="5">
        <v>89</v>
      </c>
      <c r="K926" s="5">
        <v>50</v>
      </c>
      <c r="L926" s="5">
        <v>23</v>
      </c>
      <c r="M926" s="5" t="str">
        <f>_xlfn.SWITCH(recruitment_data3[[#This Row],[RecruitmentStrategy]], 1,"Aggressive", 2,"Moderate", 3,"Conservative")</f>
        <v>Moderate</v>
      </c>
      <c r="N926" s="5">
        <v>2</v>
      </c>
      <c r="O926" s="5" t="str">
        <f>IF(recruitment_data3[[#This Row],[HiringDecision]]=1,"Hired","Rejected")</f>
        <v>Rejected</v>
      </c>
      <c r="P926" s="6">
        <v>0</v>
      </c>
    </row>
    <row r="927" spans="1:16" x14ac:dyDescent="0.25">
      <c r="A927" s="4" t="str">
        <f t="shared" si="14"/>
        <v>C0926</v>
      </c>
      <c r="B927" s="4">
        <v>34</v>
      </c>
      <c r="C927" s="5" t="str">
        <f>IF(recruitment_data3[[#This Row],[Gender]]=1,"Female","Male")</f>
        <v>Female</v>
      </c>
      <c r="D927" s="5">
        <v>1</v>
      </c>
      <c r="E927" s="5" t="str">
        <f>_xlfn.SWITCH(recruitment_data3[[#This Row],[EducationLevel]], 1,"Bachelor Type 1", 2,"Bachelor Type 2", 3,"Masters", 4,"PhD")</f>
        <v>Masters</v>
      </c>
      <c r="F927" s="5">
        <v>3</v>
      </c>
      <c r="G927" s="5">
        <v>7</v>
      </c>
      <c r="H927" s="5">
        <v>2</v>
      </c>
      <c r="I927" s="5">
        <v>32.555851394611736</v>
      </c>
      <c r="J927" s="5">
        <v>57</v>
      </c>
      <c r="K927" s="5">
        <v>67</v>
      </c>
      <c r="L927" s="5">
        <v>97</v>
      </c>
      <c r="M927" s="5" t="str">
        <f>_xlfn.SWITCH(recruitment_data3[[#This Row],[RecruitmentStrategy]], 1,"Aggressive", 2,"Moderate", 3,"Conservative")</f>
        <v>Moderate</v>
      </c>
      <c r="N927" s="5">
        <v>2</v>
      </c>
      <c r="O927" s="5" t="str">
        <f>IF(recruitment_data3[[#This Row],[HiringDecision]]=1,"Hired","Rejected")</f>
        <v>Hired</v>
      </c>
      <c r="P927" s="6">
        <v>1</v>
      </c>
    </row>
    <row r="928" spans="1:16" x14ac:dyDescent="0.25">
      <c r="A928" s="4" t="str">
        <f t="shared" si="14"/>
        <v>C0927</v>
      </c>
      <c r="B928" s="4">
        <v>50</v>
      </c>
      <c r="C928" s="5" t="str">
        <f>IF(recruitment_data3[[#This Row],[Gender]]=1,"Female","Male")</f>
        <v>Male</v>
      </c>
      <c r="D928" s="5">
        <v>0</v>
      </c>
      <c r="E928" s="5" t="str">
        <f>_xlfn.SWITCH(recruitment_data3[[#This Row],[EducationLevel]], 1,"Bachelor Type 1", 2,"Bachelor Type 2", 3,"Masters", 4,"PhD")</f>
        <v>Bachelor Type 2</v>
      </c>
      <c r="F928" s="5">
        <v>2</v>
      </c>
      <c r="G928" s="5">
        <v>9</v>
      </c>
      <c r="H928" s="5">
        <v>5</v>
      </c>
      <c r="I928" s="5">
        <v>36.74492190386443</v>
      </c>
      <c r="J928" s="5">
        <v>88</v>
      </c>
      <c r="K928" s="5">
        <v>86</v>
      </c>
      <c r="L928" s="5">
        <v>6</v>
      </c>
      <c r="M928" s="5" t="str">
        <f>_xlfn.SWITCH(recruitment_data3[[#This Row],[RecruitmentStrategy]], 1,"Aggressive", 2,"Moderate", 3,"Conservative")</f>
        <v>Aggressive</v>
      </c>
      <c r="N928" s="5">
        <v>1</v>
      </c>
      <c r="O928" s="5" t="str">
        <f>IF(recruitment_data3[[#This Row],[HiringDecision]]=1,"Hired","Rejected")</f>
        <v>Hired</v>
      </c>
      <c r="P928" s="6">
        <v>1</v>
      </c>
    </row>
    <row r="929" spans="1:16" x14ac:dyDescent="0.25">
      <c r="A929" s="4" t="str">
        <f t="shared" si="14"/>
        <v>C0928</v>
      </c>
      <c r="B929" s="4">
        <v>20</v>
      </c>
      <c r="C929" s="5" t="str">
        <f>IF(recruitment_data3[[#This Row],[Gender]]=1,"Female","Male")</f>
        <v>Male</v>
      </c>
      <c r="D929" s="5">
        <v>0</v>
      </c>
      <c r="E929" s="5" t="str">
        <f>_xlfn.SWITCH(recruitment_data3[[#This Row],[EducationLevel]], 1,"Bachelor Type 1", 2,"Bachelor Type 2", 3,"Masters", 4,"PhD")</f>
        <v>Bachelor Type 1</v>
      </c>
      <c r="F929" s="5">
        <v>1</v>
      </c>
      <c r="G929" s="5">
        <v>13</v>
      </c>
      <c r="H929" s="5">
        <v>3</v>
      </c>
      <c r="I929" s="5">
        <v>22.492233487157769</v>
      </c>
      <c r="J929" s="5">
        <v>15</v>
      </c>
      <c r="K929" s="5">
        <v>83</v>
      </c>
      <c r="L929" s="5">
        <v>37</v>
      </c>
      <c r="M929" s="5" t="str">
        <f>_xlfn.SWITCH(recruitment_data3[[#This Row],[RecruitmentStrategy]], 1,"Aggressive", 2,"Moderate", 3,"Conservative")</f>
        <v>Moderate</v>
      </c>
      <c r="N929" s="5">
        <v>2</v>
      </c>
      <c r="O929" s="5" t="str">
        <f>IF(recruitment_data3[[#This Row],[HiringDecision]]=1,"Hired","Rejected")</f>
        <v>Rejected</v>
      </c>
      <c r="P929" s="6">
        <v>0</v>
      </c>
    </row>
    <row r="930" spans="1:16" x14ac:dyDescent="0.25">
      <c r="A930" s="4" t="str">
        <f t="shared" si="14"/>
        <v>C0929</v>
      </c>
      <c r="B930" s="4">
        <v>40</v>
      </c>
      <c r="C930" s="5" t="str">
        <f>IF(recruitment_data3[[#This Row],[Gender]]=1,"Female","Male")</f>
        <v>Male</v>
      </c>
      <c r="D930" s="5">
        <v>0</v>
      </c>
      <c r="E930" s="5" t="str">
        <f>_xlfn.SWITCH(recruitment_data3[[#This Row],[EducationLevel]], 1,"Bachelor Type 1", 2,"Bachelor Type 2", 3,"Masters", 4,"PhD")</f>
        <v>Bachelor Type 2</v>
      </c>
      <c r="F930" s="5">
        <v>2</v>
      </c>
      <c r="G930" s="5">
        <v>0</v>
      </c>
      <c r="H930" s="5">
        <v>3</v>
      </c>
      <c r="I930" s="5">
        <v>16.322116827512151</v>
      </c>
      <c r="J930" s="5">
        <v>78</v>
      </c>
      <c r="K930" s="5">
        <v>24</v>
      </c>
      <c r="L930" s="5">
        <v>36</v>
      </c>
      <c r="M930" s="5" t="str">
        <f>_xlfn.SWITCH(recruitment_data3[[#This Row],[RecruitmentStrategy]], 1,"Aggressive", 2,"Moderate", 3,"Conservative")</f>
        <v>Aggressive</v>
      </c>
      <c r="N930" s="5">
        <v>1</v>
      </c>
      <c r="O930" s="5" t="str">
        <f>IF(recruitment_data3[[#This Row],[HiringDecision]]=1,"Hired","Rejected")</f>
        <v>Rejected</v>
      </c>
      <c r="P930" s="6">
        <v>0</v>
      </c>
    </row>
    <row r="931" spans="1:16" x14ac:dyDescent="0.25">
      <c r="A931" s="4" t="str">
        <f t="shared" si="14"/>
        <v>C0930</v>
      </c>
      <c r="B931" s="4">
        <v>41</v>
      </c>
      <c r="C931" s="5" t="str">
        <f>IF(recruitment_data3[[#This Row],[Gender]]=1,"Female","Male")</f>
        <v>Male</v>
      </c>
      <c r="D931" s="5">
        <v>0</v>
      </c>
      <c r="E931" s="5" t="str">
        <f>_xlfn.SWITCH(recruitment_data3[[#This Row],[EducationLevel]], 1,"Bachelor Type 1", 2,"Bachelor Type 2", 3,"Masters", 4,"PhD")</f>
        <v>PhD</v>
      </c>
      <c r="F931" s="5">
        <v>4</v>
      </c>
      <c r="G931" s="5">
        <v>15</v>
      </c>
      <c r="H931" s="5">
        <v>1</v>
      </c>
      <c r="I931" s="5">
        <v>49.110645505797237</v>
      </c>
      <c r="J931" s="5">
        <v>89</v>
      </c>
      <c r="K931" s="5">
        <v>29</v>
      </c>
      <c r="L931" s="5">
        <v>67</v>
      </c>
      <c r="M931" s="5" t="str">
        <f>_xlfn.SWITCH(recruitment_data3[[#This Row],[RecruitmentStrategy]], 1,"Aggressive", 2,"Moderate", 3,"Conservative")</f>
        <v>Conservative</v>
      </c>
      <c r="N931" s="5">
        <v>3</v>
      </c>
      <c r="O931" s="5" t="str">
        <f>IF(recruitment_data3[[#This Row],[HiringDecision]]=1,"Hired","Rejected")</f>
        <v>Hired</v>
      </c>
      <c r="P931" s="6">
        <v>1</v>
      </c>
    </row>
    <row r="932" spans="1:16" x14ac:dyDescent="0.25">
      <c r="A932" s="4" t="str">
        <f t="shared" si="14"/>
        <v>C0931</v>
      </c>
      <c r="B932" s="4">
        <v>41</v>
      </c>
      <c r="C932" s="5" t="str">
        <f>IF(recruitment_data3[[#This Row],[Gender]]=1,"Female","Male")</f>
        <v>Female</v>
      </c>
      <c r="D932" s="5">
        <v>1</v>
      </c>
      <c r="E932" s="5" t="str">
        <f>_xlfn.SWITCH(recruitment_data3[[#This Row],[EducationLevel]], 1,"Bachelor Type 1", 2,"Bachelor Type 2", 3,"Masters", 4,"PhD")</f>
        <v>Bachelor Type 1</v>
      </c>
      <c r="F932" s="5">
        <v>1</v>
      </c>
      <c r="G932" s="5">
        <v>3</v>
      </c>
      <c r="H932" s="5">
        <v>3</v>
      </c>
      <c r="I932" s="5">
        <v>49.224411251192713</v>
      </c>
      <c r="J932" s="5">
        <v>46</v>
      </c>
      <c r="K932" s="5">
        <v>81</v>
      </c>
      <c r="L932" s="5">
        <v>97</v>
      </c>
      <c r="M932" s="5" t="str">
        <f>_xlfn.SWITCH(recruitment_data3[[#This Row],[RecruitmentStrategy]], 1,"Aggressive", 2,"Moderate", 3,"Conservative")</f>
        <v>Conservative</v>
      </c>
      <c r="N932" s="5">
        <v>3</v>
      </c>
      <c r="O932" s="5" t="str">
        <f>IF(recruitment_data3[[#This Row],[HiringDecision]]=1,"Hired","Rejected")</f>
        <v>Rejected</v>
      </c>
      <c r="P932" s="6">
        <v>0</v>
      </c>
    </row>
    <row r="933" spans="1:16" x14ac:dyDescent="0.25">
      <c r="A933" s="4" t="str">
        <f t="shared" si="14"/>
        <v>C0932</v>
      </c>
      <c r="B933" s="4">
        <v>22</v>
      </c>
      <c r="C933" s="5" t="str">
        <f>IF(recruitment_data3[[#This Row],[Gender]]=1,"Female","Male")</f>
        <v>Male</v>
      </c>
      <c r="D933" s="5">
        <v>0</v>
      </c>
      <c r="E933" s="5" t="str">
        <f>_xlfn.SWITCH(recruitment_data3[[#This Row],[EducationLevel]], 1,"Bachelor Type 1", 2,"Bachelor Type 2", 3,"Masters", 4,"PhD")</f>
        <v>Masters</v>
      </c>
      <c r="F933" s="5">
        <v>3</v>
      </c>
      <c r="G933" s="5">
        <v>3</v>
      </c>
      <c r="H933" s="5">
        <v>1</v>
      </c>
      <c r="I933" s="5">
        <v>15.471818401501096</v>
      </c>
      <c r="J933" s="5">
        <v>43</v>
      </c>
      <c r="K933" s="5">
        <v>10</v>
      </c>
      <c r="L933" s="5">
        <v>41</v>
      </c>
      <c r="M933" s="5" t="str">
        <f>_xlfn.SWITCH(recruitment_data3[[#This Row],[RecruitmentStrategy]], 1,"Aggressive", 2,"Moderate", 3,"Conservative")</f>
        <v>Moderate</v>
      </c>
      <c r="N933" s="5">
        <v>2</v>
      </c>
      <c r="O933" s="5" t="str">
        <f>IF(recruitment_data3[[#This Row],[HiringDecision]]=1,"Hired","Rejected")</f>
        <v>Rejected</v>
      </c>
      <c r="P933" s="6">
        <v>0</v>
      </c>
    </row>
    <row r="934" spans="1:16" x14ac:dyDescent="0.25">
      <c r="A934" s="4" t="str">
        <f t="shared" si="14"/>
        <v>C0933</v>
      </c>
      <c r="B934" s="4">
        <v>35</v>
      </c>
      <c r="C934" s="5" t="str">
        <f>IF(recruitment_data3[[#This Row],[Gender]]=1,"Female","Male")</f>
        <v>Male</v>
      </c>
      <c r="D934" s="5">
        <v>0</v>
      </c>
      <c r="E934" s="5" t="str">
        <f>_xlfn.SWITCH(recruitment_data3[[#This Row],[EducationLevel]], 1,"Bachelor Type 1", 2,"Bachelor Type 2", 3,"Masters", 4,"PhD")</f>
        <v>Bachelor Type 2</v>
      </c>
      <c r="F934" s="5">
        <v>2</v>
      </c>
      <c r="G934" s="5">
        <v>6</v>
      </c>
      <c r="H934" s="5">
        <v>1</v>
      </c>
      <c r="I934" s="5">
        <v>24.981254837222902</v>
      </c>
      <c r="J934" s="5">
        <v>79</v>
      </c>
      <c r="K934" s="5">
        <v>92</v>
      </c>
      <c r="L934" s="5">
        <v>85</v>
      </c>
      <c r="M934" s="5" t="str">
        <f>_xlfn.SWITCH(recruitment_data3[[#This Row],[RecruitmentStrategy]], 1,"Aggressive", 2,"Moderate", 3,"Conservative")</f>
        <v>Conservative</v>
      </c>
      <c r="N934" s="5">
        <v>3</v>
      </c>
      <c r="O934" s="5" t="str">
        <f>IF(recruitment_data3[[#This Row],[HiringDecision]]=1,"Hired","Rejected")</f>
        <v>Hired</v>
      </c>
      <c r="P934" s="6">
        <v>1</v>
      </c>
    </row>
    <row r="935" spans="1:16" x14ac:dyDescent="0.25">
      <c r="A935" s="4" t="str">
        <f t="shared" si="14"/>
        <v>C0934</v>
      </c>
      <c r="B935" s="4">
        <v>42</v>
      </c>
      <c r="C935" s="5" t="str">
        <f>IF(recruitment_data3[[#This Row],[Gender]]=1,"Female","Male")</f>
        <v>Female</v>
      </c>
      <c r="D935" s="5">
        <v>1</v>
      </c>
      <c r="E935" s="5" t="str">
        <f>_xlfn.SWITCH(recruitment_data3[[#This Row],[EducationLevel]], 1,"Bachelor Type 1", 2,"Bachelor Type 2", 3,"Masters", 4,"PhD")</f>
        <v>Masters</v>
      </c>
      <c r="F935" s="5">
        <v>3</v>
      </c>
      <c r="G935" s="5">
        <v>15</v>
      </c>
      <c r="H935" s="5">
        <v>2</v>
      </c>
      <c r="I935" s="5">
        <v>49.642207933001117</v>
      </c>
      <c r="J935" s="5">
        <v>13</v>
      </c>
      <c r="K935" s="5">
        <v>16</v>
      </c>
      <c r="L935" s="5">
        <v>4</v>
      </c>
      <c r="M935" s="5" t="str">
        <f>_xlfn.SWITCH(recruitment_data3[[#This Row],[RecruitmentStrategy]], 1,"Aggressive", 2,"Moderate", 3,"Conservative")</f>
        <v>Moderate</v>
      </c>
      <c r="N935" s="5">
        <v>2</v>
      </c>
      <c r="O935" s="5" t="str">
        <f>IF(recruitment_data3[[#This Row],[HiringDecision]]=1,"Hired","Rejected")</f>
        <v>Rejected</v>
      </c>
      <c r="P935" s="6">
        <v>0</v>
      </c>
    </row>
    <row r="936" spans="1:16" x14ac:dyDescent="0.25">
      <c r="A936" s="4" t="str">
        <f t="shared" si="14"/>
        <v>C0935</v>
      </c>
      <c r="B936" s="4">
        <v>44</v>
      </c>
      <c r="C936" s="5" t="str">
        <f>IF(recruitment_data3[[#This Row],[Gender]]=1,"Female","Male")</f>
        <v>Female</v>
      </c>
      <c r="D936" s="5">
        <v>1</v>
      </c>
      <c r="E936" s="5" t="str">
        <f>_xlfn.SWITCH(recruitment_data3[[#This Row],[EducationLevel]], 1,"Bachelor Type 1", 2,"Bachelor Type 2", 3,"Masters", 4,"PhD")</f>
        <v>Masters</v>
      </c>
      <c r="F936" s="5">
        <v>3</v>
      </c>
      <c r="G936" s="5">
        <v>13</v>
      </c>
      <c r="H936" s="5">
        <v>3</v>
      </c>
      <c r="I936" s="5">
        <v>1.2434203827751613</v>
      </c>
      <c r="J936" s="5">
        <v>92</v>
      </c>
      <c r="K936" s="5">
        <v>25</v>
      </c>
      <c r="L936" s="5">
        <v>63</v>
      </c>
      <c r="M936" s="5" t="str">
        <f>_xlfn.SWITCH(recruitment_data3[[#This Row],[RecruitmentStrategy]], 1,"Aggressive", 2,"Moderate", 3,"Conservative")</f>
        <v>Conservative</v>
      </c>
      <c r="N936" s="5">
        <v>3</v>
      </c>
      <c r="O936" s="5" t="str">
        <f>IF(recruitment_data3[[#This Row],[HiringDecision]]=1,"Hired","Rejected")</f>
        <v>Hired</v>
      </c>
      <c r="P936" s="6">
        <v>1</v>
      </c>
    </row>
    <row r="937" spans="1:16" x14ac:dyDescent="0.25">
      <c r="A937" s="4" t="str">
        <f t="shared" si="14"/>
        <v>C0936</v>
      </c>
      <c r="B937" s="4">
        <v>30</v>
      </c>
      <c r="C937" s="5" t="str">
        <f>IF(recruitment_data3[[#This Row],[Gender]]=1,"Female","Male")</f>
        <v>Female</v>
      </c>
      <c r="D937" s="5">
        <v>1</v>
      </c>
      <c r="E937" s="5" t="str">
        <f>_xlfn.SWITCH(recruitment_data3[[#This Row],[EducationLevel]], 1,"Bachelor Type 1", 2,"Bachelor Type 2", 3,"Masters", 4,"PhD")</f>
        <v>Bachelor Type 2</v>
      </c>
      <c r="F937" s="5">
        <v>2</v>
      </c>
      <c r="G937" s="5">
        <v>13</v>
      </c>
      <c r="H937" s="5">
        <v>1</v>
      </c>
      <c r="I937" s="5">
        <v>21.633912418957461</v>
      </c>
      <c r="J937" s="5">
        <v>23</v>
      </c>
      <c r="K937" s="5">
        <v>22</v>
      </c>
      <c r="L937" s="5">
        <v>49</v>
      </c>
      <c r="M937" s="5" t="str">
        <f>_xlfn.SWITCH(recruitment_data3[[#This Row],[RecruitmentStrategy]], 1,"Aggressive", 2,"Moderate", 3,"Conservative")</f>
        <v>Moderate</v>
      </c>
      <c r="N937" s="5">
        <v>2</v>
      </c>
      <c r="O937" s="5" t="str">
        <f>IF(recruitment_data3[[#This Row],[HiringDecision]]=1,"Hired","Rejected")</f>
        <v>Rejected</v>
      </c>
      <c r="P937" s="6">
        <v>0</v>
      </c>
    </row>
    <row r="938" spans="1:16" x14ac:dyDescent="0.25">
      <c r="A938" s="4" t="str">
        <f t="shared" si="14"/>
        <v>C0937</v>
      </c>
      <c r="B938" s="4">
        <v>31</v>
      </c>
      <c r="C938" s="5" t="str">
        <f>IF(recruitment_data3[[#This Row],[Gender]]=1,"Female","Male")</f>
        <v>Male</v>
      </c>
      <c r="D938" s="5">
        <v>0</v>
      </c>
      <c r="E938" s="5" t="str">
        <f>_xlfn.SWITCH(recruitment_data3[[#This Row],[EducationLevel]], 1,"Bachelor Type 1", 2,"Bachelor Type 2", 3,"Masters", 4,"PhD")</f>
        <v>Bachelor Type 2</v>
      </c>
      <c r="F938" s="5">
        <v>2</v>
      </c>
      <c r="G938" s="5">
        <v>10</v>
      </c>
      <c r="H938" s="5">
        <v>2</v>
      </c>
      <c r="I938" s="5">
        <v>6.0228774840484212</v>
      </c>
      <c r="J938" s="5">
        <v>54</v>
      </c>
      <c r="K938" s="5">
        <v>55</v>
      </c>
      <c r="L938" s="5">
        <v>86</v>
      </c>
      <c r="M938" s="5" t="str">
        <f>_xlfn.SWITCH(recruitment_data3[[#This Row],[RecruitmentStrategy]], 1,"Aggressive", 2,"Moderate", 3,"Conservative")</f>
        <v>Aggressive</v>
      </c>
      <c r="N938" s="5">
        <v>1</v>
      </c>
      <c r="O938" s="5" t="str">
        <f>IF(recruitment_data3[[#This Row],[HiringDecision]]=1,"Hired","Rejected")</f>
        <v>Hired</v>
      </c>
      <c r="P938" s="6">
        <v>1</v>
      </c>
    </row>
    <row r="939" spans="1:16" x14ac:dyDescent="0.25">
      <c r="A939" s="4" t="str">
        <f t="shared" si="14"/>
        <v>C0938</v>
      </c>
      <c r="B939" s="4">
        <v>29</v>
      </c>
      <c r="C939" s="5" t="str">
        <f>IF(recruitment_data3[[#This Row],[Gender]]=1,"Female","Male")</f>
        <v>Male</v>
      </c>
      <c r="D939" s="5">
        <v>0</v>
      </c>
      <c r="E939" s="5" t="str">
        <f>_xlfn.SWITCH(recruitment_data3[[#This Row],[EducationLevel]], 1,"Bachelor Type 1", 2,"Bachelor Type 2", 3,"Masters", 4,"PhD")</f>
        <v>Masters</v>
      </c>
      <c r="F939" s="5">
        <v>3</v>
      </c>
      <c r="G939" s="5">
        <v>6</v>
      </c>
      <c r="H939" s="5">
        <v>4</v>
      </c>
      <c r="I939" s="5">
        <v>26.457898278130131</v>
      </c>
      <c r="J939" s="5">
        <v>14</v>
      </c>
      <c r="K939" s="5">
        <v>51</v>
      </c>
      <c r="L939" s="5">
        <v>14</v>
      </c>
      <c r="M939" s="5" t="str">
        <f>_xlfn.SWITCH(recruitment_data3[[#This Row],[RecruitmentStrategy]], 1,"Aggressive", 2,"Moderate", 3,"Conservative")</f>
        <v>Conservative</v>
      </c>
      <c r="N939" s="5">
        <v>3</v>
      </c>
      <c r="O939" s="5" t="str">
        <f>IF(recruitment_data3[[#This Row],[HiringDecision]]=1,"Hired","Rejected")</f>
        <v>Rejected</v>
      </c>
      <c r="P939" s="6">
        <v>0</v>
      </c>
    </row>
    <row r="940" spans="1:16" x14ac:dyDescent="0.25">
      <c r="A940" s="4" t="str">
        <f t="shared" si="14"/>
        <v>C0939</v>
      </c>
      <c r="B940" s="4">
        <v>35</v>
      </c>
      <c r="C940" s="5" t="str">
        <f>IF(recruitment_data3[[#This Row],[Gender]]=1,"Female","Male")</f>
        <v>Male</v>
      </c>
      <c r="D940" s="5">
        <v>0</v>
      </c>
      <c r="E940" s="5" t="str">
        <f>_xlfn.SWITCH(recruitment_data3[[#This Row],[EducationLevel]], 1,"Bachelor Type 1", 2,"Bachelor Type 2", 3,"Masters", 4,"PhD")</f>
        <v>Bachelor Type 2</v>
      </c>
      <c r="F940" s="5">
        <v>2</v>
      </c>
      <c r="G940" s="5">
        <v>15</v>
      </c>
      <c r="H940" s="5">
        <v>2</v>
      </c>
      <c r="I940" s="5">
        <v>2.2334977270243574</v>
      </c>
      <c r="J940" s="5">
        <v>82</v>
      </c>
      <c r="K940" s="5">
        <v>47</v>
      </c>
      <c r="L940" s="5">
        <v>94</v>
      </c>
      <c r="M940" s="5" t="str">
        <f>_xlfn.SWITCH(recruitment_data3[[#This Row],[RecruitmentStrategy]], 1,"Aggressive", 2,"Moderate", 3,"Conservative")</f>
        <v>Aggressive</v>
      </c>
      <c r="N940" s="5">
        <v>1</v>
      </c>
      <c r="O940" s="5" t="str">
        <f>IF(recruitment_data3[[#This Row],[HiringDecision]]=1,"Hired","Rejected")</f>
        <v>Hired</v>
      </c>
      <c r="P940" s="6">
        <v>1</v>
      </c>
    </row>
    <row r="941" spans="1:16" x14ac:dyDescent="0.25">
      <c r="A941" s="4" t="str">
        <f t="shared" si="14"/>
        <v>C0940</v>
      </c>
      <c r="B941" s="4">
        <v>27</v>
      </c>
      <c r="C941" s="5" t="str">
        <f>IF(recruitment_data3[[#This Row],[Gender]]=1,"Female","Male")</f>
        <v>Female</v>
      </c>
      <c r="D941" s="5">
        <v>1</v>
      </c>
      <c r="E941" s="5" t="str">
        <f>_xlfn.SWITCH(recruitment_data3[[#This Row],[EducationLevel]], 1,"Bachelor Type 1", 2,"Bachelor Type 2", 3,"Masters", 4,"PhD")</f>
        <v>Masters</v>
      </c>
      <c r="F941" s="5">
        <v>3</v>
      </c>
      <c r="G941" s="5">
        <v>12</v>
      </c>
      <c r="H941" s="5">
        <v>2</v>
      </c>
      <c r="I941" s="5">
        <v>21.344921569531394</v>
      </c>
      <c r="J941" s="5">
        <v>71</v>
      </c>
      <c r="K941" s="5">
        <v>19</v>
      </c>
      <c r="L941" s="5">
        <v>72</v>
      </c>
      <c r="M941" s="5" t="str">
        <f>_xlfn.SWITCH(recruitment_data3[[#This Row],[RecruitmentStrategy]], 1,"Aggressive", 2,"Moderate", 3,"Conservative")</f>
        <v>Aggressive</v>
      </c>
      <c r="N941" s="5">
        <v>1</v>
      </c>
      <c r="O941" s="5" t="str">
        <f>IF(recruitment_data3[[#This Row],[HiringDecision]]=1,"Hired","Rejected")</f>
        <v>Hired</v>
      </c>
      <c r="P941" s="6">
        <v>1</v>
      </c>
    </row>
    <row r="942" spans="1:16" x14ac:dyDescent="0.25">
      <c r="A942" s="4" t="str">
        <f t="shared" si="14"/>
        <v>C0941</v>
      </c>
      <c r="B942" s="4">
        <v>25</v>
      </c>
      <c r="C942" s="5" t="str">
        <f>IF(recruitment_data3[[#This Row],[Gender]]=1,"Female","Male")</f>
        <v>Female</v>
      </c>
      <c r="D942" s="5">
        <v>1</v>
      </c>
      <c r="E942" s="5" t="str">
        <f>_xlfn.SWITCH(recruitment_data3[[#This Row],[EducationLevel]], 1,"Bachelor Type 1", 2,"Bachelor Type 2", 3,"Masters", 4,"PhD")</f>
        <v>Bachelor Type 1</v>
      </c>
      <c r="F942" s="5">
        <v>1</v>
      </c>
      <c r="G942" s="5">
        <v>10</v>
      </c>
      <c r="H942" s="5">
        <v>1</v>
      </c>
      <c r="I942" s="5">
        <v>12.034953739266756</v>
      </c>
      <c r="J942" s="5">
        <v>33</v>
      </c>
      <c r="K942" s="5">
        <v>1</v>
      </c>
      <c r="L942" s="5">
        <v>52</v>
      </c>
      <c r="M942" s="5" t="str">
        <f>_xlfn.SWITCH(recruitment_data3[[#This Row],[RecruitmentStrategy]], 1,"Aggressive", 2,"Moderate", 3,"Conservative")</f>
        <v>Aggressive</v>
      </c>
      <c r="N942" s="5">
        <v>1</v>
      </c>
      <c r="O942" s="5" t="str">
        <f>IF(recruitment_data3[[#This Row],[HiringDecision]]=1,"Hired","Rejected")</f>
        <v>Rejected</v>
      </c>
      <c r="P942" s="6">
        <v>0</v>
      </c>
    </row>
    <row r="943" spans="1:16" x14ac:dyDescent="0.25">
      <c r="A943" s="4" t="str">
        <f t="shared" si="14"/>
        <v>C0942</v>
      </c>
      <c r="B943" s="4">
        <v>31</v>
      </c>
      <c r="C943" s="5" t="str">
        <f>IF(recruitment_data3[[#This Row],[Gender]]=1,"Female","Male")</f>
        <v>Male</v>
      </c>
      <c r="D943" s="5">
        <v>0</v>
      </c>
      <c r="E943" s="5" t="str">
        <f>_xlfn.SWITCH(recruitment_data3[[#This Row],[EducationLevel]], 1,"Bachelor Type 1", 2,"Bachelor Type 2", 3,"Masters", 4,"PhD")</f>
        <v>Masters</v>
      </c>
      <c r="F943" s="5">
        <v>3</v>
      </c>
      <c r="G943" s="5">
        <v>14</v>
      </c>
      <c r="H943" s="5">
        <v>5</v>
      </c>
      <c r="I943" s="5">
        <v>27.665418122937041</v>
      </c>
      <c r="J943" s="5">
        <v>1</v>
      </c>
      <c r="K943" s="5">
        <v>87</v>
      </c>
      <c r="L943" s="5">
        <v>24</v>
      </c>
      <c r="M943" s="5" t="str">
        <f>_xlfn.SWITCH(recruitment_data3[[#This Row],[RecruitmentStrategy]], 1,"Aggressive", 2,"Moderate", 3,"Conservative")</f>
        <v>Moderate</v>
      </c>
      <c r="N943" s="5">
        <v>2</v>
      </c>
      <c r="O943" s="5" t="str">
        <f>IF(recruitment_data3[[#This Row],[HiringDecision]]=1,"Hired","Rejected")</f>
        <v>Rejected</v>
      </c>
      <c r="P943" s="6">
        <v>0</v>
      </c>
    </row>
    <row r="944" spans="1:16" x14ac:dyDescent="0.25">
      <c r="A944" s="4" t="str">
        <f t="shared" si="14"/>
        <v>C0943</v>
      </c>
      <c r="B944" s="4">
        <v>43</v>
      </c>
      <c r="C944" s="5" t="str">
        <f>IF(recruitment_data3[[#This Row],[Gender]]=1,"Female","Male")</f>
        <v>Female</v>
      </c>
      <c r="D944" s="5">
        <v>1</v>
      </c>
      <c r="E944" s="5" t="str">
        <f>_xlfn.SWITCH(recruitment_data3[[#This Row],[EducationLevel]], 1,"Bachelor Type 1", 2,"Bachelor Type 2", 3,"Masters", 4,"PhD")</f>
        <v>Masters</v>
      </c>
      <c r="F944" s="5">
        <v>3</v>
      </c>
      <c r="G944" s="5">
        <v>7</v>
      </c>
      <c r="H944" s="5">
        <v>5</v>
      </c>
      <c r="I944" s="5">
        <v>50.799682455034983</v>
      </c>
      <c r="J944" s="5">
        <v>26</v>
      </c>
      <c r="K944" s="5">
        <v>30</v>
      </c>
      <c r="L944" s="5">
        <v>88</v>
      </c>
      <c r="M944" s="5" t="str">
        <f>_xlfn.SWITCH(recruitment_data3[[#This Row],[RecruitmentStrategy]], 1,"Aggressive", 2,"Moderate", 3,"Conservative")</f>
        <v>Moderate</v>
      </c>
      <c r="N944" s="5">
        <v>2</v>
      </c>
      <c r="O944" s="5" t="str">
        <f>IF(recruitment_data3[[#This Row],[HiringDecision]]=1,"Hired","Rejected")</f>
        <v>Rejected</v>
      </c>
      <c r="P944" s="6">
        <v>0</v>
      </c>
    </row>
    <row r="945" spans="1:16" x14ac:dyDescent="0.25">
      <c r="A945" s="4" t="str">
        <f t="shared" si="14"/>
        <v>C0944</v>
      </c>
      <c r="B945" s="4">
        <v>47</v>
      </c>
      <c r="C945" s="5" t="str">
        <f>IF(recruitment_data3[[#This Row],[Gender]]=1,"Female","Male")</f>
        <v>Female</v>
      </c>
      <c r="D945" s="5">
        <v>1</v>
      </c>
      <c r="E945" s="5" t="str">
        <f>_xlfn.SWITCH(recruitment_data3[[#This Row],[EducationLevel]], 1,"Bachelor Type 1", 2,"Bachelor Type 2", 3,"Masters", 4,"PhD")</f>
        <v>PhD</v>
      </c>
      <c r="F945" s="5">
        <v>4</v>
      </c>
      <c r="G945" s="5">
        <v>15</v>
      </c>
      <c r="H945" s="5">
        <v>5</v>
      </c>
      <c r="I945" s="5">
        <v>41.026805256337383</v>
      </c>
      <c r="J945" s="5">
        <v>73</v>
      </c>
      <c r="K945" s="5">
        <v>26</v>
      </c>
      <c r="L945" s="5">
        <v>84</v>
      </c>
      <c r="M945" s="5" t="str">
        <f>_xlfn.SWITCH(recruitment_data3[[#This Row],[RecruitmentStrategy]], 1,"Aggressive", 2,"Moderate", 3,"Conservative")</f>
        <v>Moderate</v>
      </c>
      <c r="N945" s="5">
        <v>2</v>
      </c>
      <c r="O945" s="5" t="str">
        <f>IF(recruitment_data3[[#This Row],[HiringDecision]]=1,"Hired","Rejected")</f>
        <v>Hired</v>
      </c>
      <c r="P945" s="6">
        <v>1</v>
      </c>
    </row>
    <row r="946" spans="1:16" x14ac:dyDescent="0.25">
      <c r="A946" s="4" t="str">
        <f t="shared" si="14"/>
        <v>C0945</v>
      </c>
      <c r="B946" s="4">
        <v>40</v>
      </c>
      <c r="C946" s="5" t="str">
        <f>IF(recruitment_data3[[#This Row],[Gender]]=1,"Female","Male")</f>
        <v>Female</v>
      </c>
      <c r="D946" s="5">
        <v>1</v>
      </c>
      <c r="E946" s="5" t="str">
        <f>_xlfn.SWITCH(recruitment_data3[[#This Row],[EducationLevel]], 1,"Bachelor Type 1", 2,"Bachelor Type 2", 3,"Masters", 4,"PhD")</f>
        <v>Bachelor Type 1</v>
      </c>
      <c r="F946" s="5">
        <v>1</v>
      </c>
      <c r="G946" s="5">
        <v>10</v>
      </c>
      <c r="H946" s="5">
        <v>2</v>
      </c>
      <c r="I946" s="5">
        <v>43.28210458122107</v>
      </c>
      <c r="J946" s="5">
        <v>98</v>
      </c>
      <c r="K946" s="5">
        <v>1</v>
      </c>
      <c r="L946" s="5">
        <v>8</v>
      </c>
      <c r="M946" s="5" t="str">
        <f>_xlfn.SWITCH(recruitment_data3[[#This Row],[RecruitmentStrategy]], 1,"Aggressive", 2,"Moderate", 3,"Conservative")</f>
        <v>Conservative</v>
      </c>
      <c r="N946" s="5">
        <v>3</v>
      </c>
      <c r="O946" s="5" t="str">
        <f>IF(recruitment_data3[[#This Row],[HiringDecision]]=1,"Hired","Rejected")</f>
        <v>Rejected</v>
      </c>
      <c r="P946" s="6">
        <v>0</v>
      </c>
    </row>
    <row r="947" spans="1:16" x14ac:dyDescent="0.25">
      <c r="A947" s="4" t="str">
        <f t="shared" si="14"/>
        <v>C0946</v>
      </c>
      <c r="B947" s="4">
        <v>27</v>
      </c>
      <c r="C947" s="5" t="str">
        <f>IF(recruitment_data3[[#This Row],[Gender]]=1,"Female","Male")</f>
        <v>Male</v>
      </c>
      <c r="D947" s="5">
        <v>0</v>
      </c>
      <c r="E947" s="5" t="str">
        <f>_xlfn.SWITCH(recruitment_data3[[#This Row],[EducationLevel]], 1,"Bachelor Type 1", 2,"Bachelor Type 2", 3,"Masters", 4,"PhD")</f>
        <v>Bachelor Type 2</v>
      </c>
      <c r="F947" s="5">
        <v>2</v>
      </c>
      <c r="G947" s="5">
        <v>4</v>
      </c>
      <c r="H947" s="5">
        <v>1</v>
      </c>
      <c r="I947" s="5">
        <v>32.763249367954046</v>
      </c>
      <c r="J947" s="5">
        <v>86</v>
      </c>
      <c r="K947" s="5">
        <v>77</v>
      </c>
      <c r="L947" s="5">
        <v>37</v>
      </c>
      <c r="M947" s="5" t="str">
        <f>_xlfn.SWITCH(recruitment_data3[[#This Row],[RecruitmentStrategy]], 1,"Aggressive", 2,"Moderate", 3,"Conservative")</f>
        <v>Aggressive</v>
      </c>
      <c r="N947" s="5">
        <v>1</v>
      </c>
      <c r="O947" s="5" t="str">
        <f>IF(recruitment_data3[[#This Row],[HiringDecision]]=1,"Hired","Rejected")</f>
        <v>Hired</v>
      </c>
      <c r="P947" s="6">
        <v>1</v>
      </c>
    </row>
    <row r="948" spans="1:16" x14ac:dyDescent="0.25">
      <c r="A948" s="4" t="str">
        <f t="shared" si="14"/>
        <v>C0947</v>
      </c>
      <c r="B948" s="4">
        <v>45</v>
      </c>
      <c r="C948" s="5" t="str">
        <f>IF(recruitment_data3[[#This Row],[Gender]]=1,"Female","Male")</f>
        <v>Female</v>
      </c>
      <c r="D948" s="5">
        <v>1</v>
      </c>
      <c r="E948" s="5" t="str">
        <f>_xlfn.SWITCH(recruitment_data3[[#This Row],[EducationLevel]], 1,"Bachelor Type 1", 2,"Bachelor Type 2", 3,"Masters", 4,"PhD")</f>
        <v>Bachelor Type 2</v>
      </c>
      <c r="F948" s="5">
        <v>2</v>
      </c>
      <c r="G948" s="5">
        <v>6</v>
      </c>
      <c r="H948" s="5">
        <v>3</v>
      </c>
      <c r="I948" s="5">
        <v>3.077992413612928</v>
      </c>
      <c r="J948" s="5">
        <v>71</v>
      </c>
      <c r="K948" s="5">
        <v>3</v>
      </c>
      <c r="L948" s="5">
        <v>21</v>
      </c>
      <c r="M948" s="5" t="str">
        <f>_xlfn.SWITCH(recruitment_data3[[#This Row],[RecruitmentStrategy]], 1,"Aggressive", 2,"Moderate", 3,"Conservative")</f>
        <v>Conservative</v>
      </c>
      <c r="N948" s="5">
        <v>3</v>
      </c>
      <c r="O948" s="5" t="str">
        <f>IF(recruitment_data3[[#This Row],[HiringDecision]]=1,"Hired","Rejected")</f>
        <v>Rejected</v>
      </c>
      <c r="P948" s="6">
        <v>0</v>
      </c>
    </row>
    <row r="949" spans="1:16" x14ac:dyDescent="0.25">
      <c r="A949" s="4" t="str">
        <f t="shared" si="14"/>
        <v>C0948</v>
      </c>
      <c r="B949" s="4">
        <v>47</v>
      </c>
      <c r="C949" s="5" t="str">
        <f>IF(recruitment_data3[[#This Row],[Gender]]=1,"Female","Male")</f>
        <v>Female</v>
      </c>
      <c r="D949" s="5">
        <v>1</v>
      </c>
      <c r="E949" s="5" t="str">
        <f>_xlfn.SWITCH(recruitment_data3[[#This Row],[EducationLevel]], 1,"Bachelor Type 1", 2,"Bachelor Type 2", 3,"Masters", 4,"PhD")</f>
        <v>Bachelor Type 2</v>
      </c>
      <c r="F949" s="5">
        <v>2</v>
      </c>
      <c r="G949" s="5">
        <v>7</v>
      </c>
      <c r="H949" s="5">
        <v>2</v>
      </c>
      <c r="I949" s="5">
        <v>11.339883802207206</v>
      </c>
      <c r="J949" s="5">
        <v>91</v>
      </c>
      <c r="K949" s="5">
        <v>12</v>
      </c>
      <c r="L949" s="5">
        <v>86</v>
      </c>
      <c r="M949" s="5" t="str">
        <f>_xlfn.SWITCH(recruitment_data3[[#This Row],[RecruitmentStrategy]], 1,"Aggressive", 2,"Moderate", 3,"Conservative")</f>
        <v>Conservative</v>
      </c>
      <c r="N949" s="5">
        <v>3</v>
      </c>
      <c r="O949" s="5" t="str">
        <f>IF(recruitment_data3[[#This Row],[HiringDecision]]=1,"Hired","Rejected")</f>
        <v>Rejected</v>
      </c>
      <c r="P949" s="6">
        <v>0</v>
      </c>
    </row>
    <row r="950" spans="1:16" x14ac:dyDescent="0.25">
      <c r="A950" s="4" t="str">
        <f t="shared" si="14"/>
        <v>C0949</v>
      </c>
      <c r="B950" s="4">
        <v>23</v>
      </c>
      <c r="C950" s="5" t="str">
        <f>IF(recruitment_data3[[#This Row],[Gender]]=1,"Female","Male")</f>
        <v>Male</v>
      </c>
      <c r="D950" s="5">
        <v>0</v>
      </c>
      <c r="E950" s="5" t="str">
        <f>_xlfn.SWITCH(recruitment_data3[[#This Row],[EducationLevel]], 1,"Bachelor Type 1", 2,"Bachelor Type 2", 3,"Masters", 4,"PhD")</f>
        <v>Bachelor Type 2</v>
      </c>
      <c r="F950" s="5">
        <v>2</v>
      </c>
      <c r="G950" s="5">
        <v>15</v>
      </c>
      <c r="H950" s="5">
        <v>2</v>
      </c>
      <c r="I950" s="5">
        <v>47.253227822352748</v>
      </c>
      <c r="J950" s="5">
        <v>22</v>
      </c>
      <c r="K950" s="5">
        <v>99</v>
      </c>
      <c r="L950" s="5">
        <v>48</v>
      </c>
      <c r="M950" s="5" t="str">
        <f>_xlfn.SWITCH(recruitment_data3[[#This Row],[RecruitmentStrategy]], 1,"Aggressive", 2,"Moderate", 3,"Conservative")</f>
        <v>Aggressive</v>
      </c>
      <c r="N950" s="5">
        <v>1</v>
      </c>
      <c r="O950" s="5" t="str">
        <f>IF(recruitment_data3[[#This Row],[HiringDecision]]=1,"Hired","Rejected")</f>
        <v>Hired</v>
      </c>
      <c r="P950" s="6">
        <v>1</v>
      </c>
    </row>
    <row r="951" spans="1:16" x14ac:dyDescent="0.25">
      <c r="A951" s="4" t="str">
        <f t="shared" si="14"/>
        <v>C0950</v>
      </c>
      <c r="B951" s="4">
        <v>45</v>
      </c>
      <c r="C951" s="5" t="str">
        <f>IF(recruitment_data3[[#This Row],[Gender]]=1,"Female","Male")</f>
        <v>Male</v>
      </c>
      <c r="D951" s="5">
        <v>0</v>
      </c>
      <c r="E951" s="5" t="str">
        <f>_xlfn.SWITCH(recruitment_data3[[#This Row],[EducationLevel]], 1,"Bachelor Type 1", 2,"Bachelor Type 2", 3,"Masters", 4,"PhD")</f>
        <v>Bachelor Type 1</v>
      </c>
      <c r="F951" s="5">
        <v>1</v>
      </c>
      <c r="G951" s="5">
        <v>14</v>
      </c>
      <c r="H951" s="5">
        <v>1</v>
      </c>
      <c r="I951" s="5">
        <v>19.30565589643756</v>
      </c>
      <c r="J951" s="5">
        <v>67</v>
      </c>
      <c r="K951" s="5">
        <v>34</v>
      </c>
      <c r="L951" s="5">
        <v>67</v>
      </c>
      <c r="M951" s="5" t="str">
        <f>_xlfn.SWITCH(recruitment_data3[[#This Row],[RecruitmentStrategy]], 1,"Aggressive", 2,"Moderate", 3,"Conservative")</f>
        <v>Moderate</v>
      </c>
      <c r="N951" s="5">
        <v>2</v>
      </c>
      <c r="O951" s="5" t="str">
        <f>IF(recruitment_data3[[#This Row],[HiringDecision]]=1,"Hired","Rejected")</f>
        <v>Rejected</v>
      </c>
      <c r="P951" s="6">
        <v>0</v>
      </c>
    </row>
    <row r="952" spans="1:16" x14ac:dyDescent="0.25">
      <c r="A952" s="4" t="str">
        <f t="shared" si="14"/>
        <v>C0951</v>
      </c>
      <c r="B952" s="4">
        <v>27</v>
      </c>
      <c r="C952" s="5" t="str">
        <f>IF(recruitment_data3[[#This Row],[Gender]]=1,"Female","Male")</f>
        <v>Female</v>
      </c>
      <c r="D952" s="5">
        <v>1</v>
      </c>
      <c r="E952" s="5" t="str">
        <f>_xlfn.SWITCH(recruitment_data3[[#This Row],[EducationLevel]], 1,"Bachelor Type 1", 2,"Bachelor Type 2", 3,"Masters", 4,"PhD")</f>
        <v>Masters</v>
      </c>
      <c r="F952" s="5">
        <v>3</v>
      </c>
      <c r="G952" s="5">
        <v>8</v>
      </c>
      <c r="H952" s="5">
        <v>4</v>
      </c>
      <c r="I952" s="5">
        <v>6.1818363240397787</v>
      </c>
      <c r="J952" s="5">
        <v>13</v>
      </c>
      <c r="K952" s="5">
        <v>71</v>
      </c>
      <c r="L952" s="5">
        <v>92</v>
      </c>
      <c r="M952" s="5" t="str">
        <f>_xlfn.SWITCH(recruitment_data3[[#This Row],[RecruitmentStrategy]], 1,"Aggressive", 2,"Moderate", 3,"Conservative")</f>
        <v>Conservative</v>
      </c>
      <c r="N952" s="5">
        <v>3</v>
      </c>
      <c r="O952" s="5" t="str">
        <f>IF(recruitment_data3[[#This Row],[HiringDecision]]=1,"Hired","Rejected")</f>
        <v>Hired</v>
      </c>
      <c r="P952" s="6">
        <v>1</v>
      </c>
    </row>
    <row r="953" spans="1:16" x14ac:dyDescent="0.25">
      <c r="A953" s="4" t="str">
        <f t="shared" si="14"/>
        <v>C0952</v>
      </c>
      <c r="B953" s="4">
        <v>45</v>
      </c>
      <c r="C953" s="5" t="str">
        <f>IF(recruitment_data3[[#This Row],[Gender]]=1,"Female","Male")</f>
        <v>Female</v>
      </c>
      <c r="D953" s="5">
        <v>1</v>
      </c>
      <c r="E953" s="5" t="str">
        <f>_xlfn.SWITCH(recruitment_data3[[#This Row],[EducationLevel]], 1,"Bachelor Type 1", 2,"Bachelor Type 2", 3,"Masters", 4,"PhD")</f>
        <v>Bachelor Type 2</v>
      </c>
      <c r="F953" s="5">
        <v>2</v>
      </c>
      <c r="G953" s="5">
        <v>2</v>
      </c>
      <c r="H953" s="5">
        <v>2</v>
      </c>
      <c r="I953" s="5">
        <v>36.120268293310097</v>
      </c>
      <c r="J953" s="5">
        <v>62</v>
      </c>
      <c r="K953" s="5">
        <v>65</v>
      </c>
      <c r="L953" s="5">
        <v>14</v>
      </c>
      <c r="M953" s="5" t="str">
        <f>_xlfn.SWITCH(recruitment_data3[[#This Row],[RecruitmentStrategy]], 1,"Aggressive", 2,"Moderate", 3,"Conservative")</f>
        <v>Moderate</v>
      </c>
      <c r="N953" s="5">
        <v>2</v>
      </c>
      <c r="O953" s="5" t="str">
        <f>IF(recruitment_data3[[#This Row],[HiringDecision]]=1,"Hired","Rejected")</f>
        <v>Rejected</v>
      </c>
      <c r="P953" s="6">
        <v>0</v>
      </c>
    </row>
    <row r="954" spans="1:16" x14ac:dyDescent="0.25">
      <c r="A954" s="4" t="str">
        <f t="shared" si="14"/>
        <v>C0953</v>
      </c>
      <c r="B954" s="4">
        <v>47</v>
      </c>
      <c r="C954" s="5" t="str">
        <f>IF(recruitment_data3[[#This Row],[Gender]]=1,"Female","Male")</f>
        <v>Male</v>
      </c>
      <c r="D954" s="5">
        <v>0</v>
      </c>
      <c r="E954" s="5" t="str">
        <f>_xlfn.SWITCH(recruitment_data3[[#This Row],[EducationLevel]], 1,"Bachelor Type 1", 2,"Bachelor Type 2", 3,"Masters", 4,"PhD")</f>
        <v>Bachelor Type 1</v>
      </c>
      <c r="F954" s="5">
        <v>1</v>
      </c>
      <c r="G954" s="5">
        <v>2</v>
      </c>
      <c r="H954" s="5">
        <v>4</v>
      </c>
      <c r="I954" s="5">
        <v>15.972886196712732</v>
      </c>
      <c r="J954" s="5">
        <v>92</v>
      </c>
      <c r="K954" s="5">
        <v>5</v>
      </c>
      <c r="L954" s="5">
        <v>64</v>
      </c>
      <c r="M954" s="5" t="str">
        <f>_xlfn.SWITCH(recruitment_data3[[#This Row],[RecruitmentStrategy]], 1,"Aggressive", 2,"Moderate", 3,"Conservative")</f>
        <v>Moderate</v>
      </c>
      <c r="N954" s="5">
        <v>2</v>
      </c>
      <c r="O954" s="5" t="str">
        <f>IF(recruitment_data3[[#This Row],[HiringDecision]]=1,"Hired","Rejected")</f>
        <v>Rejected</v>
      </c>
      <c r="P954" s="6">
        <v>0</v>
      </c>
    </row>
    <row r="955" spans="1:16" x14ac:dyDescent="0.25">
      <c r="A955" s="4" t="str">
        <f t="shared" si="14"/>
        <v>C0954</v>
      </c>
      <c r="B955" s="4">
        <v>37</v>
      </c>
      <c r="C955" s="5" t="str">
        <f>IF(recruitment_data3[[#This Row],[Gender]]=1,"Female","Male")</f>
        <v>Male</v>
      </c>
      <c r="D955" s="5">
        <v>0</v>
      </c>
      <c r="E955" s="5" t="str">
        <f>_xlfn.SWITCH(recruitment_data3[[#This Row],[EducationLevel]], 1,"Bachelor Type 1", 2,"Bachelor Type 2", 3,"Masters", 4,"PhD")</f>
        <v>Bachelor Type 2</v>
      </c>
      <c r="F955" s="5">
        <v>2</v>
      </c>
      <c r="G955" s="5">
        <v>3</v>
      </c>
      <c r="H955" s="5">
        <v>4</v>
      </c>
      <c r="I955" s="5">
        <v>14.442845645208584</v>
      </c>
      <c r="J955" s="5">
        <v>64</v>
      </c>
      <c r="K955" s="5">
        <v>30</v>
      </c>
      <c r="L955" s="5">
        <v>53</v>
      </c>
      <c r="M955" s="5" t="str">
        <f>_xlfn.SWITCH(recruitment_data3[[#This Row],[RecruitmentStrategy]], 1,"Aggressive", 2,"Moderate", 3,"Conservative")</f>
        <v>Moderate</v>
      </c>
      <c r="N955" s="5">
        <v>2</v>
      </c>
      <c r="O955" s="5" t="str">
        <f>IF(recruitment_data3[[#This Row],[HiringDecision]]=1,"Hired","Rejected")</f>
        <v>Rejected</v>
      </c>
      <c r="P955" s="6">
        <v>0</v>
      </c>
    </row>
    <row r="956" spans="1:16" x14ac:dyDescent="0.25">
      <c r="A956" s="4" t="str">
        <f t="shared" si="14"/>
        <v>C0955</v>
      </c>
      <c r="B956" s="4">
        <v>47</v>
      </c>
      <c r="C956" s="5" t="str">
        <f>IF(recruitment_data3[[#This Row],[Gender]]=1,"Female","Male")</f>
        <v>Female</v>
      </c>
      <c r="D956" s="5">
        <v>1</v>
      </c>
      <c r="E956" s="5" t="str">
        <f>_xlfn.SWITCH(recruitment_data3[[#This Row],[EducationLevel]], 1,"Bachelor Type 1", 2,"Bachelor Type 2", 3,"Masters", 4,"PhD")</f>
        <v>Bachelor Type 2</v>
      </c>
      <c r="F956" s="5">
        <v>2</v>
      </c>
      <c r="G956" s="5">
        <v>4</v>
      </c>
      <c r="H956" s="5">
        <v>5</v>
      </c>
      <c r="I956" s="5">
        <v>50.89887277791302</v>
      </c>
      <c r="J956" s="5">
        <v>67</v>
      </c>
      <c r="K956" s="5">
        <v>9</v>
      </c>
      <c r="L956" s="5">
        <v>29</v>
      </c>
      <c r="M956" s="5" t="str">
        <f>_xlfn.SWITCH(recruitment_data3[[#This Row],[RecruitmentStrategy]], 1,"Aggressive", 2,"Moderate", 3,"Conservative")</f>
        <v>Moderate</v>
      </c>
      <c r="N956" s="5">
        <v>2</v>
      </c>
      <c r="O956" s="5" t="str">
        <f>IF(recruitment_data3[[#This Row],[HiringDecision]]=1,"Hired","Rejected")</f>
        <v>Rejected</v>
      </c>
      <c r="P956" s="6">
        <v>0</v>
      </c>
    </row>
    <row r="957" spans="1:16" x14ac:dyDescent="0.25">
      <c r="A957" s="4" t="str">
        <f t="shared" si="14"/>
        <v>C0956</v>
      </c>
      <c r="B957" s="4">
        <v>47</v>
      </c>
      <c r="C957" s="5" t="str">
        <f>IF(recruitment_data3[[#This Row],[Gender]]=1,"Female","Male")</f>
        <v>Female</v>
      </c>
      <c r="D957" s="5">
        <v>1</v>
      </c>
      <c r="E957" s="5" t="str">
        <f>_xlfn.SWITCH(recruitment_data3[[#This Row],[EducationLevel]], 1,"Bachelor Type 1", 2,"Bachelor Type 2", 3,"Masters", 4,"PhD")</f>
        <v>Bachelor Type 1</v>
      </c>
      <c r="F957" s="5">
        <v>1</v>
      </c>
      <c r="G957" s="5">
        <v>9</v>
      </c>
      <c r="H957" s="5">
        <v>1</v>
      </c>
      <c r="I957" s="5">
        <v>43.90694625133272</v>
      </c>
      <c r="J957" s="5">
        <v>62</v>
      </c>
      <c r="K957" s="5">
        <v>20</v>
      </c>
      <c r="L957" s="5">
        <v>92</v>
      </c>
      <c r="M957" s="5" t="str">
        <f>_xlfn.SWITCH(recruitment_data3[[#This Row],[RecruitmentStrategy]], 1,"Aggressive", 2,"Moderate", 3,"Conservative")</f>
        <v>Aggressive</v>
      </c>
      <c r="N957" s="5">
        <v>1</v>
      </c>
      <c r="O957" s="5" t="str">
        <f>IF(recruitment_data3[[#This Row],[HiringDecision]]=1,"Hired","Rejected")</f>
        <v>Hired</v>
      </c>
      <c r="P957" s="6">
        <v>1</v>
      </c>
    </row>
    <row r="958" spans="1:16" x14ac:dyDescent="0.25">
      <c r="A958" s="4" t="str">
        <f t="shared" si="14"/>
        <v>C0957</v>
      </c>
      <c r="B958" s="4">
        <v>24</v>
      </c>
      <c r="C958" s="5" t="str">
        <f>IF(recruitment_data3[[#This Row],[Gender]]=1,"Female","Male")</f>
        <v>Female</v>
      </c>
      <c r="D958" s="5">
        <v>1</v>
      </c>
      <c r="E958" s="5" t="str">
        <f>_xlfn.SWITCH(recruitment_data3[[#This Row],[EducationLevel]], 1,"Bachelor Type 1", 2,"Bachelor Type 2", 3,"Masters", 4,"PhD")</f>
        <v>PhD</v>
      </c>
      <c r="F958" s="5">
        <v>4</v>
      </c>
      <c r="G958" s="5">
        <v>0</v>
      </c>
      <c r="H958" s="5">
        <v>4</v>
      </c>
      <c r="I958" s="5">
        <v>21.396890918392053</v>
      </c>
      <c r="J958" s="5">
        <v>95</v>
      </c>
      <c r="K958" s="5">
        <v>73</v>
      </c>
      <c r="L958" s="5">
        <v>19</v>
      </c>
      <c r="M958" s="5" t="str">
        <f>_xlfn.SWITCH(recruitment_data3[[#This Row],[RecruitmentStrategy]], 1,"Aggressive", 2,"Moderate", 3,"Conservative")</f>
        <v>Moderate</v>
      </c>
      <c r="N958" s="5">
        <v>2</v>
      </c>
      <c r="O958" s="5" t="str">
        <f>IF(recruitment_data3[[#This Row],[HiringDecision]]=1,"Hired","Rejected")</f>
        <v>Rejected</v>
      </c>
      <c r="P958" s="6">
        <v>0</v>
      </c>
    </row>
    <row r="959" spans="1:16" x14ac:dyDescent="0.25">
      <c r="A959" s="4" t="str">
        <f t="shared" si="14"/>
        <v>C0958</v>
      </c>
      <c r="B959" s="4">
        <v>28</v>
      </c>
      <c r="C959" s="5" t="str">
        <f>IF(recruitment_data3[[#This Row],[Gender]]=1,"Female","Male")</f>
        <v>Female</v>
      </c>
      <c r="D959" s="5">
        <v>1</v>
      </c>
      <c r="E959" s="5" t="str">
        <f>_xlfn.SWITCH(recruitment_data3[[#This Row],[EducationLevel]], 1,"Bachelor Type 1", 2,"Bachelor Type 2", 3,"Masters", 4,"PhD")</f>
        <v>PhD</v>
      </c>
      <c r="F959" s="5">
        <v>4</v>
      </c>
      <c r="G959" s="5">
        <v>14</v>
      </c>
      <c r="H959" s="5">
        <v>1</v>
      </c>
      <c r="I959" s="5">
        <v>50.013060390824954</v>
      </c>
      <c r="J959" s="5">
        <v>96</v>
      </c>
      <c r="K959" s="5">
        <v>22</v>
      </c>
      <c r="L959" s="5">
        <v>32</v>
      </c>
      <c r="M959" s="5" t="str">
        <f>_xlfn.SWITCH(recruitment_data3[[#This Row],[RecruitmentStrategy]], 1,"Aggressive", 2,"Moderate", 3,"Conservative")</f>
        <v>Aggressive</v>
      </c>
      <c r="N959" s="5">
        <v>1</v>
      </c>
      <c r="O959" s="5" t="str">
        <f>IF(recruitment_data3[[#This Row],[HiringDecision]]=1,"Hired","Rejected")</f>
        <v>Hired</v>
      </c>
      <c r="P959" s="6">
        <v>1</v>
      </c>
    </row>
    <row r="960" spans="1:16" x14ac:dyDescent="0.25">
      <c r="A960" s="4" t="str">
        <f t="shared" si="14"/>
        <v>C0959</v>
      </c>
      <c r="B960" s="4">
        <v>23</v>
      </c>
      <c r="C960" s="5" t="str">
        <f>IF(recruitment_data3[[#This Row],[Gender]]=1,"Female","Male")</f>
        <v>Male</v>
      </c>
      <c r="D960" s="5">
        <v>0</v>
      </c>
      <c r="E960" s="5" t="str">
        <f>_xlfn.SWITCH(recruitment_data3[[#This Row],[EducationLevel]], 1,"Bachelor Type 1", 2,"Bachelor Type 2", 3,"Masters", 4,"PhD")</f>
        <v>Bachelor Type 2</v>
      </c>
      <c r="F960" s="5">
        <v>2</v>
      </c>
      <c r="G960" s="5">
        <v>14</v>
      </c>
      <c r="H960" s="5">
        <v>5</v>
      </c>
      <c r="I960" s="5">
        <v>33.505661170960678</v>
      </c>
      <c r="J960" s="5">
        <v>89</v>
      </c>
      <c r="K960" s="5">
        <v>2</v>
      </c>
      <c r="L960" s="5">
        <v>99</v>
      </c>
      <c r="M960" s="5" t="str">
        <f>_xlfn.SWITCH(recruitment_data3[[#This Row],[RecruitmentStrategy]], 1,"Aggressive", 2,"Moderate", 3,"Conservative")</f>
        <v>Moderate</v>
      </c>
      <c r="N960" s="5">
        <v>2</v>
      </c>
      <c r="O960" s="5" t="str">
        <f>IF(recruitment_data3[[#This Row],[HiringDecision]]=1,"Hired","Rejected")</f>
        <v>Rejected</v>
      </c>
      <c r="P960" s="6">
        <v>0</v>
      </c>
    </row>
    <row r="961" spans="1:16" x14ac:dyDescent="0.25">
      <c r="A961" s="4" t="str">
        <f t="shared" si="14"/>
        <v>C0960</v>
      </c>
      <c r="B961" s="4">
        <v>46</v>
      </c>
      <c r="C961" s="5" t="str">
        <f>IF(recruitment_data3[[#This Row],[Gender]]=1,"Female","Male")</f>
        <v>Female</v>
      </c>
      <c r="D961" s="5">
        <v>1</v>
      </c>
      <c r="E961" s="5" t="str">
        <f>_xlfn.SWITCH(recruitment_data3[[#This Row],[EducationLevel]], 1,"Bachelor Type 1", 2,"Bachelor Type 2", 3,"Masters", 4,"PhD")</f>
        <v>Bachelor Type 1</v>
      </c>
      <c r="F961" s="5">
        <v>1</v>
      </c>
      <c r="G961" s="5">
        <v>6</v>
      </c>
      <c r="H961" s="5">
        <v>1</v>
      </c>
      <c r="I961" s="5">
        <v>38.101122593988009</v>
      </c>
      <c r="J961" s="5">
        <v>80</v>
      </c>
      <c r="K961" s="5">
        <v>31</v>
      </c>
      <c r="L961" s="5">
        <v>85</v>
      </c>
      <c r="M961" s="5" t="str">
        <f>_xlfn.SWITCH(recruitment_data3[[#This Row],[RecruitmentStrategy]], 1,"Aggressive", 2,"Moderate", 3,"Conservative")</f>
        <v>Conservative</v>
      </c>
      <c r="N961" s="5">
        <v>3</v>
      </c>
      <c r="O961" s="5" t="str">
        <f>IF(recruitment_data3[[#This Row],[HiringDecision]]=1,"Hired","Rejected")</f>
        <v>Rejected</v>
      </c>
      <c r="P961" s="6">
        <v>0</v>
      </c>
    </row>
    <row r="962" spans="1:16" x14ac:dyDescent="0.25">
      <c r="A962" s="4" t="str">
        <f t="shared" ref="A962:A1025" si="15">"C"&amp;TEXT(ROW()-1,"0000")</f>
        <v>C0961</v>
      </c>
      <c r="B962" s="4">
        <v>41</v>
      </c>
      <c r="C962" s="5" t="str">
        <f>IF(recruitment_data3[[#This Row],[Gender]]=1,"Female","Male")</f>
        <v>Female</v>
      </c>
      <c r="D962" s="5">
        <v>1</v>
      </c>
      <c r="E962" s="5" t="str">
        <f>_xlfn.SWITCH(recruitment_data3[[#This Row],[EducationLevel]], 1,"Bachelor Type 1", 2,"Bachelor Type 2", 3,"Masters", 4,"PhD")</f>
        <v>Masters</v>
      </c>
      <c r="F962" s="5">
        <v>3</v>
      </c>
      <c r="G962" s="5">
        <v>8</v>
      </c>
      <c r="H962" s="5">
        <v>2</v>
      </c>
      <c r="I962" s="5">
        <v>2.5756521541105792</v>
      </c>
      <c r="J962" s="5">
        <v>86</v>
      </c>
      <c r="K962" s="5">
        <v>19</v>
      </c>
      <c r="L962" s="5">
        <v>76</v>
      </c>
      <c r="M962" s="5" t="str">
        <f>_xlfn.SWITCH(recruitment_data3[[#This Row],[RecruitmentStrategy]], 1,"Aggressive", 2,"Moderate", 3,"Conservative")</f>
        <v>Moderate</v>
      </c>
      <c r="N962" s="5">
        <v>2</v>
      </c>
      <c r="O962" s="5" t="str">
        <f>IF(recruitment_data3[[#This Row],[HiringDecision]]=1,"Hired","Rejected")</f>
        <v>Hired</v>
      </c>
      <c r="P962" s="6">
        <v>1</v>
      </c>
    </row>
    <row r="963" spans="1:16" x14ac:dyDescent="0.25">
      <c r="A963" s="4" t="str">
        <f t="shared" si="15"/>
        <v>C0962</v>
      </c>
      <c r="B963" s="4">
        <v>50</v>
      </c>
      <c r="C963" s="5" t="str">
        <f>IF(recruitment_data3[[#This Row],[Gender]]=1,"Female","Male")</f>
        <v>Male</v>
      </c>
      <c r="D963" s="5">
        <v>0</v>
      </c>
      <c r="E963" s="5" t="str">
        <f>_xlfn.SWITCH(recruitment_data3[[#This Row],[EducationLevel]], 1,"Bachelor Type 1", 2,"Bachelor Type 2", 3,"Masters", 4,"PhD")</f>
        <v>Bachelor Type 2</v>
      </c>
      <c r="F963" s="5">
        <v>2</v>
      </c>
      <c r="G963" s="5">
        <v>7</v>
      </c>
      <c r="H963" s="5">
        <v>4</v>
      </c>
      <c r="I963" s="5">
        <v>7.080262967402855</v>
      </c>
      <c r="J963" s="5">
        <v>63</v>
      </c>
      <c r="K963" s="5">
        <v>73</v>
      </c>
      <c r="L963" s="5">
        <v>6</v>
      </c>
      <c r="M963" s="5" t="str">
        <f>_xlfn.SWITCH(recruitment_data3[[#This Row],[RecruitmentStrategy]], 1,"Aggressive", 2,"Moderate", 3,"Conservative")</f>
        <v>Conservative</v>
      </c>
      <c r="N963" s="5">
        <v>3</v>
      </c>
      <c r="O963" s="5" t="str">
        <f>IF(recruitment_data3[[#This Row],[HiringDecision]]=1,"Hired","Rejected")</f>
        <v>Rejected</v>
      </c>
      <c r="P963" s="6">
        <v>0</v>
      </c>
    </row>
    <row r="964" spans="1:16" x14ac:dyDescent="0.25">
      <c r="A964" s="4" t="str">
        <f t="shared" si="15"/>
        <v>C0963</v>
      </c>
      <c r="B964" s="4">
        <v>36</v>
      </c>
      <c r="C964" s="5" t="str">
        <f>IF(recruitment_data3[[#This Row],[Gender]]=1,"Female","Male")</f>
        <v>Female</v>
      </c>
      <c r="D964" s="5">
        <v>1</v>
      </c>
      <c r="E964" s="5" t="str">
        <f>_xlfn.SWITCH(recruitment_data3[[#This Row],[EducationLevel]], 1,"Bachelor Type 1", 2,"Bachelor Type 2", 3,"Masters", 4,"PhD")</f>
        <v>Bachelor Type 2</v>
      </c>
      <c r="F964" s="5">
        <v>2</v>
      </c>
      <c r="G964" s="5">
        <v>14</v>
      </c>
      <c r="H964" s="5">
        <v>1</v>
      </c>
      <c r="I964" s="5">
        <v>32.654256324811918</v>
      </c>
      <c r="J964" s="5">
        <v>31</v>
      </c>
      <c r="K964" s="5">
        <v>28</v>
      </c>
      <c r="L964" s="5">
        <v>7</v>
      </c>
      <c r="M964" s="5" t="str">
        <f>_xlfn.SWITCH(recruitment_data3[[#This Row],[RecruitmentStrategy]], 1,"Aggressive", 2,"Moderate", 3,"Conservative")</f>
        <v>Moderate</v>
      </c>
      <c r="N964" s="5">
        <v>2</v>
      </c>
      <c r="O964" s="5" t="str">
        <f>IF(recruitment_data3[[#This Row],[HiringDecision]]=1,"Hired","Rejected")</f>
        <v>Rejected</v>
      </c>
      <c r="P964" s="6">
        <v>0</v>
      </c>
    </row>
    <row r="965" spans="1:16" x14ac:dyDescent="0.25">
      <c r="A965" s="4" t="str">
        <f t="shared" si="15"/>
        <v>C0964</v>
      </c>
      <c r="B965" s="4">
        <v>28</v>
      </c>
      <c r="C965" s="5" t="str">
        <f>IF(recruitment_data3[[#This Row],[Gender]]=1,"Female","Male")</f>
        <v>Male</v>
      </c>
      <c r="D965" s="5">
        <v>0</v>
      </c>
      <c r="E965" s="5" t="str">
        <f>_xlfn.SWITCH(recruitment_data3[[#This Row],[EducationLevel]], 1,"Bachelor Type 1", 2,"Bachelor Type 2", 3,"Masters", 4,"PhD")</f>
        <v>Bachelor Type 2</v>
      </c>
      <c r="F965" s="5">
        <v>2</v>
      </c>
      <c r="G965" s="5">
        <v>14</v>
      </c>
      <c r="H965" s="5">
        <v>3</v>
      </c>
      <c r="I965" s="5">
        <v>45.951199132474194</v>
      </c>
      <c r="J965" s="5">
        <v>78</v>
      </c>
      <c r="K965" s="5">
        <v>51</v>
      </c>
      <c r="L965" s="5">
        <v>27</v>
      </c>
      <c r="M965" s="5" t="str">
        <f>_xlfn.SWITCH(recruitment_data3[[#This Row],[RecruitmentStrategy]], 1,"Aggressive", 2,"Moderate", 3,"Conservative")</f>
        <v>Moderate</v>
      </c>
      <c r="N965" s="5">
        <v>2</v>
      </c>
      <c r="O965" s="5" t="str">
        <f>IF(recruitment_data3[[#This Row],[HiringDecision]]=1,"Hired","Rejected")</f>
        <v>Rejected</v>
      </c>
      <c r="P965" s="6">
        <v>0</v>
      </c>
    </row>
    <row r="966" spans="1:16" x14ac:dyDescent="0.25">
      <c r="A966" s="4" t="str">
        <f t="shared" si="15"/>
        <v>C0965</v>
      </c>
      <c r="B966" s="4">
        <v>20</v>
      </c>
      <c r="C966" s="5" t="str">
        <f>IF(recruitment_data3[[#This Row],[Gender]]=1,"Female","Male")</f>
        <v>Female</v>
      </c>
      <c r="D966" s="5">
        <v>1</v>
      </c>
      <c r="E966" s="5" t="str">
        <f>_xlfn.SWITCH(recruitment_data3[[#This Row],[EducationLevel]], 1,"Bachelor Type 1", 2,"Bachelor Type 2", 3,"Masters", 4,"PhD")</f>
        <v>Bachelor Type 2</v>
      </c>
      <c r="F966" s="5">
        <v>2</v>
      </c>
      <c r="G966" s="5">
        <v>4</v>
      </c>
      <c r="H966" s="5">
        <v>1</v>
      </c>
      <c r="I966" s="5">
        <v>32.187186304379779</v>
      </c>
      <c r="J966" s="5">
        <v>12</v>
      </c>
      <c r="K966" s="5">
        <v>45</v>
      </c>
      <c r="L966" s="5">
        <v>44</v>
      </c>
      <c r="M966" s="5" t="str">
        <f>_xlfn.SWITCH(recruitment_data3[[#This Row],[RecruitmentStrategy]], 1,"Aggressive", 2,"Moderate", 3,"Conservative")</f>
        <v>Moderate</v>
      </c>
      <c r="N966" s="5">
        <v>2</v>
      </c>
      <c r="O966" s="5" t="str">
        <f>IF(recruitment_data3[[#This Row],[HiringDecision]]=1,"Hired","Rejected")</f>
        <v>Rejected</v>
      </c>
      <c r="P966" s="6">
        <v>0</v>
      </c>
    </row>
    <row r="967" spans="1:16" x14ac:dyDescent="0.25">
      <c r="A967" s="4" t="str">
        <f t="shared" si="15"/>
        <v>C0966</v>
      </c>
      <c r="B967" s="4">
        <v>40</v>
      </c>
      <c r="C967" s="5" t="str">
        <f>IF(recruitment_data3[[#This Row],[Gender]]=1,"Female","Male")</f>
        <v>Female</v>
      </c>
      <c r="D967" s="5">
        <v>1</v>
      </c>
      <c r="E967" s="5" t="str">
        <f>_xlfn.SWITCH(recruitment_data3[[#This Row],[EducationLevel]], 1,"Bachelor Type 1", 2,"Bachelor Type 2", 3,"Masters", 4,"PhD")</f>
        <v>Bachelor Type 2</v>
      </c>
      <c r="F967" s="5">
        <v>2</v>
      </c>
      <c r="G967" s="5">
        <v>13</v>
      </c>
      <c r="H967" s="5">
        <v>4</v>
      </c>
      <c r="I967" s="5">
        <v>7.7012447159495894</v>
      </c>
      <c r="J967" s="5">
        <v>65</v>
      </c>
      <c r="K967" s="5">
        <v>33</v>
      </c>
      <c r="L967" s="5">
        <v>72</v>
      </c>
      <c r="M967" s="5" t="str">
        <f>_xlfn.SWITCH(recruitment_data3[[#This Row],[RecruitmentStrategy]], 1,"Aggressive", 2,"Moderate", 3,"Conservative")</f>
        <v>Conservative</v>
      </c>
      <c r="N967" s="5">
        <v>3</v>
      </c>
      <c r="O967" s="5" t="str">
        <f>IF(recruitment_data3[[#This Row],[HiringDecision]]=1,"Hired","Rejected")</f>
        <v>Rejected</v>
      </c>
      <c r="P967" s="6">
        <v>0</v>
      </c>
    </row>
    <row r="968" spans="1:16" x14ac:dyDescent="0.25">
      <c r="A968" s="4" t="str">
        <f t="shared" si="15"/>
        <v>C0967</v>
      </c>
      <c r="B968" s="4">
        <v>39</v>
      </c>
      <c r="C968" s="5" t="str">
        <f>IF(recruitment_data3[[#This Row],[Gender]]=1,"Female","Male")</f>
        <v>Male</v>
      </c>
      <c r="D968" s="5">
        <v>0</v>
      </c>
      <c r="E968" s="5" t="str">
        <f>_xlfn.SWITCH(recruitment_data3[[#This Row],[EducationLevel]], 1,"Bachelor Type 1", 2,"Bachelor Type 2", 3,"Masters", 4,"PhD")</f>
        <v>Bachelor Type 2</v>
      </c>
      <c r="F968" s="5">
        <v>2</v>
      </c>
      <c r="G968" s="5">
        <v>13</v>
      </c>
      <c r="H968" s="5">
        <v>5</v>
      </c>
      <c r="I968" s="5">
        <v>6.7880023123162321</v>
      </c>
      <c r="J968" s="5">
        <v>18</v>
      </c>
      <c r="K968" s="5">
        <v>100</v>
      </c>
      <c r="L968" s="5">
        <v>88</v>
      </c>
      <c r="M968" s="5" t="str">
        <f>_xlfn.SWITCH(recruitment_data3[[#This Row],[RecruitmentStrategy]], 1,"Aggressive", 2,"Moderate", 3,"Conservative")</f>
        <v>Moderate</v>
      </c>
      <c r="N968" s="5">
        <v>2</v>
      </c>
      <c r="O968" s="5" t="str">
        <f>IF(recruitment_data3[[#This Row],[HiringDecision]]=1,"Hired","Rejected")</f>
        <v>Rejected</v>
      </c>
      <c r="P968" s="6">
        <v>0</v>
      </c>
    </row>
    <row r="969" spans="1:16" x14ac:dyDescent="0.25">
      <c r="A969" s="4" t="str">
        <f t="shared" si="15"/>
        <v>C0968</v>
      </c>
      <c r="B969" s="4">
        <v>32</v>
      </c>
      <c r="C969" s="5" t="str">
        <f>IF(recruitment_data3[[#This Row],[Gender]]=1,"Female","Male")</f>
        <v>Male</v>
      </c>
      <c r="D969" s="5">
        <v>0</v>
      </c>
      <c r="E969" s="5" t="str">
        <f>_xlfn.SWITCH(recruitment_data3[[#This Row],[EducationLevel]], 1,"Bachelor Type 1", 2,"Bachelor Type 2", 3,"Masters", 4,"PhD")</f>
        <v>Bachelor Type 2</v>
      </c>
      <c r="F969" s="5">
        <v>2</v>
      </c>
      <c r="G969" s="5">
        <v>3</v>
      </c>
      <c r="H969" s="5">
        <v>5</v>
      </c>
      <c r="I969" s="5">
        <v>43.20929479120408</v>
      </c>
      <c r="J969" s="5">
        <v>23</v>
      </c>
      <c r="K969" s="5">
        <v>83</v>
      </c>
      <c r="L969" s="5">
        <v>79</v>
      </c>
      <c r="M969" s="5" t="str">
        <f>_xlfn.SWITCH(recruitment_data3[[#This Row],[RecruitmentStrategy]], 1,"Aggressive", 2,"Moderate", 3,"Conservative")</f>
        <v>Aggressive</v>
      </c>
      <c r="N969" s="5">
        <v>1</v>
      </c>
      <c r="O969" s="5" t="str">
        <f>IF(recruitment_data3[[#This Row],[HiringDecision]]=1,"Hired","Rejected")</f>
        <v>Hired</v>
      </c>
      <c r="P969" s="6">
        <v>1</v>
      </c>
    </row>
    <row r="970" spans="1:16" x14ac:dyDescent="0.25">
      <c r="A970" s="4" t="str">
        <f t="shared" si="15"/>
        <v>C0969</v>
      </c>
      <c r="B970" s="4">
        <v>47</v>
      </c>
      <c r="C970" s="5" t="str">
        <f>IF(recruitment_data3[[#This Row],[Gender]]=1,"Female","Male")</f>
        <v>Female</v>
      </c>
      <c r="D970" s="5">
        <v>1</v>
      </c>
      <c r="E970" s="5" t="str">
        <f>_xlfn.SWITCH(recruitment_data3[[#This Row],[EducationLevel]], 1,"Bachelor Type 1", 2,"Bachelor Type 2", 3,"Masters", 4,"PhD")</f>
        <v>PhD</v>
      </c>
      <c r="F970" s="5">
        <v>4</v>
      </c>
      <c r="G970" s="5">
        <v>11</v>
      </c>
      <c r="H970" s="5">
        <v>4</v>
      </c>
      <c r="I970" s="5">
        <v>7.9651169353957156</v>
      </c>
      <c r="J970" s="5">
        <v>87</v>
      </c>
      <c r="K970" s="5">
        <v>60</v>
      </c>
      <c r="L970" s="5">
        <v>73</v>
      </c>
      <c r="M970" s="5" t="str">
        <f>_xlfn.SWITCH(recruitment_data3[[#This Row],[RecruitmentStrategy]], 1,"Aggressive", 2,"Moderate", 3,"Conservative")</f>
        <v>Conservative</v>
      </c>
      <c r="N970" s="5">
        <v>3</v>
      </c>
      <c r="O970" s="5" t="str">
        <f>IF(recruitment_data3[[#This Row],[HiringDecision]]=1,"Hired","Rejected")</f>
        <v>Hired</v>
      </c>
      <c r="P970" s="6">
        <v>1</v>
      </c>
    </row>
    <row r="971" spans="1:16" x14ac:dyDescent="0.25">
      <c r="A971" s="4" t="str">
        <f t="shared" si="15"/>
        <v>C0970</v>
      </c>
      <c r="B971" s="4">
        <v>35</v>
      </c>
      <c r="C971" s="5" t="str">
        <f>IF(recruitment_data3[[#This Row],[Gender]]=1,"Female","Male")</f>
        <v>Female</v>
      </c>
      <c r="D971" s="5">
        <v>1</v>
      </c>
      <c r="E971" s="5" t="str">
        <f>_xlfn.SWITCH(recruitment_data3[[#This Row],[EducationLevel]], 1,"Bachelor Type 1", 2,"Bachelor Type 2", 3,"Masters", 4,"PhD")</f>
        <v>Bachelor Type 2</v>
      </c>
      <c r="F971" s="5">
        <v>2</v>
      </c>
      <c r="G971" s="5">
        <v>6</v>
      </c>
      <c r="H971" s="5">
        <v>2</v>
      </c>
      <c r="I971" s="5">
        <v>27.01159802520127</v>
      </c>
      <c r="J971" s="5">
        <v>10</v>
      </c>
      <c r="K971" s="5">
        <v>71</v>
      </c>
      <c r="L971" s="5">
        <v>10</v>
      </c>
      <c r="M971" s="5" t="str">
        <f>_xlfn.SWITCH(recruitment_data3[[#This Row],[RecruitmentStrategy]], 1,"Aggressive", 2,"Moderate", 3,"Conservative")</f>
        <v>Moderate</v>
      </c>
      <c r="N971" s="5">
        <v>2</v>
      </c>
      <c r="O971" s="5" t="str">
        <f>IF(recruitment_data3[[#This Row],[HiringDecision]]=1,"Hired","Rejected")</f>
        <v>Rejected</v>
      </c>
      <c r="P971" s="6">
        <v>0</v>
      </c>
    </row>
    <row r="972" spans="1:16" x14ac:dyDescent="0.25">
      <c r="A972" s="4" t="str">
        <f t="shared" si="15"/>
        <v>C0971</v>
      </c>
      <c r="B972" s="4">
        <v>48</v>
      </c>
      <c r="C972" s="5" t="str">
        <f>IF(recruitment_data3[[#This Row],[Gender]]=1,"Female","Male")</f>
        <v>Female</v>
      </c>
      <c r="D972" s="5">
        <v>1</v>
      </c>
      <c r="E972" s="5" t="str">
        <f>_xlfn.SWITCH(recruitment_data3[[#This Row],[EducationLevel]], 1,"Bachelor Type 1", 2,"Bachelor Type 2", 3,"Masters", 4,"PhD")</f>
        <v>Masters</v>
      </c>
      <c r="F972" s="5">
        <v>3</v>
      </c>
      <c r="G972" s="5">
        <v>4</v>
      </c>
      <c r="H972" s="5">
        <v>2</v>
      </c>
      <c r="I972" s="5">
        <v>2.8556659981151133</v>
      </c>
      <c r="J972" s="5">
        <v>58</v>
      </c>
      <c r="K972" s="5">
        <v>70</v>
      </c>
      <c r="L972" s="5">
        <v>30</v>
      </c>
      <c r="M972" s="5" t="str">
        <f>_xlfn.SWITCH(recruitment_data3[[#This Row],[RecruitmentStrategy]], 1,"Aggressive", 2,"Moderate", 3,"Conservative")</f>
        <v>Aggressive</v>
      </c>
      <c r="N972" s="5">
        <v>1</v>
      </c>
      <c r="O972" s="5" t="str">
        <f>IF(recruitment_data3[[#This Row],[HiringDecision]]=1,"Hired","Rejected")</f>
        <v>Hired</v>
      </c>
      <c r="P972" s="6">
        <v>1</v>
      </c>
    </row>
    <row r="973" spans="1:16" x14ac:dyDescent="0.25">
      <c r="A973" s="4" t="str">
        <f t="shared" si="15"/>
        <v>C0972</v>
      </c>
      <c r="B973" s="4">
        <v>32</v>
      </c>
      <c r="C973" s="5" t="str">
        <f>IF(recruitment_data3[[#This Row],[Gender]]=1,"Female","Male")</f>
        <v>Male</v>
      </c>
      <c r="D973" s="5">
        <v>0</v>
      </c>
      <c r="E973" s="5" t="str">
        <f>_xlfn.SWITCH(recruitment_data3[[#This Row],[EducationLevel]], 1,"Bachelor Type 1", 2,"Bachelor Type 2", 3,"Masters", 4,"PhD")</f>
        <v>Masters</v>
      </c>
      <c r="F973" s="5">
        <v>3</v>
      </c>
      <c r="G973" s="5">
        <v>6</v>
      </c>
      <c r="H973" s="5">
        <v>5</v>
      </c>
      <c r="I973" s="5">
        <v>5.033488369558869</v>
      </c>
      <c r="J973" s="5">
        <v>85</v>
      </c>
      <c r="K973" s="5">
        <v>69</v>
      </c>
      <c r="L973" s="5">
        <v>11</v>
      </c>
      <c r="M973" s="5" t="str">
        <f>_xlfn.SWITCH(recruitment_data3[[#This Row],[RecruitmentStrategy]], 1,"Aggressive", 2,"Moderate", 3,"Conservative")</f>
        <v>Moderate</v>
      </c>
      <c r="N973" s="5">
        <v>2</v>
      </c>
      <c r="O973" s="5" t="str">
        <f>IF(recruitment_data3[[#This Row],[HiringDecision]]=1,"Hired","Rejected")</f>
        <v>Hired</v>
      </c>
      <c r="P973" s="6">
        <v>1</v>
      </c>
    </row>
    <row r="974" spans="1:16" x14ac:dyDescent="0.25">
      <c r="A974" s="4" t="str">
        <f t="shared" si="15"/>
        <v>C0973</v>
      </c>
      <c r="B974" s="4">
        <v>33</v>
      </c>
      <c r="C974" s="5" t="str">
        <f>IF(recruitment_data3[[#This Row],[Gender]]=1,"Female","Male")</f>
        <v>Female</v>
      </c>
      <c r="D974" s="5">
        <v>1</v>
      </c>
      <c r="E974" s="5" t="str">
        <f>_xlfn.SWITCH(recruitment_data3[[#This Row],[EducationLevel]], 1,"Bachelor Type 1", 2,"Bachelor Type 2", 3,"Masters", 4,"PhD")</f>
        <v>Bachelor Type 2</v>
      </c>
      <c r="F974" s="5">
        <v>2</v>
      </c>
      <c r="G974" s="5">
        <v>11</v>
      </c>
      <c r="H974" s="5">
        <v>5</v>
      </c>
      <c r="I974" s="5">
        <v>34.617413382143241</v>
      </c>
      <c r="J974" s="5">
        <v>14</v>
      </c>
      <c r="K974" s="5">
        <v>10</v>
      </c>
      <c r="L974" s="5">
        <v>94</v>
      </c>
      <c r="M974" s="5" t="str">
        <f>_xlfn.SWITCH(recruitment_data3[[#This Row],[RecruitmentStrategy]], 1,"Aggressive", 2,"Moderate", 3,"Conservative")</f>
        <v>Conservative</v>
      </c>
      <c r="N974" s="5">
        <v>3</v>
      </c>
      <c r="O974" s="5" t="str">
        <f>IF(recruitment_data3[[#This Row],[HiringDecision]]=1,"Hired","Rejected")</f>
        <v>Rejected</v>
      </c>
      <c r="P974" s="6">
        <v>0</v>
      </c>
    </row>
    <row r="975" spans="1:16" x14ac:dyDescent="0.25">
      <c r="A975" s="4" t="str">
        <f t="shared" si="15"/>
        <v>C0974</v>
      </c>
      <c r="B975" s="4">
        <v>22</v>
      </c>
      <c r="C975" s="5" t="str">
        <f>IF(recruitment_data3[[#This Row],[Gender]]=1,"Female","Male")</f>
        <v>Male</v>
      </c>
      <c r="D975" s="5">
        <v>0</v>
      </c>
      <c r="E975" s="5" t="str">
        <f>_xlfn.SWITCH(recruitment_data3[[#This Row],[EducationLevel]], 1,"Bachelor Type 1", 2,"Bachelor Type 2", 3,"Masters", 4,"PhD")</f>
        <v>Bachelor Type 2</v>
      </c>
      <c r="F975" s="5">
        <v>2</v>
      </c>
      <c r="G975" s="5">
        <v>0</v>
      </c>
      <c r="H975" s="5">
        <v>4</v>
      </c>
      <c r="I975" s="5">
        <v>35.459070521375835</v>
      </c>
      <c r="J975" s="5">
        <v>9</v>
      </c>
      <c r="K975" s="5">
        <v>81</v>
      </c>
      <c r="L975" s="5">
        <v>77</v>
      </c>
      <c r="M975" s="5" t="str">
        <f>_xlfn.SWITCH(recruitment_data3[[#This Row],[RecruitmentStrategy]], 1,"Aggressive", 2,"Moderate", 3,"Conservative")</f>
        <v>Moderate</v>
      </c>
      <c r="N975" s="5">
        <v>2</v>
      </c>
      <c r="O975" s="5" t="str">
        <f>IF(recruitment_data3[[#This Row],[HiringDecision]]=1,"Hired","Rejected")</f>
        <v>Rejected</v>
      </c>
      <c r="P975" s="6">
        <v>0</v>
      </c>
    </row>
    <row r="976" spans="1:16" x14ac:dyDescent="0.25">
      <c r="A976" s="4" t="str">
        <f t="shared" si="15"/>
        <v>C0975</v>
      </c>
      <c r="B976" s="4">
        <v>48</v>
      </c>
      <c r="C976" s="5" t="str">
        <f>IF(recruitment_data3[[#This Row],[Gender]]=1,"Female","Male")</f>
        <v>Male</v>
      </c>
      <c r="D976" s="5">
        <v>0</v>
      </c>
      <c r="E976" s="5" t="str">
        <f>_xlfn.SWITCH(recruitment_data3[[#This Row],[EducationLevel]], 1,"Bachelor Type 1", 2,"Bachelor Type 2", 3,"Masters", 4,"PhD")</f>
        <v>Bachelor Type 2</v>
      </c>
      <c r="F976" s="5">
        <v>2</v>
      </c>
      <c r="G976" s="5">
        <v>0</v>
      </c>
      <c r="H976" s="5">
        <v>2</v>
      </c>
      <c r="I976" s="5">
        <v>18.073470330422118</v>
      </c>
      <c r="J976" s="5">
        <v>40</v>
      </c>
      <c r="K976" s="5">
        <v>92</v>
      </c>
      <c r="L976" s="5">
        <v>50</v>
      </c>
      <c r="M976" s="5" t="str">
        <f>_xlfn.SWITCH(recruitment_data3[[#This Row],[RecruitmentStrategy]], 1,"Aggressive", 2,"Moderate", 3,"Conservative")</f>
        <v>Moderate</v>
      </c>
      <c r="N976" s="5">
        <v>2</v>
      </c>
      <c r="O976" s="5" t="str">
        <f>IF(recruitment_data3[[#This Row],[HiringDecision]]=1,"Hired","Rejected")</f>
        <v>Rejected</v>
      </c>
      <c r="P976" s="6">
        <v>0</v>
      </c>
    </row>
    <row r="977" spans="1:16" x14ac:dyDescent="0.25">
      <c r="A977" s="4" t="str">
        <f t="shared" si="15"/>
        <v>C0976</v>
      </c>
      <c r="B977" s="4">
        <v>25</v>
      </c>
      <c r="C977" s="5" t="str">
        <f>IF(recruitment_data3[[#This Row],[Gender]]=1,"Female","Male")</f>
        <v>Female</v>
      </c>
      <c r="D977" s="5">
        <v>1</v>
      </c>
      <c r="E977" s="5" t="str">
        <f>_xlfn.SWITCH(recruitment_data3[[#This Row],[EducationLevel]], 1,"Bachelor Type 1", 2,"Bachelor Type 2", 3,"Masters", 4,"PhD")</f>
        <v>Bachelor Type 2</v>
      </c>
      <c r="F977" s="5">
        <v>2</v>
      </c>
      <c r="G977" s="5">
        <v>15</v>
      </c>
      <c r="H977" s="5">
        <v>5</v>
      </c>
      <c r="I977" s="5">
        <v>11.780488262152238</v>
      </c>
      <c r="J977" s="5">
        <v>26</v>
      </c>
      <c r="K977" s="5">
        <v>88</v>
      </c>
      <c r="L977" s="5">
        <v>43</v>
      </c>
      <c r="M977" s="5" t="str">
        <f>_xlfn.SWITCH(recruitment_data3[[#This Row],[RecruitmentStrategy]], 1,"Aggressive", 2,"Moderate", 3,"Conservative")</f>
        <v>Conservative</v>
      </c>
      <c r="N977" s="5">
        <v>3</v>
      </c>
      <c r="O977" s="5" t="str">
        <f>IF(recruitment_data3[[#This Row],[HiringDecision]]=1,"Hired","Rejected")</f>
        <v>Rejected</v>
      </c>
      <c r="P977" s="6">
        <v>0</v>
      </c>
    </row>
    <row r="978" spans="1:16" x14ac:dyDescent="0.25">
      <c r="A978" s="4" t="str">
        <f t="shared" si="15"/>
        <v>C0977</v>
      </c>
      <c r="B978" s="4">
        <v>37</v>
      </c>
      <c r="C978" s="5" t="str">
        <f>IF(recruitment_data3[[#This Row],[Gender]]=1,"Female","Male")</f>
        <v>Male</v>
      </c>
      <c r="D978" s="5">
        <v>0</v>
      </c>
      <c r="E978" s="5" t="str">
        <f>_xlfn.SWITCH(recruitment_data3[[#This Row],[EducationLevel]], 1,"Bachelor Type 1", 2,"Bachelor Type 2", 3,"Masters", 4,"PhD")</f>
        <v>Masters</v>
      </c>
      <c r="F978" s="5">
        <v>3</v>
      </c>
      <c r="G978" s="5">
        <v>9</v>
      </c>
      <c r="H978" s="5">
        <v>2</v>
      </c>
      <c r="I978" s="5">
        <v>41.685513537865397</v>
      </c>
      <c r="J978" s="5">
        <v>59</v>
      </c>
      <c r="K978" s="5">
        <v>62</v>
      </c>
      <c r="L978" s="5">
        <v>95</v>
      </c>
      <c r="M978" s="5" t="str">
        <f>_xlfn.SWITCH(recruitment_data3[[#This Row],[RecruitmentStrategy]], 1,"Aggressive", 2,"Moderate", 3,"Conservative")</f>
        <v>Moderate</v>
      </c>
      <c r="N978" s="5">
        <v>2</v>
      </c>
      <c r="O978" s="5" t="str">
        <f>IF(recruitment_data3[[#This Row],[HiringDecision]]=1,"Hired","Rejected")</f>
        <v>Hired</v>
      </c>
      <c r="P978" s="6">
        <v>1</v>
      </c>
    </row>
    <row r="979" spans="1:16" x14ac:dyDescent="0.25">
      <c r="A979" s="4" t="str">
        <f t="shared" si="15"/>
        <v>C0978</v>
      </c>
      <c r="B979" s="4">
        <v>38</v>
      </c>
      <c r="C979" s="5" t="str">
        <f>IF(recruitment_data3[[#This Row],[Gender]]=1,"Female","Male")</f>
        <v>Female</v>
      </c>
      <c r="D979" s="5">
        <v>1</v>
      </c>
      <c r="E979" s="5" t="str">
        <f>_xlfn.SWITCH(recruitment_data3[[#This Row],[EducationLevel]], 1,"Bachelor Type 1", 2,"Bachelor Type 2", 3,"Masters", 4,"PhD")</f>
        <v>Bachelor Type 2</v>
      </c>
      <c r="F979" s="5">
        <v>2</v>
      </c>
      <c r="G979" s="5">
        <v>13</v>
      </c>
      <c r="H979" s="5">
        <v>5</v>
      </c>
      <c r="I979" s="5">
        <v>11.855161473494517</v>
      </c>
      <c r="J979" s="5">
        <v>72</v>
      </c>
      <c r="K979" s="5">
        <v>20</v>
      </c>
      <c r="L979" s="5">
        <v>49</v>
      </c>
      <c r="M979" s="5" t="str">
        <f>_xlfn.SWITCH(recruitment_data3[[#This Row],[RecruitmentStrategy]], 1,"Aggressive", 2,"Moderate", 3,"Conservative")</f>
        <v>Moderate</v>
      </c>
      <c r="N979" s="5">
        <v>2</v>
      </c>
      <c r="O979" s="5" t="str">
        <f>IF(recruitment_data3[[#This Row],[HiringDecision]]=1,"Hired","Rejected")</f>
        <v>Rejected</v>
      </c>
      <c r="P979" s="6">
        <v>0</v>
      </c>
    </row>
    <row r="980" spans="1:16" x14ac:dyDescent="0.25">
      <c r="A980" s="4" t="str">
        <f t="shared" si="15"/>
        <v>C0979</v>
      </c>
      <c r="B980" s="4">
        <v>24</v>
      </c>
      <c r="C980" s="5" t="str">
        <f>IF(recruitment_data3[[#This Row],[Gender]]=1,"Female","Male")</f>
        <v>Female</v>
      </c>
      <c r="D980" s="5">
        <v>1</v>
      </c>
      <c r="E980" s="5" t="str">
        <f>_xlfn.SWITCH(recruitment_data3[[#This Row],[EducationLevel]], 1,"Bachelor Type 1", 2,"Bachelor Type 2", 3,"Masters", 4,"PhD")</f>
        <v>PhD</v>
      </c>
      <c r="F980" s="5">
        <v>4</v>
      </c>
      <c r="G980" s="5">
        <v>12</v>
      </c>
      <c r="H980" s="5">
        <v>1</v>
      </c>
      <c r="I980" s="5">
        <v>28.101353483318984</v>
      </c>
      <c r="J980" s="5">
        <v>51</v>
      </c>
      <c r="K980" s="5">
        <v>2</v>
      </c>
      <c r="L980" s="5">
        <v>16</v>
      </c>
      <c r="M980" s="5" t="str">
        <f>_xlfn.SWITCH(recruitment_data3[[#This Row],[RecruitmentStrategy]], 1,"Aggressive", 2,"Moderate", 3,"Conservative")</f>
        <v>Aggressive</v>
      </c>
      <c r="N980" s="5">
        <v>1</v>
      </c>
      <c r="O980" s="5" t="str">
        <f>IF(recruitment_data3[[#This Row],[HiringDecision]]=1,"Hired","Rejected")</f>
        <v>Hired</v>
      </c>
      <c r="P980" s="6">
        <v>1</v>
      </c>
    </row>
    <row r="981" spans="1:16" x14ac:dyDescent="0.25">
      <c r="A981" s="4" t="str">
        <f t="shared" si="15"/>
        <v>C0980</v>
      </c>
      <c r="B981" s="4">
        <v>34</v>
      </c>
      <c r="C981" s="5" t="str">
        <f>IF(recruitment_data3[[#This Row],[Gender]]=1,"Female","Male")</f>
        <v>Female</v>
      </c>
      <c r="D981" s="5">
        <v>1</v>
      </c>
      <c r="E981" s="5" t="str">
        <f>_xlfn.SWITCH(recruitment_data3[[#This Row],[EducationLevel]], 1,"Bachelor Type 1", 2,"Bachelor Type 2", 3,"Masters", 4,"PhD")</f>
        <v>Bachelor Type 1</v>
      </c>
      <c r="F981" s="5">
        <v>1</v>
      </c>
      <c r="G981" s="5">
        <v>2</v>
      </c>
      <c r="H981" s="5">
        <v>3</v>
      </c>
      <c r="I981" s="5">
        <v>49.410442043145274</v>
      </c>
      <c r="J981" s="5">
        <v>27</v>
      </c>
      <c r="K981" s="5">
        <v>81</v>
      </c>
      <c r="L981" s="5">
        <v>34</v>
      </c>
      <c r="M981" s="5" t="str">
        <f>_xlfn.SWITCH(recruitment_data3[[#This Row],[RecruitmentStrategy]], 1,"Aggressive", 2,"Moderate", 3,"Conservative")</f>
        <v>Aggressive</v>
      </c>
      <c r="N981" s="5">
        <v>1</v>
      </c>
      <c r="O981" s="5" t="str">
        <f>IF(recruitment_data3[[#This Row],[HiringDecision]]=1,"Hired","Rejected")</f>
        <v>Rejected</v>
      </c>
      <c r="P981" s="6">
        <v>0</v>
      </c>
    </row>
    <row r="982" spans="1:16" x14ac:dyDescent="0.25">
      <c r="A982" s="4" t="str">
        <f t="shared" si="15"/>
        <v>C0981</v>
      </c>
      <c r="B982" s="4">
        <v>44</v>
      </c>
      <c r="C982" s="5" t="str">
        <f>IF(recruitment_data3[[#This Row],[Gender]]=1,"Female","Male")</f>
        <v>Female</v>
      </c>
      <c r="D982" s="5">
        <v>1</v>
      </c>
      <c r="E982" s="5" t="str">
        <f>_xlfn.SWITCH(recruitment_data3[[#This Row],[EducationLevel]], 1,"Bachelor Type 1", 2,"Bachelor Type 2", 3,"Masters", 4,"PhD")</f>
        <v>Bachelor Type 1</v>
      </c>
      <c r="F982" s="5">
        <v>1</v>
      </c>
      <c r="G982" s="5">
        <v>13</v>
      </c>
      <c r="H982" s="5">
        <v>1</v>
      </c>
      <c r="I982" s="5">
        <v>8.3926218931191894</v>
      </c>
      <c r="J982" s="5">
        <v>64</v>
      </c>
      <c r="K982" s="5">
        <v>87</v>
      </c>
      <c r="L982" s="5">
        <v>0</v>
      </c>
      <c r="M982" s="5" t="str">
        <f>_xlfn.SWITCH(recruitment_data3[[#This Row],[RecruitmentStrategy]], 1,"Aggressive", 2,"Moderate", 3,"Conservative")</f>
        <v>Moderate</v>
      </c>
      <c r="N982" s="5">
        <v>2</v>
      </c>
      <c r="O982" s="5" t="str">
        <f>IF(recruitment_data3[[#This Row],[HiringDecision]]=1,"Hired","Rejected")</f>
        <v>Rejected</v>
      </c>
      <c r="P982" s="6">
        <v>0</v>
      </c>
    </row>
    <row r="983" spans="1:16" x14ac:dyDescent="0.25">
      <c r="A983" s="4" t="str">
        <f t="shared" si="15"/>
        <v>C0982</v>
      </c>
      <c r="B983" s="4">
        <v>21</v>
      </c>
      <c r="C983" s="5" t="str">
        <f>IF(recruitment_data3[[#This Row],[Gender]]=1,"Female","Male")</f>
        <v>Female</v>
      </c>
      <c r="D983" s="5">
        <v>1</v>
      </c>
      <c r="E983" s="5" t="str">
        <f>_xlfn.SWITCH(recruitment_data3[[#This Row],[EducationLevel]], 1,"Bachelor Type 1", 2,"Bachelor Type 2", 3,"Masters", 4,"PhD")</f>
        <v>Bachelor Type 2</v>
      </c>
      <c r="F983" s="5">
        <v>2</v>
      </c>
      <c r="G983" s="5">
        <v>10</v>
      </c>
      <c r="H983" s="5">
        <v>5</v>
      </c>
      <c r="I983" s="5">
        <v>48.043813374735443</v>
      </c>
      <c r="J983" s="5">
        <v>16</v>
      </c>
      <c r="K983" s="5">
        <v>9</v>
      </c>
      <c r="L983" s="5">
        <v>28</v>
      </c>
      <c r="M983" s="5" t="str">
        <f>_xlfn.SWITCH(recruitment_data3[[#This Row],[RecruitmentStrategy]], 1,"Aggressive", 2,"Moderate", 3,"Conservative")</f>
        <v>Conservative</v>
      </c>
      <c r="N983" s="5">
        <v>3</v>
      </c>
      <c r="O983" s="5" t="str">
        <f>IF(recruitment_data3[[#This Row],[HiringDecision]]=1,"Hired","Rejected")</f>
        <v>Rejected</v>
      </c>
      <c r="P983" s="6">
        <v>0</v>
      </c>
    </row>
    <row r="984" spans="1:16" x14ac:dyDescent="0.25">
      <c r="A984" s="4" t="str">
        <f t="shared" si="15"/>
        <v>C0983</v>
      </c>
      <c r="B984" s="4">
        <v>29</v>
      </c>
      <c r="C984" s="5" t="str">
        <f>IF(recruitment_data3[[#This Row],[Gender]]=1,"Female","Male")</f>
        <v>Male</v>
      </c>
      <c r="D984" s="5">
        <v>0</v>
      </c>
      <c r="E984" s="5" t="str">
        <f>_xlfn.SWITCH(recruitment_data3[[#This Row],[EducationLevel]], 1,"Bachelor Type 1", 2,"Bachelor Type 2", 3,"Masters", 4,"PhD")</f>
        <v>Bachelor Type 2</v>
      </c>
      <c r="F984" s="5">
        <v>2</v>
      </c>
      <c r="G984" s="5">
        <v>1</v>
      </c>
      <c r="H984" s="5">
        <v>3</v>
      </c>
      <c r="I984" s="5">
        <v>10.144652653433432</v>
      </c>
      <c r="J984" s="5">
        <v>94</v>
      </c>
      <c r="K984" s="5">
        <v>26</v>
      </c>
      <c r="L984" s="5">
        <v>50</v>
      </c>
      <c r="M984" s="5" t="str">
        <f>_xlfn.SWITCH(recruitment_data3[[#This Row],[RecruitmentStrategy]], 1,"Aggressive", 2,"Moderate", 3,"Conservative")</f>
        <v>Aggressive</v>
      </c>
      <c r="N984" s="5">
        <v>1</v>
      </c>
      <c r="O984" s="5" t="str">
        <f>IF(recruitment_data3[[#This Row],[HiringDecision]]=1,"Hired","Rejected")</f>
        <v>Rejected</v>
      </c>
      <c r="P984" s="6">
        <v>0</v>
      </c>
    </row>
    <row r="985" spans="1:16" x14ac:dyDescent="0.25">
      <c r="A985" s="4" t="str">
        <f t="shared" si="15"/>
        <v>C0984</v>
      </c>
      <c r="B985" s="4">
        <v>43</v>
      </c>
      <c r="C985" s="5" t="str">
        <f>IF(recruitment_data3[[#This Row],[Gender]]=1,"Female","Male")</f>
        <v>Male</v>
      </c>
      <c r="D985" s="5">
        <v>0</v>
      </c>
      <c r="E985" s="5" t="str">
        <f>_xlfn.SWITCH(recruitment_data3[[#This Row],[EducationLevel]], 1,"Bachelor Type 1", 2,"Bachelor Type 2", 3,"Masters", 4,"PhD")</f>
        <v>Bachelor Type 2</v>
      </c>
      <c r="F985" s="5">
        <v>2</v>
      </c>
      <c r="G985" s="5">
        <v>1</v>
      </c>
      <c r="H985" s="5">
        <v>3</v>
      </c>
      <c r="I985" s="5">
        <v>29.372160401161477</v>
      </c>
      <c r="J985" s="5">
        <v>43</v>
      </c>
      <c r="K985" s="5">
        <v>11</v>
      </c>
      <c r="L985" s="5">
        <v>63</v>
      </c>
      <c r="M985" s="5" t="str">
        <f>_xlfn.SWITCH(recruitment_data3[[#This Row],[RecruitmentStrategy]], 1,"Aggressive", 2,"Moderate", 3,"Conservative")</f>
        <v>Moderate</v>
      </c>
      <c r="N985" s="5">
        <v>2</v>
      </c>
      <c r="O985" s="5" t="str">
        <f>IF(recruitment_data3[[#This Row],[HiringDecision]]=1,"Hired","Rejected")</f>
        <v>Rejected</v>
      </c>
      <c r="P985" s="6">
        <v>0</v>
      </c>
    </row>
    <row r="986" spans="1:16" x14ac:dyDescent="0.25">
      <c r="A986" s="4" t="str">
        <f t="shared" si="15"/>
        <v>C0985</v>
      </c>
      <c r="B986" s="4">
        <v>49</v>
      </c>
      <c r="C986" s="5" t="str">
        <f>IF(recruitment_data3[[#This Row],[Gender]]=1,"Female","Male")</f>
        <v>Female</v>
      </c>
      <c r="D986" s="5">
        <v>1</v>
      </c>
      <c r="E986" s="5" t="str">
        <f>_xlfn.SWITCH(recruitment_data3[[#This Row],[EducationLevel]], 1,"Bachelor Type 1", 2,"Bachelor Type 2", 3,"Masters", 4,"PhD")</f>
        <v>Bachelor Type 2</v>
      </c>
      <c r="F986" s="5">
        <v>2</v>
      </c>
      <c r="G986" s="5">
        <v>6</v>
      </c>
      <c r="H986" s="5">
        <v>5</v>
      </c>
      <c r="I986" s="5">
        <v>19.85038559793723</v>
      </c>
      <c r="J986" s="5">
        <v>9</v>
      </c>
      <c r="K986" s="5">
        <v>6</v>
      </c>
      <c r="L986" s="5">
        <v>3</v>
      </c>
      <c r="M986" s="5" t="str">
        <f>_xlfn.SWITCH(recruitment_data3[[#This Row],[RecruitmentStrategy]], 1,"Aggressive", 2,"Moderate", 3,"Conservative")</f>
        <v>Aggressive</v>
      </c>
      <c r="N986" s="5">
        <v>1</v>
      </c>
      <c r="O986" s="5" t="str">
        <f>IF(recruitment_data3[[#This Row],[HiringDecision]]=1,"Hired","Rejected")</f>
        <v>Rejected</v>
      </c>
      <c r="P986" s="6">
        <v>0</v>
      </c>
    </row>
    <row r="987" spans="1:16" x14ac:dyDescent="0.25">
      <c r="A987" s="4" t="str">
        <f t="shared" si="15"/>
        <v>C0986</v>
      </c>
      <c r="B987" s="4">
        <v>37</v>
      </c>
      <c r="C987" s="5" t="str">
        <f>IF(recruitment_data3[[#This Row],[Gender]]=1,"Female","Male")</f>
        <v>Female</v>
      </c>
      <c r="D987" s="5">
        <v>1</v>
      </c>
      <c r="E987" s="5" t="str">
        <f>_xlfn.SWITCH(recruitment_data3[[#This Row],[EducationLevel]], 1,"Bachelor Type 1", 2,"Bachelor Type 2", 3,"Masters", 4,"PhD")</f>
        <v>Bachelor Type 2</v>
      </c>
      <c r="F987" s="5">
        <v>2</v>
      </c>
      <c r="G987" s="5">
        <v>11</v>
      </c>
      <c r="H987" s="5">
        <v>5</v>
      </c>
      <c r="I987" s="5">
        <v>49.246430075091297</v>
      </c>
      <c r="J987" s="5">
        <v>62</v>
      </c>
      <c r="K987" s="5">
        <v>16</v>
      </c>
      <c r="L987" s="5">
        <v>86</v>
      </c>
      <c r="M987" s="5" t="str">
        <f>_xlfn.SWITCH(recruitment_data3[[#This Row],[RecruitmentStrategy]], 1,"Aggressive", 2,"Moderate", 3,"Conservative")</f>
        <v>Moderate</v>
      </c>
      <c r="N987" s="5">
        <v>2</v>
      </c>
      <c r="O987" s="5" t="str">
        <f>IF(recruitment_data3[[#This Row],[HiringDecision]]=1,"Hired","Rejected")</f>
        <v>Rejected</v>
      </c>
      <c r="P987" s="6">
        <v>0</v>
      </c>
    </row>
    <row r="988" spans="1:16" x14ac:dyDescent="0.25">
      <c r="A988" s="4" t="str">
        <f t="shared" si="15"/>
        <v>C0987</v>
      </c>
      <c r="B988" s="4">
        <v>46</v>
      </c>
      <c r="C988" s="5" t="str">
        <f>IF(recruitment_data3[[#This Row],[Gender]]=1,"Female","Male")</f>
        <v>Male</v>
      </c>
      <c r="D988" s="5">
        <v>0</v>
      </c>
      <c r="E988" s="5" t="str">
        <f>_xlfn.SWITCH(recruitment_data3[[#This Row],[EducationLevel]], 1,"Bachelor Type 1", 2,"Bachelor Type 2", 3,"Masters", 4,"PhD")</f>
        <v>Bachelor Type 1</v>
      </c>
      <c r="F988" s="5">
        <v>1</v>
      </c>
      <c r="G988" s="5">
        <v>9</v>
      </c>
      <c r="H988" s="5">
        <v>2</v>
      </c>
      <c r="I988" s="5">
        <v>14.677101450096846</v>
      </c>
      <c r="J988" s="5">
        <v>100</v>
      </c>
      <c r="K988" s="5">
        <v>64</v>
      </c>
      <c r="L988" s="5">
        <v>27</v>
      </c>
      <c r="M988" s="5" t="str">
        <f>_xlfn.SWITCH(recruitment_data3[[#This Row],[RecruitmentStrategy]], 1,"Aggressive", 2,"Moderate", 3,"Conservative")</f>
        <v>Aggressive</v>
      </c>
      <c r="N988" s="5">
        <v>1</v>
      </c>
      <c r="O988" s="5" t="str">
        <f>IF(recruitment_data3[[#This Row],[HiringDecision]]=1,"Hired","Rejected")</f>
        <v>Hired</v>
      </c>
      <c r="P988" s="6">
        <v>1</v>
      </c>
    </row>
    <row r="989" spans="1:16" x14ac:dyDescent="0.25">
      <c r="A989" s="4" t="str">
        <f t="shared" si="15"/>
        <v>C0988</v>
      </c>
      <c r="B989" s="4">
        <v>32</v>
      </c>
      <c r="C989" s="5" t="str">
        <f>IF(recruitment_data3[[#This Row],[Gender]]=1,"Female","Male")</f>
        <v>Male</v>
      </c>
      <c r="D989" s="5">
        <v>0</v>
      </c>
      <c r="E989" s="5" t="str">
        <f>_xlfn.SWITCH(recruitment_data3[[#This Row],[EducationLevel]], 1,"Bachelor Type 1", 2,"Bachelor Type 2", 3,"Masters", 4,"PhD")</f>
        <v>PhD</v>
      </c>
      <c r="F989" s="5">
        <v>4</v>
      </c>
      <c r="G989" s="5">
        <v>1</v>
      </c>
      <c r="H989" s="5">
        <v>5</v>
      </c>
      <c r="I989" s="5">
        <v>20.982900104287683</v>
      </c>
      <c r="J989" s="5">
        <v>92</v>
      </c>
      <c r="K989" s="5">
        <v>63</v>
      </c>
      <c r="L989" s="5">
        <v>15</v>
      </c>
      <c r="M989" s="5" t="str">
        <f>_xlfn.SWITCH(recruitment_data3[[#This Row],[RecruitmentStrategy]], 1,"Aggressive", 2,"Moderate", 3,"Conservative")</f>
        <v>Aggressive</v>
      </c>
      <c r="N989" s="5">
        <v>1</v>
      </c>
      <c r="O989" s="5" t="str">
        <f>IF(recruitment_data3[[#This Row],[HiringDecision]]=1,"Hired","Rejected")</f>
        <v>Hired</v>
      </c>
      <c r="P989" s="6">
        <v>1</v>
      </c>
    </row>
    <row r="990" spans="1:16" x14ac:dyDescent="0.25">
      <c r="A990" s="4" t="str">
        <f t="shared" si="15"/>
        <v>C0989</v>
      </c>
      <c r="B990" s="4">
        <v>24</v>
      </c>
      <c r="C990" s="5" t="str">
        <f>IF(recruitment_data3[[#This Row],[Gender]]=1,"Female","Male")</f>
        <v>Male</v>
      </c>
      <c r="D990" s="5">
        <v>0</v>
      </c>
      <c r="E990" s="5" t="str">
        <f>_xlfn.SWITCH(recruitment_data3[[#This Row],[EducationLevel]], 1,"Bachelor Type 1", 2,"Bachelor Type 2", 3,"Masters", 4,"PhD")</f>
        <v>Bachelor Type 2</v>
      </c>
      <c r="F990" s="5">
        <v>2</v>
      </c>
      <c r="G990" s="5">
        <v>10</v>
      </c>
      <c r="H990" s="5">
        <v>4</v>
      </c>
      <c r="I990" s="5">
        <v>50.143005892771022</v>
      </c>
      <c r="J990" s="5">
        <v>81</v>
      </c>
      <c r="K990" s="5">
        <v>25</v>
      </c>
      <c r="L990" s="5">
        <v>62</v>
      </c>
      <c r="M990" s="5" t="str">
        <f>_xlfn.SWITCH(recruitment_data3[[#This Row],[RecruitmentStrategy]], 1,"Aggressive", 2,"Moderate", 3,"Conservative")</f>
        <v>Aggressive</v>
      </c>
      <c r="N990" s="5">
        <v>1</v>
      </c>
      <c r="O990" s="5" t="str">
        <f>IF(recruitment_data3[[#This Row],[HiringDecision]]=1,"Hired","Rejected")</f>
        <v>Hired</v>
      </c>
      <c r="P990" s="6">
        <v>1</v>
      </c>
    </row>
    <row r="991" spans="1:16" x14ac:dyDescent="0.25">
      <c r="A991" s="4" t="str">
        <f t="shared" si="15"/>
        <v>C0990</v>
      </c>
      <c r="B991" s="4">
        <v>42</v>
      </c>
      <c r="C991" s="5" t="str">
        <f>IF(recruitment_data3[[#This Row],[Gender]]=1,"Female","Male")</f>
        <v>Male</v>
      </c>
      <c r="D991" s="5">
        <v>0</v>
      </c>
      <c r="E991" s="5" t="str">
        <f>_xlfn.SWITCH(recruitment_data3[[#This Row],[EducationLevel]], 1,"Bachelor Type 1", 2,"Bachelor Type 2", 3,"Masters", 4,"PhD")</f>
        <v>Masters</v>
      </c>
      <c r="F991" s="5">
        <v>3</v>
      </c>
      <c r="G991" s="5">
        <v>3</v>
      </c>
      <c r="H991" s="5">
        <v>5</v>
      </c>
      <c r="I991" s="5">
        <v>27.823519559423659</v>
      </c>
      <c r="J991" s="5">
        <v>46</v>
      </c>
      <c r="K991" s="5">
        <v>14</v>
      </c>
      <c r="L991" s="5">
        <v>75</v>
      </c>
      <c r="M991" s="5" t="str">
        <f>_xlfn.SWITCH(recruitment_data3[[#This Row],[RecruitmentStrategy]], 1,"Aggressive", 2,"Moderate", 3,"Conservative")</f>
        <v>Moderate</v>
      </c>
      <c r="N991" s="5">
        <v>2</v>
      </c>
      <c r="O991" s="5" t="str">
        <f>IF(recruitment_data3[[#This Row],[HiringDecision]]=1,"Hired","Rejected")</f>
        <v>Rejected</v>
      </c>
      <c r="P991" s="6">
        <v>0</v>
      </c>
    </row>
    <row r="992" spans="1:16" x14ac:dyDescent="0.25">
      <c r="A992" s="4" t="str">
        <f t="shared" si="15"/>
        <v>C0991</v>
      </c>
      <c r="B992" s="4">
        <v>43</v>
      </c>
      <c r="C992" s="5" t="str">
        <f>IF(recruitment_data3[[#This Row],[Gender]]=1,"Female","Male")</f>
        <v>Female</v>
      </c>
      <c r="D992" s="5">
        <v>1</v>
      </c>
      <c r="E992" s="5" t="str">
        <f>_xlfn.SWITCH(recruitment_data3[[#This Row],[EducationLevel]], 1,"Bachelor Type 1", 2,"Bachelor Type 2", 3,"Masters", 4,"PhD")</f>
        <v>Masters</v>
      </c>
      <c r="F992" s="5">
        <v>3</v>
      </c>
      <c r="G992" s="5">
        <v>1</v>
      </c>
      <c r="H992" s="5">
        <v>4</v>
      </c>
      <c r="I992" s="5">
        <v>26.131505781062675</v>
      </c>
      <c r="J992" s="5">
        <v>37</v>
      </c>
      <c r="K992" s="5">
        <v>32</v>
      </c>
      <c r="L992" s="5">
        <v>52</v>
      </c>
      <c r="M992" s="5" t="str">
        <f>_xlfn.SWITCH(recruitment_data3[[#This Row],[RecruitmentStrategy]], 1,"Aggressive", 2,"Moderate", 3,"Conservative")</f>
        <v>Moderate</v>
      </c>
      <c r="N992" s="5">
        <v>2</v>
      </c>
      <c r="O992" s="5" t="str">
        <f>IF(recruitment_data3[[#This Row],[HiringDecision]]=1,"Hired","Rejected")</f>
        <v>Rejected</v>
      </c>
      <c r="P992" s="6">
        <v>0</v>
      </c>
    </row>
    <row r="993" spans="1:16" x14ac:dyDescent="0.25">
      <c r="A993" s="4" t="str">
        <f t="shared" si="15"/>
        <v>C0992</v>
      </c>
      <c r="B993" s="4">
        <v>20</v>
      </c>
      <c r="C993" s="5" t="str">
        <f>IF(recruitment_data3[[#This Row],[Gender]]=1,"Female","Male")</f>
        <v>Female</v>
      </c>
      <c r="D993" s="5">
        <v>1</v>
      </c>
      <c r="E993" s="5" t="str">
        <f>_xlfn.SWITCH(recruitment_data3[[#This Row],[EducationLevel]], 1,"Bachelor Type 1", 2,"Bachelor Type 2", 3,"Masters", 4,"PhD")</f>
        <v>PhD</v>
      </c>
      <c r="F993" s="5">
        <v>4</v>
      </c>
      <c r="G993" s="5">
        <v>5</v>
      </c>
      <c r="H993" s="5">
        <v>5</v>
      </c>
      <c r="I993" s="5">
        <v>13.888924410199564</v>
      </c>
      <c r="J993" s="5">
        <v>69</v>
      </c>
      <c r="K993" s="5">
        <v>61</v>
      </c>
      <c r="L993" s="5">
        <v>84</v>
      </c>
      <c r="M993" s="5" t="str">
        <f>_xlfn.SWITCH(recruitment_data3[[#This Row],[RecruitmentStrategy]], 1,"Aggressive", 2,"Moderate", 3,"Conservative")</f>
        <v>Aggressive</v>
      </c>
      <c r="N993" s="5">
        <v>1</v>
      </c>
      <c r="O993" s="5" t="str">
        <f>IF(recruitment_data3[[#This Row],[HiringDecision]]=1,"Hired","Rejected")</f>
        <v>Hired</v>
      </c>
      <c r="P993" s="6">
        <v>1</v>
      </c>
    </row>
    <row r="994" spans="1:16" x14ac:dyDescent="0.25">
      <c r="A994" s="4" t="str">
        <f t="shared" si="15"/>
        <v>C0993</v>
      </c>
      <c r="B994" s="4">
        <v>41</v>
      </c>
      <c r="C994" s="5" t="str">
        <f>IF(recruitment_data3[[#This Row],[Gender]]=1,"Female","Male")</f>
        <v>Male</v>
      </c>
      <c r="D994" s="5">
        <v>0</v>
      </c>
      <c r="E994" s="5" t="str">
        <f>_xlfn.SWITCH(recruitment_data3[[#This Row],[EducationLevel]], 1,"Bachelor Type 1", 2,"Bachelor Type 2", 3,"Masters", 4,"PhD")</f>
        <v>Bachelor Type 1</v>
      </c>
      <c r="F994" s="5">
        <v>1</v>
      </c>
      <c r="G994" s="5">
        <v>7</v>
      </c>
      <c r="H994" s="5">
        <v>2</v>
      </c>
      <c r="I994" s="5">
        <v>36.068178015522072</v>
      </c>
      <c r="J994" s="5">
        <v>75</v>
      </c>
      <c r="K994" s="5">
        <v>100</v>
      </c>
      <c r="L994" s="5">
        <v>16</v>
      </c>
      <c r="M994" s="5" t="str">
        <f>_xlfn.SWITCH(recruitment_data3[[#This Row],[RecruitmentStrategy]], 1,"Aggressive", 2,"Moderate", 3,"Conservative")</f>
        <v>Conservative</v>
      </c>
      <c r="N994" s="5">
        <v>3</v>
      </c>
      <c r="O994" s="5" t="str">
        <f>IF(recruitment_data3[[#This Row],[HiringDecision]]=1,"Hired","Rejected")</f>
        <v>Rejected</v>
      </c>
      <c r="P994" s="6">
        <v>0</v>
      </c>
    </row>
    <row r="995" spans="1:16" x14ac:dyDescent="0.25">
      <c r="A995" s="4" t="str">
        <f t="shared" si="15"/>
        <v>C0994</v>
      </c>
      <c r="B995" s="4">
        <v>20</v>
      </c>
      <c r="C995" s="5" t="str">
        <f>IF(recruitment_data3[[#This Row],[Gender]]=1,"Female","Male")</f>
        <v>Female</v>
      </c>
      <c r="D995" s="5">
        <v>1</v>
      </c>
      <c r="E995" s="5" t="str">
        <f>_xlfn.SWITCH(recruitment_data3[[#This Row],[EducationLevel]], 1,"Bachelor Type 1", 2,"Bachelor Type 2", 3,"Masters", 4,"PhD")</f>
        <v>Masters</v>
      </c>
      <c r="F995" s="5">
        <v>3</v>
      </c>
      <c r="G995" s="5">
        <v>9</v>
      </c>
      <c r="H995" s="5">
        <v>4</v>
      </c>
      <c r="I995" s="5">
        <v>1.7186475888888821</v>
      </c>
      <c r="J995" s="5">
        <v>52</v>
      </c>
      <c r="K995" s="5">
        <v>46</v>
      </c>
      <c r="L995" s="5">
        <v>39</v>
      </c>
      <c r="M995" s="5" t="str">
        <f>_xlfn.SWITCH(recruitment_data3[[#This Row],[RecruitmentStrategy]], 1,"Aggressive", 2,"Moderate", 3,"Conservative")</f>
        <v>Aggressive</v>
      </c>
      <c r="N995" s="5">
        <v>1</v>
      </c>
      <c r="O995" s="5" t="str">
        <f>IF(recruitment_data3[[#This Row],[HiringDecision]]=1,"Hired","Rejected")</f>
        <v>Hired</v>
      </c>
      <c r="P995" s="6">
        <v>1</v>
      </c>
    </row>
    <row r="996" spans="1:16" x14ac:dyDescent="0.25">
      <c r="A996" s="4" t="str">
        <f t="shared" si="15"/>
        <v>C0995</v>
      </c>
      <c r="B996" s="4">
        <v>37</v>
      </c>
      <c r="C996" s="5" t="str">
        <f>IF(recruitment_data3[[#This Row],[Gender]]=1,"Female","Male")</f>
        <v>Male</v>
      </c>
      <c r="D996" s="5">
        <v>0</v>
      </c>
      <c r="E996" s="5" t="str">
        <f>_xlfn.SWITCH(recruitment_data3[[#This Row],[EducationLevel]], 1,"Bachelor Type 1", 2,"Bachelor Type 2", 3,"Masters", 4,"PhD")</f>
        <v>Bachelor Type 2</v>
      </c>
      <c r="F996" s="5">
        <v>2</v>
      </c>
      <c r="G996" s="5">
        <v>15</v>
      </c>
      <c r="H996" s="5">
        <v>1</v>
      </c>
      <c r="I996" s="5">
        <v>3.4756314851146763</v>
      </c>
      <c r="J996" s="5">
        <v>77</v>
      </c>
      <c r="K996" s="5">
        <v>94</v>
      </c>
      <c r="L996" s="5">
        <v>12</v>
      </c>
      <c r="M996" s="5" t="str">
        <f>_xlfn.SWITCH(recruitment_data3[[#This Row],[RecruitmentStrategy]], 1,"Aggressive", 2,"Moderate", 3,"Conservative")</f>
        <v>Moderate</v>
      </c>
      <c r="N996" s="5">
        <v>2</v>
      </c>
      <c r="O996" s="5" t="str">
        <f>IF(recruitment_data3[[#This Row],[HiringDecision]]=1,"Hired","Rejected")</f>
        <v>Rejected</v>
      </c>
      <c r="P996" s="6">
        <v>0</v>
      </c>
    </row>
    <row r="997" spans="1:16" x14ac:dyDescent="0.25">
      <c r="A997" s="4" t="str">
        <f t="shared" si="15"/>
        <v>C0996</v>
      </c>
      <c r="B997" s="4">
        <v>34</v>
      </c>
      <c r="C997" s="5" t="str">
        <f>IF(recruitment_data3[[#This Row],[Gender]]=1,"Female","Male")</f>
        <v>Female</v>
      </c>
      <c r="D997" s="5">
        <v>1</v>
      </c>
      <c r="E997" s="5" t="str">
        <f>_xlfn.SWITCH(recruitment_data3[[#This Row],[EducationLevel]], 1,"Bachelor Type 1", 2,"Bachelor Type 2", 3,"Masters", 4,"PhD")</f>
        <v>Bachelor Type 2</v>
      </c>
      <c r="F997" s="5">
        <v>2</v>
      </c>
      <c r="G997" s="5">
        <v>3</v>
      </c>
      <c r="H997" s="5">
        <v>4</v>
      </c>
      <c r="I997" s="5">
        <v>30.967929356790137</v>
      </c>
      <c r="J997" s="5">
        <v>43</v>
      </c>
      <c r="K997" s="5">
        <v>34</v>
      </c>
      <c r="L997" s="5">
        <v>51</v>
      </c>
      <c r="M997" s="5" t="str">
        <f>_xlfn.SWITCH(recruitment_data3[[#This Row],[RecruitmentStrategy]], 1,"Aggressive", 2,"Moderate", 3,"Conservative")</f>
        <v>Conservative</v>
      </c>
      <c r="N997" s="5">
        <v>3</v>
      </c>
      <c r="O997" s="5" t="str">
        <f>IF(recruitment_data3[[#This Row],[HiringDecision]]=1,"Hired","Rejected")</f>
        <v>Rejected</v>
      </c>
      <c r="P997" s="6">
        <v>0</v>
      </c>
    </row>
    <row r="998" spans="1:16" x14ac:dyDescent="0.25">
      <c r="A998" s="4" t="str">
        <f t="shared" si="15"/>
        <v>C0997</v>
      </c>
      <c r="B998" s="4">
        <v>36</v>
      </c>
      <c r="C998" s="5" t="str">
        <f>IF(recruitment_data3[[#This Row],[Gender]]=1,"Female","Male")</f>
        <v>Male</v>
      </c>
      <c r="D998" s="5">
        <v>0</v>
      </c>
      <c r="E998" s="5" t="str">
        <f>_xlfn.SWITCH(recruitment_data3[[#This Row],[EducationLevel]], 1,"Bachelor Type 1", 2,"Bachelor Type 2", 3,"Masters", 4,"PhD")</f>
        <v>Bachelor Type 2</v>
      </c>
      <c r="F998" s="5">
        <v>2</v>
      </c>
      <c r="G998" s="5">
        <v>14</v>
      </c>
      <c r="H998" s="5">
        <v>2</v>
      </c>
      <c r="I998" s="5">
        <v>18.083728690922705</v>
      </c>
      <c r="J998" s="5">
        <v>73</v>
      </c>
      <c r="K998" s="5">
        <v>64</v>
      </c>
      <c r="L998" s="5">
        <v>57</v>
      </c>
      <c r="M998" s="5" t="str">
        <f>_xlfn.SWITCH(recruitment_data3[[#This Row],[RecruitmentStrategy]], 1,"Aggressive", 2,"Moderate", 3,"Conservative")</f>
        <v>Moderate</v>
      </c>
      <c r="N998" s="5">
        <v>2</v>
      </c>
      <c r="O998" s="5" t="str">
        <f>IF(recruitment_data3[[#This Row],[HiringDecision]]=1,"Hired","Rejected")</f>
        <v>Rejected</v>
      </c>
      <c r="P998" s="6">
        <v>0</v>
      </c>
    </row>
    <row r="999" spans="1:16" x14ac:dyDescent="0.25">
      <c r="A999" s="4" t="str">
        <f t="shared" si="15"/>
        <v>C0998</v>
      </c>
      <c r="B999" s="4">
        <v>30</v>
      </c>
      <c r="C999" s="5" t="str">
        <f>IF(recruitment_data3[[#This Row],[Gender]]=1,"Female","Male")</f>
        <v>Female</v>
      </c>
      <c r="D999" s="5">
        <v>1</v>
      </c>
      <c r="E999" s="5" t="str">
        <f>_xlfn.SWITCH(recruitment_data3[[#This Row],[EducationLevel]], 1,"Bachelor Type 1", 2,"Bachelor Type 2", 3,"Masters", 4,"PhD")</f>
        <v>Masters</v>
      </c>
      <c r="F999" s="5">
        <v>3</v>
      </c>
      <c r="G999" s="5">
        <v>4</v>
      </c>
      <c r="H999" s="5">
        <v>4</v>
      </c>
      <c r="I999" s="5">
        <v>48.665818610048028</v>
      </c>
      <c r="J999" s="5">
        <v>53</v>
      </c>
      <c r="K999" s="5">
        <v>71</v>
      </c>
      <c r="L999" s="5">
        <v>95</v>
      </c>
      <c r="M999" s="5" t="str">
        <f>_xlfn.SWITCH(recruitment_data3[[#This Row],[RecruitmentStrategy]], 1,"Aggressive", 2,"Moderate", 3,"Conservative")</f>
        <v>Moderate</v>
      </c>
      <c r="N999" s="5">
        <v>2</v>
      </c>
      <c r="O999" s="5" t="str">
        <f>IF(recruitment_data3[[#This Row],[HiringDecision]]=1,"Hired","Rejected")</f>
        <v>Rejected</v>
      </c>
      <c r="P999" s="6">
        <v>0</v>
      </c>
    </row>
    <row r="1000" spans="1:16" x14ac:dyDescent="0.25">
      <c r="A1000" s="4" t="str">
        <f t="shared" si="15"/>
        <v>C0999</v>
      </c>
      <c r="B1000" s="4">
        <v>40</v>
      </c>
      <c r="C1000" s="5" t="str">
        <f>IF(recruitment_data3[[#This Row],[Gender]]=1,"Female","Male")</f>
        <v>Male</v>
      </c>
      <c r="D1000" s="5">
        <v>0</v>
      </c>
      <c r="E1000" s="5" t="str">
        <f>_xlfn.SWITCH(recruitment_data3[[#This Row],[EducationLevel]], 1,"Bachelor Type 1", 2,"Bachelor Type 2", 3,"Masters", 4,"PhD")</f>
        <v>Bachelor Type 2</v>
      </c>
      <c r="F1000" s="5">
        <v>2</v>
      </c>
      <c r="G1000" s="5">
        <v>3</v>
      </c>
      <c r="H1000" s="5">
        <v>5</v>
      </c>
      <c r="I1000" s="5">
        <v>46.159534536139283</v>
      </c>
      <c r="J1000" s="5">
        <v>19</v>
      </c>
      <c r="K1000" s="5">
        <v>75</v>
      </c>
      <c r="L1000" s="5">
        <v>36</v>
      </c>
      <c r="M1000" s="5" t="str">
        <f>_xlfn.SWITCH(recruitment_data3[[#This Row],[RecruitmentStrategy]], 1,"Aggressive", 2,"Moderate", 3,"Conservative")</f>
        <v>Aggressive</v>
      </c>
      <c r="N1000" s="5">
        <v>1</v>
      </c>
      <c r="O1000" s="5" t="str">
        <f>IF(recruitment_data3[[#This Row],[HiringDecision]]=1,"Hired","Rejected")</f>
        <v>Rejected</v>
      </c>
      <c r="P1000" s="6">
        <v>0</v>
      </c>
    </row>
    <row r="1001" spans="1:16" x14ac:dyDescent="0.25">
      <c r="A1001" s="4" t="str">
        <f t="shared" si="15"/>
        <v>C1000</v>
      </c>
      <c r="B1001" s="4">
        <v>45</v>
      </c>
      <c r="C1001" s="5" t="str">
        <f>IF(recruitment_data3[[#This Row],[Gender]]=1,"Female","Male")</f>
        <v>Male</v>
      </c>
      <c r="D1001" s="5">
        <v>0</v>
      </c>
      <c r="E1001" s="5" t="str">
        <f>_xlfn.SWITCH(recruitment_data3[[#This Row],[EducationLevel]], 1,"Bachelor Type 1", 2,"Bachelor Type 2", 3,"Masters", 4,"PhD")</f>
        <v>Masters</v>
      </c>
      <c r="F1001" s="5">
        <v>3</v>
      </c>
      <c r="G1001" s="5">
        <v>2</v>
      </c>
      <c r="H1001" s="5">
        <v>5</v>
      </c>
      <c r="I1001" s="5">
        <v>36.685312933835363</v>
      </c>
      <c r="J1001" s="5">
        <v>78</v>
      </c>
      <c r="K1001" s="5">
        <v>82</v>
      </c>
      <c r="L1001" s="5">
        <v>78</v>
      </c>
      <c r="M1001" s="5" t="str">
        <f>_xlfn.SWITCH(recruitment_data3[[#This Row],[RecruitmentStrategy]], 1,"Aggressive", 2,"Moderate", 3,"Conservative")</f>
        <v>Moderate</v>
      </c>
      <c r="N1001" s="5">
        <v>2</v>
      </c>
      <c r="O1001" s="5" t="str">
        <f>IF(recruitment_data3[[#This Row],[HiringDecision]]=1,"Hired","Rejected")</f>
        <v>Hired</v>
      </c>
      <c r="P1001" s="6">
        <v>1</v>
      </c>
    </row>
    <row r="1002" spans="1:16" x14ac:dyDescent="0.25">
      <c r="A1002" s="4" t="str">
        <f t="shared" si="15"/>
        <v>C1001</v>
      </c>
      <c r="B1002" s="4">
        <v>50</v>
      </c>
      <c r="C1002" s="5" t="str">
        <f>IF(recruitment_data3[[#This Row],[Gender]]=1,"Female","Male")</f>
        <v>Female</v>
      </c>
      <c r="D1002" s="5">
        <v>1</v>
      </c>
      <c r="E1002" s="5" t="str">
        <f>_xlfn.SWITCH(recruitment_data3[[#This Row],[EducationLevel]], 1,"Bachelor Type 1", 2,"Bachelor Type 2", 3,"Masters", 4,"PhD")</f>
        <v>Bachelor Type 2</v>
      </c>
      <c r="F1002" s="5">
        <v>2</v>
      </c>
      <c r="G1002" s="5">
        <v>4</v>
      </c>
      <c r="H1002" s="5">
        <v>2</v>
      </c>
      <c r="I1002" s="5">
        <v>41.907279056390067</v>
      </c>
      <c r="J1002" s="5">
        <v>30</v>
      </c>
      <c r="K1002" s="5">
        <v>24</v>
      </c>
      <c r="L1002" s="5">
        <v>75</v>
      </c>
      <c r="M1002" s="5" t="str">
        <f>_xlfn.SWITCH(recruitment_data3[[#This Row],[RecruitmentStrategy]], 1,"Aggressive", 2,"Moderate", 3,"Conservative")</f>
        <v>Moderate</v>
      </c>
      <c r="N1002" s="5">
        <v>2</v>
      </c>
      <c r="O1002" s="5" t="str">
        <f>IF(recruitment_data3[[#This Row],[HiringDecision]]=1,"Hired","Rejected")</f>
        <v>Rejected</v>
      </c>
      <c r="P1002" s="6">
        <v>0</v>
      </c>
    </row>
    <row r="1003" spans="1:16" x14ac:dyDescent="0.25">
      <c r="A1003" s="4" t="str">
        <f t="shared" si="15"/>
        <v>C1002</v>
      </c>
      <c r="B1003" s="4">
        <v>44</v>
      </c>
      <c r="C1003" s="5" t="str">
        <f>IF(recruitment_data3[[#This Row],[Gender]]=1,"Female","Male")</f>
        <v>Male</v>
      </c>
      <c r="D1003" s="5">
        <v>0</v>
      </c>
      <c r="E1003" s="5" t="str">
        <f>_xlfn.SWITCH(recruitment_data3[[#This Row],[EducationLevel]], 1,"Bachelor Type 1", 2,"Bachelor Type 2", 3,"Masters", 4,"PhD")</f>
        <v>Masters</v>
      </c>
      <c r="F1003" s="5">
        <v>3</v>
      </c>
      <c r="G1003" s="5">
        <v>13</v>
      </c>
      <c r="H1003" s="5">
        <v>3</v>
      </c>
      <c r="I1003" s="5">
        <v>34.366592483384665</v>
      </c>
      <c r="J1003" s="5">
        <v>6</v>
      </c>
      <c r="K1003" s="5">
        <v>56</v>
      </c>
      <c r="L1003" s="5">
        <v>60</v>
      </c>
      <c r="M1003" s="5" t="str">
        <f>_xlfn.SWITCH(recruitment_data3[[#This Row],[RecruitmentStrategy]], 1,"Aggressive", 2,"Moderate", 3,"Conservative")</f>
        <v>Conservative</v>
      </c>
      <c r="N1003" s="5">
        <v>3</v>
      </c>
      <c r="O1003" s="5" t="str">
        <f>IF(recruitment_data3[[#This Row],[HiringDecision]]=1,"Hired","Rejected")</f>
        <v>Rejected</v>
      </c>
      <c r="P1003" s="6">
        <v>0</v>
      </c>
    </row>
    <row r="1004" spans="1:16" x14ac:dyDescent="0.25">
      <c r="A1004" s="4" t="str">
        <f t="shared" si="15"/>
        <v>C1003</v>
      </c>
      <c r="B1004" s="4">
        <v>41</v>
      </c>
      <c r="C1004" s="5" t="str">
        <f>IF(recruitment_data3[[#This Row],[Gender]]=1,"Female","Male")</f>
        <v>Female</v>
      </c>
      <c r="D1004" s="5">
        <v>1</v>
      </c>
      <c r="E1004" s="5" t="str">
        <f>_xlfn.SWITCH(recruitment_data3[[#This Row],[EducationLevel]], 1,"Bachelor Type 1", 2,"Bachelor Type 2", 3,"Masters", 4,"PhD")</f>
        <v>PhD</v>
      </c>
      <c r="F1004" s="5">
        <v>4</v>
      </c>
      <c r="G1004" s="5">
        <v>8</v>
      </c>
      <c r="H1004" s="5">
        <v>5</v>
      </c>
      <c r="I1004" s="5">
        <v>7.2791051355080345</v>
      </c>
      <c r="J1004" s="5">
        <v>57</v>
      </c>
      <c r="K1004" s="5">
        <v>31</v>
      </c>
      <c r="L1004" s="5">
        <v>78</v>
      </c>
      <c r="M1004" s="5" t="str">
        <f>_xlfn.SWITCH(recruitment_data3[[#This Row],[RecruitmentStrategy]], 1,"Aggressive", 2,"Moderate", 3,"Conservative")</f>
        <v>Aggressive</v>
      </c>
      <c r="N1004" s="5">
        <v>1</v>
      </c>
      <c r="O1004" s="5" t="str">
        <f>IF(recruitment_data3[[#This Row],[HiringDecision]]=1,"Hired","Rejected")</f>
        <v>Hired</v>
      </c>
      <c r="P1004" s="6">
        <v>1</v>
      </c>
    </row>
    <row r="1005" spans="1:16" x14ac:dyDescent="0.25">
      <c r="A1005" s="4" t="str">
        <f t="shared" si="15"/>
        <v>C1004</v>
      </c>
      <c r="B1005" s="4">
        <v>46</v>
      </c>
      <c r="C1005" s="5" t="str">
        <f>IF(recruitment_data3[[#This Row],[Gender]]=1,"Female","Male")</f>
        <v>Female</v>
      </c>
      <c r="D1005" s="5">
        <v>1</v>
      </c>
      <c r="E1005" s="5" t="str">
        <f>_xlfn.SWITCH(recruitment_data3[[#This Row],[EducationLevel]], 1,"Bachelor Type 1", 2,"Bachelor Type 2", 3,"Masters", 4,"PhD")</f>
        <v>Bachelor Type 2</v>
      </c>
      <c r="F1005" s="5">
        <v>2</v>
      </c>
      <c r="G1005" s="5">
        <v>7</v>
      </c>
      <c r="H1005" s="5">
        <v>1</v>
      </c>
      <c r="I1005" s="5">
        <v>39.277168484460134</v>
      </c>
      <c r="J1005" s="5">
        <v>9</v>
      </c>
      <c r="K1005" s="5">
        <v>62</v>
      </c>
      <c r="L1005" s="5">
        <v>33</v>
      </c>
      <c r="M1005" s="5" t="str">
        <f>_xlfn.SWITCH(recruitment_data3[[#This Row],[RecruitmentStrategy]], 1,"Aggressive", 2,"Moderate", 3,"Conservative")</f>
        <v>Moderate</v>
      </c>
      <c r="N1005" s="5">
        <v>2</v>
      </c>
      <c r="O1005" s="5" t="str">
        <f>IF(recruitment_data3[[#This Row],[HiringDecision]]=1,"Hired","Rejected")</f>
        <v>Rejected</v>
      </c>
      <c r="P1005" s="6">
        <v>0</v>
      </c>
    </row>
    <row r="1006" spans="1:16" x14ac:dyDescent="0.25">
      <c r="A1006" s="4" t="str">
        <f t="shared" si="15"/>
        <v>C1005</v>
      </c>
      <c r="B1006" s="4">
        <v>46</v>
      </c>
      <c r="C1006" s="5" t="str">
        <f>IF(recruitment_data3[[#This Row],[Gender]]=1,"Female","Male")</f>
        <v>Male</v>
      </c>
      <c r="D1006" s="5">
        <v>0</v>
      </c>
      <c r="E1006" s="5" t="str">
        <f>_xlfn.SWITCH(recruitment_data3[[#This Row],[EducationLevel]], 1,"Bachelor Type 1", 2,"Bachelor Type 2", 3,"Masters", 4,"PhD")</f>
        <v>PhD</v>
      </c>
      <c r="F1006" s="5">
        <v>4</v>
      </c>
      <c r="G1006" s="5">
        <v>7</v>
      </c>
      <c r="H1006" s="5">
        <v>2</v>
      </c>
      <c r="I1006" s="5">
        <v>11.509598435942319</v>
      </c>
      <c r="J1006" s="5">
        <v>9</v>
      </c>
      <c r="K1006" s="5">
        <v>11</v>
      </c>
      <c r="L1006" s="5">
        <v>69</v>
      </c>
      <c r="M1006" s="5" t="str">
        <f>_xlfn.SWITCH(recruitment_data3[[#This Row],[RecruitmentStrategy]], 1,"Aggressive", 2,"Moderate", 3,"Conservative")</f>
        <v>Moderate</v>
      </c>
      <c r="N1006" s="5">
        <v>2</v>
      </c>
      <c r="O1006" s="5" t="str">
        <f>IF(recruitment_data3[[#This Row],[HiringDecision]]=1,"Hired","Rejected")</f>
        <v>Rejected</v>
      </c>
      <c r="P1006" s="6">
        <v>0</v>
      </c>
    </row>
    <row r="1007" spans="1:16" x14ac:dyDescent="0.25">
      <c r="A1007" s="4" t="str">
        <f t="shared" si="15"/>
        <v>C1006</v>
      </c>
      <c r="B1007" s="4">
        <v>36</v>
      </c>
      <c r="C1007" s="5" t="str">
        <f>IF(recruitment_data3[[#This Row],[Gender]]=1,"Female","Male")</f>
        <v>Female</v>
      </c>
      <c r="D1007" s="5">
        <v>1</v>
      </c>
      <c r="E1007" s="5" t="str">
        <f>_xlfn.SWITCH(recruitment_data3[[#This Row],[EducationLevel]], 1,"Bachelor Type 1", 2,"Bachelor Type 2", 3,"Masters", 4,"PhD")</f>
        <v>Bachelor Type 1</v>
      </c>
      <c r="F1007" s="5">
        <v>1</v>
      </c>
      <c r="G1007" s="5">
        <v>7</v>
      </c>
      <c r="H1007" s="5">
        <v>4</v>
      </c>
      <c r="I1007" s="5">
        <v>17.172142755009837</v>
      </c>
      <c r="J1007" s="5">
        <v>38</v>
      </c>
      <c r="K1007" s="5">
        <v>62</v>
      </c>
      <c r="L1007" s="5">
        <v>16</v>
      </c>
      <c r="M1007" s="5" t="str">
        <f>_xlfn.SWITCH(recruitment_data3[[#This Row],[RecruitmentStrategy]], 1,"Aggressive", 2,"Moderate", 3,"Conservative")</f>
        <v>Conservative</v>
      </c>
      <c r="N1007" s="5">
        <v>3</v>
      </c>
      <c r="O1007" s="5" t="str">
        <f>IF(recruitment_data3[[#This Row],[HiringDecision]]=1,"Hired","Rejected")</f>
        <v>Rejected</v>
      </c>
      <c r="P1007" s="6">
        <v>0</v>
      </c>
    </row>
    <row r="1008" spans="1:16" x14ac:dyDescent="0.25">
      <c r="A1008" s="4" t="str">
        <f t="shared" si="15"/>
        <v>C1007</v>
      </c>
      <c r="B1008" s="4">
        <v>32</v>
      </c>
      <c r="C1008" s="5" t="str">
        <f>IF(recruitment_data3[[#This Row],[Gender]]=1,"Female","Male")</f>
        <v>Female</v>
      </c>
      <c r="D1008" s="5">
        <v>1</v>
      </c>
      <c r="E1008" s="5" t="str">
        <f>_xlfn.SWITCH(recruitment_data3[[#This Row],[EducationLevel]], 1,"Bachelor Type 1", 2,"Bachelor Type 2", 3,"Masters", 4,"PhD")</f>
        <v>Bachelor Type 1</v>
      </c>
      <c r="F1008" s="5">
        <v>1</v>
      </c>
      <c r="G1008" s="5">
        <v>11</v>
      </c>
      <c r="H1008" s="5">
        <v>4</v>
      </c>
      <c r="I1008" s="5">
        <v>41.961710605121013</v>
      </c>
      <c r="J1008" s="5">
        <v>27</v>
      </c>
      <c r="K1008" s="5">
        <v>76</v>
      </c>
      <c r="L1008" s="5">
        <v>19</v>
      </c>
      <c r="M1008" s="5" t="str">
        <f>_xlfn.SWITCH(recruitment_data3[[#This Row],[RecruitmentStrategy]], 1,"Aggressive", 2,"Moderate", 3,"Conservative")</f>
        <v>Aggressive</v>
      </c>
      <c r="N1008" s="5">
        <v>1</v>
      </c>
      <c r="O1008" s="5" t="str">
        <f>IF(recruitment_data3[[#This Row],[HiringDecision]]=1,"Hired","Rejected")</f>
        <v>Hired</v>
      </c>
      <c r="P1008" s="6">
        <v>1</v>
      </c>
    </row>
    <row r="1009" spans="1:16" x14ac:dyDescent="0.25">
      <c r="A1009" s="4" t="str">
        <f t="shared" si="15"/>
        <v>C1008</v>
      </c>
      <c r="B1009" s="4">
        <v>20</v>
      </c>
      <c r="C1009" s="5" t="str">
        <f>IF(recruitment_data3[[#This Row],[Gender]]=1,"Female","Male")</f>
        <v>Female</v>
      </c>
      <c r="D1009" s="5">
        <v>1</v>
      </c>
      <c r="E1009" s="5" t="str">
        <f>_xlfn.SWITCH(recruitment_data3[[#This Row],[EducationLevel]], 1,"Bachelor Type 1", 2,"Bachelor Type 2", 3,"Masters", 4,"PhD")</f>
        <v>Bachelor Type 1</v>
      </c>
      <c r="F1009" s="5">
        <v>1</v>
      </c>
      <c r="G1009" s="5">
        <v>7</v>
      </c>
      <c r="H1009" s="5">
        <v>1</v>
      </c>
      <c r="I1009" s="5">
        <v>27.826280419672411</v>
      </c>
      <c r="J1009" s="5">
        <v>29</v>
      </c>
      <c r="K1009" s="5">
        <v>91</v>
      </c>
      <c r="L1009" s="5">
        <v>72</v>
      </c>
      <c r="M1009" s="5" t="str">
        <f>_xlfn.SWITCH(recruitment_data3[[#This Row],[RecruitmentStrategy]], 1,"Aggressive", 2,"Moderate", 3,"Conservative")</f>
        <v>Conservative</v>
      </c>
      <c r="N1009" s="5">
        <v>3</v>
      </c>
      <c r="O1009" s="5" t="str">
        <f>IF(recruitment_data3[[#This Row],[HiringDecision]]=1,"Hired","Rejected")</f>
        <v>Rejected</v>
      </c>
      <c r="P1009" s="6">
        <v>0</v>
      </c>
    </row>
    <row r="1010" spans="1:16" x14ac:dyDescent="0.25">
      <c r="A1010" s="4" t="str">
        <f t="shared" si="15"/>
        <v>C1009</v>
      </c>
      <c r="B1010" s="4">
        <v>21</v>
      </c>
      <c r="C1010" s="5" t="str">
        <f>IF(recruitment_data3[[#This Row],[Gender]]=1,"Female","Male")</f>
        <v>Female</v>
      </c>
      <c r="D1010" s="5">
        <v>1</v>
      </c>
      <c r="E1010" s="5" t="str">
        <f>_xlfn.SWITCH(recruitment_data3[[#This Row],[EducationLevel]], 1,"Bachelor Type 1", 2,"Bachelor Type 2", 3,"Masters", 4,"PhD")</f>
        <v>Bachelor Type 2</v>
      </c>
      <c r="F1010" s="5">
        <v>2</v>
      </c>
      <c r="G1010" s="5">
        <v>6</v>
      </c>
      <c r="H1010" s="5">
        <v>5</v>
      </c>
      <c r="I1010" s="5">
        <v>43.997035709170461</v>
      </c>
      <c r="J1010" s="5">
        <v>36</v>
      </c>
      <c r="K1010" s="5">
        <v>0</v>
      </c>
      <c r="L1010" s="5">
        <v>58</v>
      </c>
      <c r="M1010" s="5" t="str">
        <f>_xlfn.SWITCH(recruitment_data3[[#This Row],[RecruitmentStrategy]], 1,"Aggressive", 2,"Moderate", 3,"Conservative")</f>
        <v>Moderate</v>
      </c>
      <c r="N1010" s="5">
        <v>2</v>
      </c>
      <c r="O1010" s="5" t="str">
        <f>IF(recruitment_data3[[#This Row],[HiringDecision]]=1,"Hired","Rejected")</f>
        <v>Rejected</v>
      </c>
      <c r="P1010" s="6">
        <v>0</v>
      </c>
    </row>
    <row r="1011" spans="1:16" x14ac:dyDescent="0.25">
      <c r="A1011" s="4" t="str">
        <f t="shared" si="15"/>
        <v>C1010</v>
      </c>
      <c r="B1011" s="4">
        <v>28</v>
      </c>
      <c r="C1011" s="5" t="str">
        <f>IF(recruitment_data3[[#This Row],[Gender]]=1,"Female","Male")</f>
        <v>Female</v>
      </c>
      <c r="D1011" s="5">
        <v>1</v>
      </c>
      <c r="E1011" s="5" t="str">
        <f>_xlfn.SWITCH(recruitment_data3[[#This Row],[EducationLevel]], 1,"Bachelor Type 1", 2,"Bachelor Type 2", 3,"Masters", 4,"PhD")</f>
        <v>Bachelor Type 2</v>
      </c>
      <c r="F1011" s="5">
        <v>2</v>
      </c>
      <c r="G1011" s="5">
        <v>7</v>
      </c>
      <c r="H1011" s="5">
        <v>2</v>
      </c>
      <c r="I1011" s="5">
        <v>11.65176599216321</v>
      </c>
      <c r="J1011" s="5">
        <v>66</v>
      </c>
      <c r="K1011" s="5">
        <v>50</v>
      </c>
      <c r="L1011" s="5">
        <v>68</v>
      </c>
      <c r="M1011" s="5" t="str">
        <f>_xlfn.SWITCH(recruitment_data3[[#This Row],[RecruitmentStrategy]], 1,"Aggressive", 2,"Moderate", 3,"Conservative")</f>
        <v>Moderate</v>
      </c>
      <c r="N1011" s="5">
        <v>2</v>
      </c>
      <c r="O1011" s="5" t="str">
        <f>IF(recruitment_data3[[#This Row],[HiringDecision]]=1,"Hired","Rejected")</f>
        <v>Rejected</v>
      </c>
      <c r="P1011" s="6">
        <v>0</v>
      </c>
    </row>
    <row r="1012" spans="1:16" x14ac:dyDescent="0.25">
      <c r="A1012" s="4" t="str">
        <f t="shared" si="15"/>
        <v>C1011</v>
      </c>
      <c r="B1012" s="4">
        <v>22</v>
      </c>
      <c r="C1012" s="5" t="str">
        <f>IF(recruitment_data3[[#This Row],[Gender]]=1,"Female","Male")</f>
        <v>Male</v>
      </c>
      <c r="D1012" s="5">
        <v>0</v>
      </c>
      <c r="E1012" s="5" t="str">
        <f>_xlfn.SWITCH(recruitment_data3[[#This Row],[EducationLevel]], 1,"Bachelor Type 1", 2,"Bachelor Type 2", 3,"Masters", 4,"PhD")</f>
        <v>Bachelor Type 1</v>
      </c>
      <c r="F1012" s="5">
        <v>1</v>
      </c>
      <c r="G1012" s="5">
        <v>10</v>
      </c>
      <c r="H1012" s="5">
        <v>1</v>
      </c>
      <c r="I1012" s="5">
        <v>31.38892193034436</v>
      </c>
      <c r="J1012" s="5">
        <v>42</v>
      </c>
      <c r="K1012" s="5">
        <v>69</v>
      </c>
      <c r="L1012" s="5">
        <v>86</v>
      </c>
      <c r="M1012" s="5" t="str">
        <f>_xlfn.SWITCH(recruitment_data3[[#This Row],[RecruitmentStrategy]], 1,"Aggressive", 2,"Moderate", 3,"Conservative")</f>
        <v>Aggressive</v>
      </c>
      <c r="N1012" s="5">
        <v>1</v>
      </c>
      <c r="O1012" s="5" t="str">
        <f>IF(recruitment_data3[[#This Row],[HiringDecision]]=1,"Hired","Rejected")</f>
        <v>Hired</v>
      </c>
      <c r="P1012" s="6">
        <v>1</v>
      </c>
    </row>
    <row r="1013" spans="1:16" x14ac:dyDescent="0.25">
      <c r="A1013" s="4" t="str">
        <f t="shared" si="15"/>
        <v>C1012</v>
      </c>
      <c r="B1013" s="4">
        <v>50</v>
      </c>
      <c r="C1013" s="5" t="str">
        <f>IF(recruitment_data3[[#This Row],[Gender]]=1,"Female","Male")</f>
        <v>Female</v>
      </c>
      <c r="D1013" s="5">
        <v>1</v>
      </c>
      <c r="E1013" s="5" t="str">
        <f>_xlfn.SWITCH(recruitment_data3[[#This Row],[EducationLevel]], 1,"Bachelor Type 1", 2,"Bachelor Type 2", 3,"Masters", 4,"PhD")</f>
        <v>Bachelor Type 1</v>
      </c>
      <c r="F1013" s="5">
        <v>1</v>
      </c>
      <c r="G1013" s="5">
        <v>13</v>
      </c>
      <c r="H1013" s="5">
        <v>5</v>
      </c>
      <c r="I1013" s="5">
        <v>5.1895486274130809</v>
      </c>
      <c r="J1013" s="5">
        <v>78</v>
      </c>
      <c r="K1013" s="5">
        <v>7</v>
      </c>
      <c r="L1013" s="5">
        <v>32</v>
      </c>
      <c r="M1013" s="5" t="str">
        <f>_xlfn.SWITCH(recruitment_data3[[#This Row],[RecruitmentStrategy]], 1,"Aggressive", 2,"Moderate", 3,"Conservative")</f>
        <v>Moderate</v>
      </c>
      <c r="N1013" s="5">
        <v>2</v>
      </c>
      <c r="O1013" s="5" t="str">
        <f>IF(recruitment_data3[[#This Row],[HiringDecision]]=1,"Hired","Rejected")</f>
        <v>Rejected</v>
      </c>
      <c r="P1013" s="6">
        <v>0</v>
      </c>
    </row>
    <row r="1014" spans="1:16" x14ac:dyDescent="0.25">
      <c r="A1014" s="4" t="str">
        <f t="shared" si="15"/>
        <v>C1013</v>
      </c>
      <c r="B1014" s="4">
        <v>20</v>
      </c>
      <c r="C1014" s="5" t="str">
        <f>IF(recruitment_data3[[#This Row],[Gender]]=1,"Female","Male")</f>
        <v>Female</v>
      </c>
      <c r="D1014" s="5">
        <v>1</v>
      </c>
      <c r="E1014" s="5" t="str">
        <f>_xlfn.SWITCH(recruitment_data3[[#This Row],[EducationLevel]], 1,"Bachelor Type 1", 2,"Bachelor Type 2", 3,"Masters", 4,"PhD")</f>
        <v>PhD</v>
      </c>
      <c r="F1014" s="5">
        <v>4</v>
      </c>
      <c r="G1014" s="5">
        <v>15</v>
      </c>
      <c r="H1014" s="5">
        <v>2</v>
      </c>
      <c r="I1014" s="5">
        <v>33.153049677001484</v>
      </c>
      <c r="J1014" s="5">
        <v>84</v>
      </c>
      <c r="K1014" s="5">
        <v>67</v>
      </c>
      <c r="L1014" s="5">
        <v>77</v>
      </c>
      <c r="M1014" s="5" t="str">
        <f>_xlfn.SWITCH(recruitment_data3[[#This Row],[RecruitmentStrategy]], 1,"Aggressive", 2,"Moderate", 3,"Conservative")</f>
        <v>Moderate</v>
      </c>
      <c r="N1014" s="5">
        <v>2</v>
      </c>
      <c r="O1014" s="5" t="str">
        <f>IF(recruitment_data3[[#This Row],[HiringDecision]]=1,"Hired","Rejected")</f>
        <v>Hired</v>
      </c>
      <c r="P1014" s="6">
        <v>1</v>
      </c>
    </row>
    <row r="1015" spans="1:16" x14ac:dyDescent="0.25">
      <c r="A1015" s="4" t="str">
        <f t="shared" si="15"/>
        <v>C1014</v>
      </c>
      <c r="B1015" s="4">
        <v>40</v>
      </c>
      <c r="C1015" s="5" t="str">
        <f>IF(recruitment_data3[[#This Row],[Gender]]=1,"Female","Male")</f>
        <v>Female</v>
      </c>
      <c r="D1015" s="5">
        <v>1</v>
      </c>
      <c r="E1015" s="5" t="str">
        <f>_xlfn.SWITCH(recruitment_data3[[#This Row],[EducationLevel]], 1,"Bachelor Type 1", 2,"Bachelor Type 2", 3,"Masters", 4,"PhD")</f>
        <v>Masters</v>
      </c>
      <c r="F1015" s="5">
        <v>3</v>
      </c>
      <c r="G1015" s="5">
        <v>7</v>
      </c>
      <c r="H1015" s="5">
        <v>4</v>
      </c>
      <c r="I1015" s="5">
        <v>39.126701888776736</v>
      </c>
      <c r="J1015" s="5">
        <v>51</v>
      </c>
      <c r="K1015" s="5">
        <v>4</v>
      </c>
      <c r="L1015" s="5">
        <v>16</v>
      </c>
      <c r="M1015" s="5" t="str">
        <f>_xlfn.SWITCH(recruitment_data3[[#This Row],[RecruitmentStrategy]], 1,"Aggressive", 2,"Moderate", 3,"Conservative")</f>
        <v>Moderate</v>
      </c>
      <c r="N1015" s="5">
        <v>2</v>
      </c>
      <c r="O1015" s="5" t="str">
        <f>IF(recruitment_data3[[#This Row],[HiringDecision]]=1,"Hired","Rejected")</f>
        <v>Rejected</v>
      </c>
      <c r="P1015" s="6">
        <v>0</v>
      </c>
    </row>
    <row r="1016" spans="1:16" x14ac:dyDescent="0.25">
      <c r="A1016" s="4" t="str">
        <f t="shared" si="15"/>
        <v>C1015</v>
      </c>
      <c r="B1016" s="4">
        <v>35</v>
      </c>
      <c r="C1016" s="5" t="str">
        <f>IF(recruitment_data3[[#This Row],[Gender]]=1,"Female","Male")</f>
        <v>Female</v>
      </c>
      <c r="D1016" s="5">
        <v>1</v>
      </c>
      <c r="E1016" s="5" t="str">
        <f>_xlfn.SWITCH(recruitment_data3[[#This Row],[EducationLevel]], 1,"Bachelor Type 1", 2,"Bachelor Type 2", 3,"Masters", 4,"PhD")</f>
        <v>Masters</v>
      </c>
      <c r="F1016" s="5">
        <v>3</v>
      </c>
      <c r="G1016" s="5">
        <v>12</v>
      </c>
      <c r="H1016" s="5">
        <v>2</v>
      </c>
      <c r="I1016" s="5">
        <v>30.246544698936084</v>
      </c>
      <c r="J1016" s="5">
        <v>100</v>
      </c>
      <c r="K1016" s="5">
        <v>88</v>
      </c>
      <c r="L1016" s="5">
        <v>56</v>
      </c>
      <c r="M1016" s="5" t="str">
        <f>_xlfn.SWITCH(recruitment_data3[[#This Row],[RecruitmentStrategy]], 1,"Aggressive", 2,"Moderate", 3,"Conservative")</f>
        <v>Aggressive</v>
      </c>
      <c r="N1016" s="5">
        <v>1</v>
      </c>
      <c r="O1016" s="5" t="str">
        <f>IF(recruitment_data3[[#This Row],[HiringDecision]]=1,"Hired","Rejected")</f>
        <v>Hired</v>
      </c>
      <c r="P1016" s="6">
        <v>1</v>
      </c>
    </row>
    <row r="1017" spans="1:16" x14ac:dyDescent="0.25">
      <c r="A1017" s="4" t="str">
        <f t="shared" si="15"/>
        <v>C1016</v>
      </c>
      <c r="B1017" s="4">
        <v>42</v>
      </c>
      <c r="C1017" s="5" t="str">
        <f>IF(recruitment_data3[[#This Row],[Gender]]=1,"Female","Male")</f>
        <v>Female</v>
      </c>
      <c r="D1017" s="5">
        <v>1</v>
      </c>
      <c r="E1017" s="5" t="str">
        <f>_xlfn.SWITCH(recruitment_data3[[#This Row],[EducationLevel]], 1,"Bachelor Type 1", 2,"Bachelor Type 2", 3,"Masters", 4,"PhD")</f>
        <v>Masters</v>
      </c>
      <c r="F1017" s="5">
        <v>3</v>
      </c>
      <c r="G1017" s="5">
        <v>13</v>
      </c>
      <c r="H1017" s="5">
        <v>3</v>
      </c>
      <c r="I1017" s="5">
        <v>14.311575074940512</v>
      </c>
      <c r="J1017" s="5">
        <v>55</v>
      </c>
      <c r="K1017" s="5">
        <v>85</v>
      </c>
      <c r="L1017" s="5">
        <v>82</v>
      </c>
      <c r="M1017" s="5" t="str">
        <f>_xlfn.SWITCH(recruitment_data3[[#This Row],[RecruitmentStrategy]], 1,"Aggressive", 2,"Moderate", 3,"Conservative")</f>
        <v>Aggressive</v>
      </c>
      <c r="N1017" s="5">
        <v>1</v>
      </c>
      <c r="O1017" s="5" t="str">
        <f>IF(recruitment_data3[[#This Row],[HiringDecision]]=1,"Hired","Rejected")</f>
        <v>Hired</v>
      </c>
      <c r="P1017" s="6">
        <v>1</v>
      </c>
    </row>
    <row r="1018" spans="1:16" x14ac:dyDescent="0.25">
      <c r="A1018" s="4" t="str">
        <f t="shared" si="15"/>
        <v>C1017</v>
      </c>
      <c r="B1018" s="4">
        <v>25</v>
      </c>
      <c r="C1018" s="5" t="str">
        <f>IF(recruitment_data3[[#This Row],[Gender]]=1,"Female","Male")</f>
        <v>Male</v>
      </c>
      <c r="D1018" s="5">
        <v>0</v>
      </c>
      <c r="E1018" s="5" t="str">
        <f>_xlfn.SWITCH(recruitment_data3[[#This Row],[EducationLevel]], 1,"Bachelor Type 1", 2,"Bachelor Type 2", 3,"Masters", 4,"PhD")</f>
        <v>Masters</v>
      </c>
      <c r="F1018" s="5">
        <v>3</v>
      </c>
      <c r="G1018" s="5">
        <v>7</v>
      </c>
      <c r="H1018" s="5">
        <v>2</v>
      </c>
      <c r="I1018" s="5">
        <v>2.5671334429433359</v>
      </c>
      <c r="J1018" s="5">
        <v>75</v>
      </c>
      <c r="K1018" s="5">
        <v>91</v>
      </c>
      <c r="L1018" s="5">
        <v>96</v>
      </c>
      <c r="M1018" s="5" t="str">
        <f>_xlfn.SWITCH(recruitment_data3[[#This Row],[RecruitmentStrategy]], 1,"Aggressive", 2,"Moderate", 3,"Conservative")</f>
        <v>Conservative</v>
      </c>
      <c r="N1018" s="5">
        <v>3</v>
      </c>
      <c r="O1018" s="5" t="str">
        <f>IF(recruitment_data3[[#This Row],[HiringDecision]]=1,"Hired","Rejected")</f>
        <v>Hired</v>
      </c>
      <c r="P1018" s="6">
        <v>1</v>
      </c>
    </row>
    <row r="1019" spans="1:16" x14ac:dyDescent="0.25">
      <c r="A1019" s="4" t="str">
        <f t="shared" si="15"/>
        <v>C1018</v>
      </c>
      <c r="B1019" s="4">
        <v>47</v>
      </c>
      <c r="C1019" s="5" t="str">
        <f>IF(recruitment_data3[[#This Row],[Gender]]=1,"Female","Male")</f>
        <v>Female</v>
      </c>
      <c r="D1019" s="5">
        <v>1</v>
      </c>
      <c r="E1019" s="5" t="str">
        <f>_xlfn.SWITCH(recruitment_data3[[#This Row],[EducationLevel]], 1,"Bachelor Type 1", 2,"Bachelor Type 2", 3,"Masters", 4,"PhD")</f>
        <v>Bachelor Type 1</v>
      </c>
      <c r="F1019" s="5">
        <v>1</v>
      </c>
      <c r="G1019" s="5">
        <v>11</v>
      </c>
      <c r="H1019" s="5">
        <v>3</v>
      </c>
      <c r="I1019" s="5">
        <v>6.9724441982142888</v>
      </c>
      <c r="J1019" s="5">
        <v>67</v>
      </c>
      <c r="K1019" s="5">
        <v>38</v>
      </c>
      <c r="L1019" s="5">
        <v>0</v>
      </c>
      <c r="M1019" s="5" t="str">
        <f>_xlfn.SWITCH(recruitment_data3[[#This Row],[RecruitmentStrategy]], 1,"Aggressive", 2,"Moderate", 3,"Conservative")</f>
        <v>Conservative</v>
      </c>
      <c r="N1019" s="5">
        <v>3</v>
      </c>
      <c r="O1019" s="5" t="str">
        <f>IF(recruitment_data3[[#This Row],[HiringDecision]]=1,"Hired","Rejected")</f>
        <v>Rejected</v>
      </c>
      <c r="P1019" s="6">
        <v>0</v>
      </c>
    </row>
    <row r="1020" spans="1:16" x14ac:dyDescent="0.25">
      <c r="A1020" s="4" t="str">
        <f t="shared" si="15"/>
        <v>C1019</v>
      </c>
      <c r="B1020" s="4">
        <v>36</v>
      </c>
      <c r="C1020" s="5" t="str">
        <f>IF(recruitment_data3[[#This Row],[Gender]]=1,"Female","Male")</f>
        <v>Male</v>
      </c>
      <c r="D1020" s="5">
        <v>0</v>
      </c>
      <c r="E1020" s="5" t="str">
        <f>_xlfn.SWITCH(recruitment_data3[[#This Row],[EducationLevel]], 1,"Bachelor Type 1", 2,"Bachelor Type 2", 3,"Masters", 4,"PhD")</f>
        <v>Bachelor Type 2</v>
      </c>
      <c r="F1020" s="5">
        <v>2</v>
      </c>
      <c r="G1020" s="5">
        <v>9</v>
      </c>
      <c r="H1020" s="5">
        <v>2</v>
      </c>
      <c r="I1020" s="5">
        <v>32.115148953701308</v>
      </c>
      <c r="J1020" s="5">
        <v>8</v>
      </c>
      <c r="K1020" s="5">
        <v>22</v>
      </c>
      <c r="L1020" s="5">
        <v>12</v>
      </c>
      <c r="M1020" s="5" t="str">
        <f>_xlfn.SWITCH(recruitment_data3[[#This Row],[RecruitmentStrategy]], 1,"Aggressive", 2,"Moderate", 3,"Conservative")</f>
        <v>Moderate</v>
      </c>
      <c r="N1020" s="5">
        <v>2</v>
      </c>
      <c r="O1020" s="5" t="str">
        <f>IF(recruitment_data3[[#This Row],[HiringDecision]]=1,"Hired","Rejected")</f>
        <v>Rejected</v>
      </c>
      <c r="P1020" s="6">
        <v>0</v>
      </c>
    </row>
    <row r="1021" spans="1:16" x14ac:dyDescent="0.25">
      <c r="A1021" s="4" t="str">
        <f t="shared" si="15"/>
        <v>C1020</v>
      </c>
      <c r="B1021" s="4">
        <v>24</v>
      </c>
      <c r="C1021" s="5" t="str">
        <f>IF(recruitment_data3[[#This Row],[Gender]]=1,"Female","Male")</f>
        <v>Male</v>
      </c>
      <c r="D1021" s="5">
        <v>0</v>
      </c>
      <c r="E1021" s="5" t="str">
        <f>_xlfn.SWITCH(recruitment_data3[[#This Row],[EducationLevel]], 1,"Bachelor Type 1", 2,"Bachelor Type 2", 3,"Masters", 4,"PhD")</f>
        <v>Masters</v>
      </c>
      <c r="F1021" s="5">
        <v>3</v>
      </c>
      <c r="G1021" s="5">
        <v>6</v>
      </c>
      <c r="H1021" s="5">
        <v>3</v>
      </c>
      <c r="I1021" s="5">
        <v>47.721010842125686</v>
      </c>
      <c r="J1021" s="5">
        <v>91</v>
      </c>
      <c r="K1021" s="5">
        <v>67</v>
      </c>
      <c r="L1021" s="5">
        <v>26</v>
      </c>
      <c r="M1021" s="5" t="str">
        <f>_xlfn.SWITCH(recruitment_data3[[#This Row],[RecruitmentStrategy]], 1,"Aggressive", 2,"Moderate", 3,"Conservative")</f>
        <v>Aggressive</v>
      </c>
      <c r="N1021" s="5">
        <v>1</v>
      </c>
      <c r="O1021" s="5" t="str">
        <f>IF(recruitment_data3[[#This Row],[HiringDecision]]=1,"Hired","Rejected")</f>
        <v>Hired</v>
      </c>
      <c r="P1021" s="6">
        <v>1</v>
      </c>
    </row>
    <row r="1022" spans="1:16" x14ac:dyDescent="0.25">
      <c r="A1022" s="4" t="str">
        <f t="shared" si="15"/>
        <v>C1021</v>
      </c>
      <c r="B1022" s="4">
        <v>50</v>
      </c>
      <c r="C1022" s="5" t="str">
        <f>IF(recruitment_data3[[#This Row],[Gender]]=1,"Female","Male")</f>
        <v>Male</v>
      </c>
      <c r="D1022" s="5">
        <v>0</v>
      </c>
      <c r="E1022" s="5" t="str">
        <f>_xlfn.SWITCH(recruitment_data3[[#This Row],[EducationLevel]], 1,"Bachelor Type 1", 2,"Bachelor Type 2", 3,"Masters", 4,"PhD")</f>
        <v>Bachelor Type 2</v>
      </c>
      <c r="F1022" s="5">
        <v>2</v>
      </c>
      <c r="G1022" s="5">
        <v>11</v>
      </c>
      <c r="H1022" s="5">
        <v>4</v>
      </c>
      <c r="I1022" s="5">
        <v>11.32672019860032</v>
      </c>
      <c r="J1022" s="5">
        <v>22</v>
      </c>
      <c r="K1022" s="5">
        <v>51</v>
      </c>
      <c r="L1022" s="5">
        <v>69</v>
      </c>
      <c r="M1022" s="5" t="str">
        <f>_xlfn.SWITCH(recruitment_data3[[#This Row],[RecruitmentStrategy]], 1,"Aggressive", 2,"Moderate", 3,"Conservative")</f>
        <v>Moderate</v>
      </c>
      <c r="N1022" s="5">
        <v>2</v>
      </c>
      <c r="O1022" s="5" t="str">
        <f>IF(recruitment_data3[[#This Row],[HiringDecision]]=1,"Hired","Rejected")</f>
        <v>Rejected</v>
      </c>
      <c r="P1022" s="6">
        <v>0</v>
      </c>
    </row>
    <row r="1023" spans="1:16" x14ac:dyDescent="0.25">
      <c r="A1023" s="4" t="str">
        <f t="shared" si="15"/>
        <v>C1022</v>
      </c>
      <c r="B1023" s="4">
        <v>24</v>
      </c>
      <c r="C1023" s="5" t="str">
        <f>IF(recruitment_data3[[#This Row],[Gender]]=1,"Female","Male")</f>
        <v>Male</v>
      </c>
      <c r="D1023" s="5">
        <v>0</v>
      </c>
      <c r="E1023" s="5" t="str">
        <f>_xlfn.SWITCH(recruitment_data3[[#This Row],[EducationLevel]], 1,"Bachelor Type 1", 2,"Bachelor Type 2", 3,"Masters", 4,"PhD")</f>
        <v>Bachelor Type 2</v>
      </c>
      <c r="F1023" s="5">
        <v>2</v>
      </c>
      <c r="G1023" s="5">
        <v>0</v>
      </c>
      <c r="H1023" s="5">
        <v>5</v>
      </c>
      <c r="I1023" s="5">
        <v>37.751307455254938</v>
      </c>
      <c r="J1023" s="5">
        <v>62</v>
      </c>
      <c r="K1023" s="5">
        <v>3</v>
      </c>
      <c r="L1023" s="5">
        <v>58</v>
      </c>
      <c r="M1023" s="5" t="str">
        <f>_xlfn.SWITCH(recruitment_data3[[#This Row],[RecruitmentStrategy]], 1,"Aggressive", 2,"Moderate", 3,"Conservative")</f>
        <v>Moderate</v>
      </c>
      <c r="N1023" s="5">
        <v>2</v>
      </c>
      <c r="O1023" s="5" t="str">
        <f>IF(recruitment_data3[[#This Row],[HiringDecision]]=1,"Hired","Rejected")</f>
        <v>Rejected</v>
      </c>
      <c r="P1023" s="6">
        <v>0</v>
      </c>
    </row>
    <row r="1024" spans="1:16" x14ac:dyDescent="0.25">
      <c r="A1024" s="4" t="str">
        <f t="shared" si="15"/>
        <v>C1023</v>
      </c>
      <c r="B1024" s="4">
        <v>25</v>
      </c>
      <c r="C1024" s="5" t="str">
        <f>IF(recruitment_data3[[#This Row],[Gender]]=1,"Female","Male")</f>
        <v>Female</v>
      </c>
      <c r="D1024" s="5">
        <v>1</v>
      </c>
      <c r="E1024" s="5" t="str">
        <f>_xlfn.SWITCH(recruitment_data3[[#This Row],[EducationLevel]], 1,"Bachelor Type 1", 2,"Bachelor Type 2", 3,"Masters", 4,"PhD")</f>
        <v>Bachelor Type 1</v>
      </c>
      <c r="F1024" s="5">
        <v>1</v>
      </c>
      <c r="G1024" s="5">
        <v>3</v>
      </c>
      <c r="H1024" s="5">
        <v>3</v>
      </c>
      <c r="I1024" s="5">
        <v>44.322553162452074</v>
      </c>
      <c r="J1024" s="5">
        <v>60</v>
      </c>
      <c r="K1024" s="5">
        <v>46</v>
      </c>
      <c r="L1024" s="5">
        <v>5</v>
      </c>
      <c r="M1024" s="5" t="str">
        <f>_xlfn.SWITCH(recruitment_data3[[#This Row],[RecruitmentStrategy]], 1,"Aggressive", 2,"Moderate", 3,"Conservative")</f>
        <v>Conservative</v>
      </c>
      <c r="N1024" s="5">
        <v>3</v>
      </c>
      <c r="O1024" s="5" t="str">
        <f>IF(recruitment_data3[[#This Row],[HiringDecision]]=1,"Hired","Rejected")</f>
        <v>Rejected</v>
      </c>
      <c r="P1024" s="6">
        <v>0</v>
      </c>
    </row>
    <row r="1025" spans="1:16" x14ac:dyDescent="0.25">
      <c r="A1025" s="4" t="str">
        <f t="shared" si="15"/>
        <v>C1024</v>
      </c>
      <c r="B1025" s="4">
        <v>22</v>
      </c>
      <c r="C1025" s="5" t="str">
        <f>IF(recruitment_data3[[#This Row],[Gender]]=1,"Female","Male")</f>
        <v>Male</v>
      </c>
      <c r="D1025" s="5">
        <v>0</v>
      </c>
      <c r="E1025" s="5" t="str">
        <f>_xlfn.SWITCH(recruitment_data3[[#This Row],[EducationLevel]], 1,"Bachelor Type 1", 2,"Bachelor Type 2", 3,"Masters", 4,"PhD")</f>
        <v>Bachelor Type 2</v>
      </c>
      <c r="F1025" s="5">
        <v>2</v>
      </c>
      <c r="G1025" s="5">
        <v>12</v>
      </c>
      <c r="H1025" s="5">
        <v>3</v>
      </c>
      <c r="I1025" s="5">
        <v>27.044108922375553</v>
      </c>
      <c r="J1025" s="5">
        <v>39</v>
      </c>
      <c r="K1025" s="5">
        <v>20</v>
      </c>
      <c r="L1025" s="5">
        <v>96</v>
      </c>
      <c r="M1025" s="5" t="str">
        <f>_xlfn.SWITCH(recruitment_data3[[#This Row],[RecruitmentStrategy]], 1,"Aggressive", 2,"Moderate", 3,"Conservative")</f>
        <v>Moderate</v>
      </c>
      <c r="N1025" s="5">
        <v>2</v>
      </c>
      <c r="O1025" s="5" t="str">
        <f>IF(recruitment_data3[[#This Row],[HiringDecision]]=1,"Hired","Rejected")</f>
        <v>Rejected</v>
      </c>
      <c r="P1025" s="6">
        <v>0</v>
      </c>
    </row>
    <row r="1026" spans="1:16" x14ac:dyDescent="0.25">
      <c r="A1026" s="4" t="str">
        <f t="shared" ref="A1026:A1089" si="16">"C"&amp;TEXT(ROW()-1,"0000")</f>
        <v>C1025</v>
      </c>
      <c r="B1026" s="4">
        <v>40</v>
      </c>
      <c r="C1026" s="5" t="str">
        <f>IF(recruitment_data3[[#This Row],[Gender]]=1,"Female","Male")</f>
        <v>Male</v>
      </c>
      <c r="D1026" s="5">
        <v>0</v>
      </c>
      <c r="E1026" s="5" t="str">
        <f>_xlfn.SWITCH(recruitment_data3[[#This Row],[EducationLevel]], 1,"Bachelor Type 1", 2,"Bachelor Type 2", 3,"Masters", 4,"PhD")</f>
        <v>Bachelor Type 2</v>
      </c>
      <c r="F1026" s="5">
        <v>2</v>
      </c>
      <c r="G1026" s="5">
        <v>12</v>
      </c>
      <c r="H1026" s="5">
        <v>4</v>
      </c>
      <c r="I1026" s="5">
        <v>34.463289792182884</v>
      </c>
      <c r="J1026" s="5">
        <v>43</v>
      </c>
      <c r="K1026" s="5">
        <v>100</v>
      </c>
      <c r="L1026" s="5">
        <v>93</v>
      </c>
      <c r="M1026" s="5" t="str">
        <f>_xlfn.SWITCH(recruitment_data3[[#This Row],[RecruitmentStrategy]], 1,"Aggressive", 2,"Moderate", 3,"Conservative")</f>
        <v>Conservative</v>
      </c>
      <c r="N1026" s="5">
        <v>3</v>
      </c>
      <c r="O1026" s="5" t="str">
        <f>IF(recruitment_data3[[#This Row],[HiringDecision]]=1,"Hired","Rejected")</f>
        <v>Rejected</v>
      </c>
      <c r="P1026" s="6">
        <v>0</v>
      </c>
    </row>
    <row r="1027" spans="1:16" x14ac:dyDescent="0.25">
      <c r="A1027" s="4" t="str">
        <f t="shared" si="16"/>
        <v>C1026</v>
      </c>
      <c r="B1027" s="4">
        <v>42</v>
      </c>
      <c r="C1027" s="5" t="str">
        <f>IF(recruitment_data3[[#This Row],[Gender]]=1,"Female","Male")</f>
        <v>Female</v>
      </c>
      <c r="D1027" s="5">
        <v>1</v>
      </c>
      <c r="E1027" s="5" t="str">
        <f>_xlfn.SWITCH(recruitment_data3[[#This Row],[EducationLevel]], 1,"Bachelor Type 1", 2,"Bachelor Type 2", 3,"Masters", 4,"PhD")</f>
        <v>Bachelor Type 2</v>
      </c>
      <c r="F1027" s="5">
        <v>2</v>
      </c>
      <c r="G1027" s="5">
        <v>15</v>
      </c>
      <c r="H1027" s="5">
        <v>3</v>
      </c>
      <c r="I1027" s="5">
        <v>41.750765833807407</v>
      </c>
      <c r="J1027" s="5">
        <v>85</v>
      </c>
      <c r="K1027" s="5">
        <v>55</v>
      </c>
      <c r="L1027" s="5">
        <v>98</v>
      </c>
      <c r="M1027" s="5" t="str">
        <f>_xlfn.SWITCH(recruitment_data3[[#This Row],[RecruitmentStrategy]], 1,"Aggressive", 2,"Moderate", 3,"Conservative")</f>
        <v>Conservative</v>
      </c>
      <c r="N1027" s="5">
        <v>3</v>
      </c>
      <c r="O1027" s="5" t="str">
        <f>IF(recruitment_data3[[#This Row],[HiringDecision]]=1,"Hired","Rejected")</f>
        <v>Hired</v>
      </c>
      <c r="P1027" s="6">
        <v>1</v>
      </c>
    </row>
    <row r="1028" spans="1:16" x14ac:dyDescent="0.25">
      <c r="A1028" s="4" t="str">
        <f t="shared" si="16"/>
        <v>C1027</v>
      </c>
      <c r="B1028" s="4">
        <v>24</v>
      </c>
      <c r="C1028" s="5" t="str">
        <f>IF(recruitment_data3[[#This Row],[Gender]]=1,"Female","Male")</f>
        <v>Female</v>
      </c>
      <c r="D1028" s="5">
        <v>1</v>
      </c>
      <c r="E1028" s="5" t="str">
        <f>_xlfn.SWITCH(recruitment_data3[[#This Row],[EducationLevel]], 1,"Bachelor Type 1", 2,"Bachelor Type 2", 3,"Masters", 4,"PhD")</f>
        <v>Bachelor Type 2</v>
      </c>
      <c r="F1028" s="5">
        <v>2</v>
      </c>
      <c r="G1028" s="5">
        <v>3</v>
      </c>
      <c r="H1028" s="5">
        <v>1</v>
      </c>
      <c r="I1028" s="5">
        <v>14.03375788702968</v>
      </c>
      <c r="J1028" s="5">
        <v>23</v>
      </c>
      <c r="K1028" s="5">
        <v>65</v>
      </c>
      <c r="L1028" s="5">
        <v>22</v>
      </c>
      <c r="M1028" s="5" t="str">
        <f>_xlfn.SWITCH(recruitment_data3[[#This Row],[RecruitmentStrategy]], 1,"Aggressive", 2,"Moderate", 3,"Conservative")</f>
        <v>Conservative</v>
      </c>
      <c r="N1028" s="5">
        <v>3</v>
      </c>
      <c r="O1028" s="5" t="str">
        <f>IF(recruitment_data3[[#This Row],[HiringDecision]]=1,"Hired","Rejected")</f>
        <v>Rejected</v>
      </c>
      <c r="P1028" s="6">
        <v>0</v>
      </c>
    </row>
    <row r="1029" spans="1:16" x14ac:dyDescent="0.25">
      <c r="A1029" s="4" t="str">
        <f t="shared" si="16"/>
        <v>C1028</v>
      </c>
      <c r="B1029" s="4">
        <v>40</v>
      </c>
      <c r="C1029" s="5" t="str">
        <f>IF(recruitment_data3[[#This Row],[Gender]]=1,"Female","Male")</f>
        <v>Female</v>
      </c>
      <c r="D1029" s="5">
        <v>1</v>
      </c>
      <c r="E1029" s="5" t="str">
        <f>_xlfn.SWITCH(recruitment_data3[[#This Row],[EducationLevel]], 1,"Bachelor Type 1", 2,"Bachelor Type 2", 3,"Masters", 4,"PhD")</f>
        <v>Bachelor Type 2</v>
      </c>
      <c r="F1029" s="5">
        <v>2</v>
      </c>
      <c r="G1029" s="5">
        <v>4</v>
      </c>
      <c r="H1029" s="5">
        <v>4</v>
      </c>
      <c r="I1029" s="5">
        <v>15.844783713402149</v>
      </c>
      <c r="J1029" s="5">
        <v>50</v>
      </c>
      <c r="K1029" s="5">
        <v>58</v>
      </c>
      <c r="L1029" s="5">
        <v>9</v>
      </c>
      <c r="M1029" s="5" t="str">
        <f>_xlfn.SWITCH(recruitment_data3[[#This Row],[RecruitmentStrategy]], 1,"Aggressive", 2,"Moderate", 3,"Conservative")</f>
        <v>Aggressive</v>
      </c>
      <c r="N1029" s="5">
        <v>1</v>
      </c>
      <c r="O1029" s="5" t="str">
        <f>IF(recruitment_data3[[#This Row],[HiringDecision]]=1,"Hired","Rejected")</f>
        <v>Rejected</v>
      </c>
      <c r="P1029" s="6">
        <v>0</v>
      </c>
    </row>
    <row r="1030" spans="1:16" x14ac:dyDescent="0.25">
      <c r="A1030" s="4" t="str">
        <f t="shared" si="16"/>
        <v>C1029</v>
      </c>
      <c r="B1030" s="4">
        <v>24</v>
      </c>
      <c r="C1030" s="5" t="str">
        <f>IF(recruitment_data3[[#This Row],[Gender]]=1,"Female","Male")</f>
        <v>Male</v>
      </c>
      <c r="D1030" s="5">
        <v>0</v>
      </c>
      <c r="E1030" s="5" t="str">
        <f>_xlfn.SWITCH(recruitment_data3[[#This Row],[EducationLevel]], 1,"Bachelor Type 1", 2,"Bachelor Type 2", 3,"Masters", 4,"PhD")</f>
        <v>Bachelor Type 1</v>
      </c>
      <c r="F1030" s="5">
        <v>1</v>
      </c>
      <c r="G1030" s="5">
        <v>9</v>
      </c>
      <c r="H1030" s="5">
        <v>1</v>
      </c>
      <c r="I1030" s="5">
        <v>1.0313758314228085</v>
      </c>
      <c r="J1030" s="5">
        <v>57</v>
      </c>
      <c r="K1030" s="5">
        <v>6</v>
      </c>
      <c r="L1030" s="5">
        <v>50</v>
      </c>
      <c r="M1030" s="5" t="str">
        <f>_xlfn.SWITCH(recruitment_data3[[#This Row],[RecruitmentStrategy]], 1,"Aggressive", 2,"Moderate", 3,"Conservative")</f>
        <v>Aggressive</v>
      </c>
      <c r="N1030" s="5">
        <v>1</v>
      </c>
      <c r="O1030" s="5" t="str">
        <f>IF(recruitment_data3[[#This Row],[HiringDecision]]=1,"Hired","Rejected")</f>
        <v>Rejected</v>
      </c>
      <c r="P1030" s="6">
        <v>0</v>
      </c>
    </row>
    <row r="1031" spans="1:16" x14ac:dyDescent="0.25">
      <c r="A1031" s="4" t="str">
        <f t="shared" si="16"/>
        <v>C1030</v>
      </c>
      <c r="B1031" s="4">
        <v>29</v>
      </c>
      <c r="C1031" s="5" t="str">
        <f>IF(recruitment_data3[[#This Row],[Gender]]=1,"Female","Male")</f>
        <v>Female</v>
      </c>
      <c r="D1031" s="5">
        <v>1</v>
      </c>
      <c r="E1031" s="5" t="str">
        <f>_xlfn.SWITCH(recruitment_data3[[#This Row],[EducationLevel]], 1,"Bachelor Type 1", 2,"Bachelor Type 2", 3,"Masters", 4,"PhD")</f>
        <v>Bachelor Type 1</v>
      </c>
      <c r="F1031" s="5">
        <v>1</v>
      </c>
      <c r="G1031" s="5">
        <v>5</v>
      </c>
      <c r="H1031" s="5">
        <v>4</v>
      </c>
      <c r="I1031" s="5">
        <v>49.154706544890125</v>
      </c>
      <c r="J1031" s="5">
        <v>89</v>
      </c>
      <c r="K1031" s="5">
        <v>48</v>
      </c>
      <c r="L1031" s="5">
        <v>18</v>
      </c>
      <c r="M1031" s="5" t="str">
        <f>_xlfn.SWITCH(recruitment_data3[[#This Row],[RecruitmentStrategy]], 1,"Aggressive", 2,"Moderate", 3,"Conservative")</f>
        <v>Moderate</v>
      </c>
      <c r="N1031" s="5">
        <v>2</v>
      </c>
      <c r="O1031" s="5" t="str">
        <f>IF(recruitment_data3[[#This Row],[HiringDecision]]=1,"Hired","Rejected")</f>
        <v>Rejected</v>
      </c>
      <c r="P1031" s="6">
        <v>0</v>
      </c>
    </row>
    <row r="1032" spans="1:16" x14ac:dyDescent="0.25">
      <c r="A1032" s="4" t="str">
        <f t="shared" si="16"/>
        <v>C1031</v>
      </c>
      <c r="B1032" s="4">
        <v>29</v>
      </c>
      <c r="C1032" s="5" t="str">
        <f>IF(recruitment_data3[[#This Row],[Gender]]=1,"Female","Male")</f>
        <v>Female</v>
      </c>
      <c r="D1032" s="5">
        <v>1</v>
      </c>
      <c r="E1032" s="5" t="str">
        <f>_xlfn.SWITCH(recruitment_data3[[#This Row],[EducationLevel]], 1,"Bachelor Type 1", 2,"Bachelor Type 2", 3,"Masters", 4,"PhD")</f>
        <v>Masters</v>
      </c>
      <c r="F1032" s="5">
        <v>3</v>
      </c>
      <c r="G1032" s="5">
        <v>3</v>
      </c>
      <c r="H1032" s="5">
        <v>3</v>
      </c>
      <c r="I1032" s="5">
        <v>46.877244729817242</v>
      </c>
      <c r="J1032" s="5">
        <v>93</v>
      </c>
      <c r="K1032" s="5">
        <v>15</v>
      </c>
      <c r="L1032" s="5">
        <v>50</v>
      </c>
      <c r="M1032" s="5" t="str">
        <f>_xlfn.SWITCH(recruitment_data3[[#This Row],[RecruitmentStrategy]], 1,"Aggressive", 2,"Moderate", 3,"Conservative")</f>
        <v>Moderate</v>
      </c>
      <c r="N1032" s="5">
        <v>2</v>
      </c>
      <c r="O1032" s="5" t="str">
        <f>IF(recruitment_data3[[#This Row],[HiringDecision]]=1,"Hired","Rejected")</f>
        <v>Rejected</v>
      </c>
      <c r="P1032" s="6">
        <v>0</v>
      </c>
    </row>
    <row r="1033" spans="1:16" x14ac:dyDescent="0.25">
      <c r="A1033" s="4" t="str">
        <f t="shared" si="16"/>
        <v>C1032</v>
      </c>
      <c r="B1033" s="4">
        <v>38</v>
      </c>
      <c r="C1033" s="5" t="str">
        <f>IF(recruitment_data3[[#This Row],[Gender]]=1,"Female","Male")</f>
        <v>Male</v>
      </c>
      <c r="D1033" s="5">
        <v>0</v>
      </c>
      <c r="E1033" s="5" t="str">
        <f>_xlfn.SWITCH(recruitment_data3[[#This Row],[EducationLevel]], 1,"Bachelor Type 1", 2,"Bachelor Type 2", 3,"Masters", 4,"PhD")</f>
        <v>Bachelor Type 2</v>
      </c>
      <c r="F1033" s="5">
        <v>2</v>
      </c>
      <c r="G1033" s="5">
        <v>14</v>
      </c>
      <c r="H1033" s="5">
        <v>1</v>
      </c>
      <c r="I1033" s="5">
        <v>39.228413187971519</v>
      </c>
      <c r="J1033" s="5">
        <v>32</v>
      </c>
      <c r="K1033" s="5">
        <v>16</v>
      </c>
      <c r="L1033" s="5">
        <v>91</v>
      </c>
      <c r="M1033" s="5" t="str">
        <f>_xlfn.SWITCH(recruitment_data3[[#This Row],[RecruitmentStrategy]], 1,"Aggressive", 2,"Moderate", 3,"Conservative")</f>
        <v>Aggressive</v>
      </c>
      <c r="N1033" s="5">
        <v>1</v>
      </c>
      <c r="O1033" s="5" t="str">
        <f>IF(recruitment_data3[[#This Row],[HiringDecision]]=1,"Hired","Rejected")</f>
        <v>Hired</v>
      </c>
      <c r="P1033" s="6">
        <v>1</v>
      </c>
    </row>
    <row r="1034" spans="1:16" x14ac:dyDescent="0.25">
      <c r="A1034" s="4" t="str">
        <f t="shared" si="16"/>
        <v>C1033</v>
      </c>
      <c r="B1034" s="4">
        <v>36</v>
      </c>
      <c r="C1034" s="5" t="str">
        <f>IF(recruitment_data3[[#This Row],[Gender]]=1,"Female","Male")</f>
        <v>Female</v>
      </c>
      <c r="D1034" s="5">
        <v>1</v>
      </c>
      <c r="E1034" s="5" t="str">
        <f>_xlfn.SWITCH(recruitment_data3[[#This Row],[EducationLevel]], 1,"Bachelor Type 1", 2,"Bachelor Type 2", 3,"Masters", 4,"PhD")</f>
        <v>Bachelor Type 1</v>
      </c>
      <c r="F1034" s="5">
        <v>1</v>
      </c>
      <c r="G1034" s="5">
        <v>1</v>
      </c>
      <c r="H1034" s="5">
        <v>3</v>
      </c>
      <c r="I1034" s="5">
        <v>4.953801048832406</v>
      </c>
      <c r="J1034" s="5">
        <v>15</v>
      </c>
      <c r="K1034" s="5">
        <v>83</v>
      </c>
      <c r="L1034" s="5">
        <v>86</v>
      </c>
      <c r="M1034" s="5" t="str">
        <f>_xlfn.SWITCH(recruitment_data3[[#This Row],[RecruitmentStrategy]], 1,"Aggressive", 2,"Moderate", 3,"Conservative")</f>
        <v>Aggressive</v>
      </c>
      <c r="N1034" s="5">
        <v>1</v>
      </c>
      <c r="O1034" s="5" t="str">
        <f>IF(recruitment_data3[[#This Row],[HiringDecision]]=1,"Hired","Rejected")</f>
        <v>Hired</v>
      </c>
      <c r="P1034" s="6">
        <v>1</v>
      </c>
    </row>
    <row r="1035" spans="1:16" x14ac:dyDescent="0.25">
      <c r="A1035" s="4" t="str">
        <f t="shared" si="16"/>
        <v>C1034</v>
      </c>
      <c r="B1035" s="4">
        <v>40</v>
      </c>
      <c r="C1035" s="5" t="str">
        <f>IF(recruitment_data3[[#This Row],[Gender]]=1,"Female","Male")</f>
        <v>Female</v>
      </c>
      <c r="D1035" s="5">
        <v>1</v>
      </c>
      <c r="E1035" s="5" t="str">
        <f>_xlfn.SWITCH(recruitment_data3[[#This Row],[EducationLevel]], 1,"Bachelor Type 1", 2,"Bachelor Type 2", 3,"Masters", 4,"PhD")</f>
        <v>Masters</v>
      </c>
      <c r="F1035" s="5">
        <v>3</v>
      </c>
      <c r="G1035" s="5">
        <v>15</v>
      </c>
      <c r="H1035" s="5">
        <v>4</v>
      </c>
      <c r="I1035" s="5">
        <v>23.375144484975408</v>
      </c>
      <c r="J1035" s="5">
        <v>21</v>
      </c>
      <c r="K1035" s="5">
        <v>86</v>
      </c>
      <c r="L1035" s="5">
        <v>67</v>
      </c>
      <c r="M1035" s="5" t="str">
        <f>_xlfn.SWITCH(recruitment_data3[[#This Row],[RecruitmentStrategy]], 1,"Aggressive", 2,"Moderate", 3,"Conservative")</f>
        <v>Moderate</v>
      </c>
      <c r="N1035" s="5">
        <v>2</v>
      </c>
      <c r="O1035" s="5" t="str">
        <f>IF(recruitment_data3[[#This Row],[HiringDecision]]=1,"Hired","Rejected")</f>
        <v>Hired</v>
      </c>
      <c r="P1035" s="6">
        <v>1</v>
      </c>
    </row>
    <row r="1036" spans="1:16" x14ac:dyDescent="0.25">
      <c r="A1036" s="4" t="str">
        <f t="shared" si="16"/>
        <v>C1035</v>
      </c>
      <c r="B1036" s="4">
        <v>33</v>
      </c>
      <c r="C1036" s="5" t="str">
        <f>IF(recruitment_data3[[#This Row],[Gender]]=1,"Female","Male")</f>
        <v>Female</v>
      </c>
      <c r="D1036" s="5">
        <v>1</v>
      </c>
      <c r="E1036" s="5" t="str">
        <f>_xlfn.SWITCH(recruitment_data3[[#This Row],[EducationLevel]], 1,"Bachelor Type 1", 2,"Bachelor Type 2", 3,"Masters", 4,"PhD")</f>
        <v>Bachelor Type 2</v>
      </c>
      <c r="F1036" s="5">
        <v>2</v>
      </c>
      <c r="G1036" s="5">
        <v>5</v>
      </c>
      <c r="H1036" s="5">
        <v>3</v>
      </c>
      <c r="I1036" s="5">
        <v>6.0945876985776408</v>
      </c>
      <c r="J1036" s="5">
        <v>56</v>
      </c>
      <c r="K1036" s="5">
        <v>97</v>
      </c>
      <c r="L1036" s="5">
        <v>83</v>
      </c>
      <c r="M1036" s="5" t="str">
        <f>_xlfn.SWITCH(recruitment_data3[[#This Row],[RecruitmentStrategy]], 1,"Aggressive", 2,"Moderate", 3,"Conservative")</f>
        <v>Moderate</v>
      </c>
      <c r="N1036" s="5">
        <v>2</v>
      </c>
      <c r="O1036" s="5" t="str">
        <f>IF(recruitment_data3[[#This Row],[HiringDecision]]=1,"Hired","Rejected")</f>
        <v>Rejected</v>
      </c>
      <c r="P1036" s="6">
        <v>0</v>
      </c>
    </row>
    <row r="1037" spans="1:16" x14ac:dyDescent="0.25">
      <c r="A1037" s="4" t="str">
        <f t="shared" si="16"/>
        <v>C1036</v>
      </c>
      <c r="B1037" s="4">
        <v>28</v>
      </c>
      <c r="C1037" s="5" t="str">
        <f>IF(recruitment_data3[[#This Row],[Gender]]=1,"Female","Male")</f>
        <v>Female</v>
      </c>
      <c r="D1037" s="5">
        <v>1</v>
      </c>
      <c r="E1037" s="5" t="str">
        <f>_xlfn.SWITCH(recruitment_data3[[#This Row],[EducationLevel]], 1,"Bachelor Type 1", 2,"Bachelor Type 2", 3,"Masters", 4,"PhD")</f>
        <v>Bachelor Type 2</v>
      </c>
      <c r="F1037" s="5">
        <v>2</v>
      </c>
      <c r="G1037" s="5">
        <v>14</v>
      </c>
      <c r="H1037" s="5">
        <v>1</v>
      </c>
      <c r="I1037" s="5">
        <v>1.7960133631399302</v>
      </c>
      <c r="J1037" s="5">
        <v>61</v>
      </c>
      <c r="K1037" s="5">
        <v>74</v>
      </c>
      <c r="L1037" s="5">
        <v>82</v>
      </c>
      <c r="M1037" s="5" t="str">
        <f>_xlfn.SWITCH(recruitment_data3[[#This Row],[RecruitmentStrategy]], 1,"Aggressive", 2,"Moderate", 3,"Conservative")</f>
        <v>Moderate</v>
      </c>
      <c r="N1037" s="5">
        <v>2</v>
      </c>
      <c r="O1037" s="5" t="str">
        <f>IF(recruitment_data3[[#This Row],[HiringDecision]]=1,"Hired","Rejected")</f>
        <v>Rejected</v>
      </c>
      <c r="P1037" s="6">
        <v>0</v>
      </c>
    </row>
    <row r="1038" spans="1:16" x14ac:dyDescent="0.25">
      <c r="A1038" s="4" t="str">
        <f t="shared" si="16"/>
        <v>C1037</v>
      </c>
      <c r="B1038" s="4">
        <v>33</v>
      </c>
      <c r="C1038" s="5" t="str">
        <f>IF(recruitment_data3[[#This Row],[Gender]]=1,"Female","Male")</f>
        <v>Male</v>
      </c>
      <c r="D1038" s="5">
        <v>0</v>
      </c>
      <c r="E1038" s="5" t="str">
        <f>_xlfn.SWITCH(recruitment_data3[[#This Row],[EducationLevel]], 1,"Bachelor Type 1", 2,"Bachelor Type 2", 3,"Masters", 4,"PhD")</f>
        <v>Bachelor Type 1</v>
      </c>
      <c r="F1038" s="5">
        <v>1</v>
      </c>
      <c r="G1038" s="5">
        <v>7</v>
      </c>
      <c r="H1038" s="5">
        <v>1</v>
      </c>
      <c r="I1038" s="5">
        <v>31.809148260629865</v>
      </c>
      <c r="J1038" s="5">
        <v>81</v>
      </c>
      <c r="K1038" s="5">
        <v>33</v>
      </c>
      <c r="L1038" s="5">
        <v>41</v>
      </c>
      <c r="M1038" s="5" t="str">
        <f>_xlfn.SWITCH(recruitment_data3[[#This Row],[RecruitmentStrategy]], 1,"Aggressive", 2,"Moderate", 3,"Conservative")</f>
        <v>Moderate</v>
      </c>
      <c r="N1038" s="5">
        <v>2</v>
      </c>
      <c r="O1038" s="5" t="str">
        <f>IF(recruitment_data3[[#This Row],[HiringDecision]]=1,"Hired","Rejected")</f>
        <v>Rejected</v>
      </c>
      <c r="P1038" s="6">
        <v>0</v>
      </c>
    </row>
    <row r="1039" spans="1:16" x14ac:dyDescent="0.25">
      <c r="A1039" s="4" t="str">
        <f t="shared" si="16"/>
        <v>C1038</v>
      </c>
      <c r="B1039" s="4">
        <v>20</v>
      </c>
      <c r="C1039" s="5" t="str">
        <f>IF(recruitment_data3[[#This Row],[Gender]]=1,"Female","Male")</f>
        <v>Female</v>
      </c>
      <c r="D1039" s="5">
        <v>1</v>
      </c>
      <c r="E1039" s="5" t="str">
        <f>_xlfn.SWITCH(recruitment_data3[[#This Row],[EducationLevel]], 1,"Bachelor Type 1", 2,"Bachelor Type 2", 3,"Masters", 4,"PhD")</f>
        <v>Masters</v>
      </c>
      <c r="F1039" s="5">
        <v>3</v>
      </c>
      <c r="G1039" s="5">
        <v>14</v>
      </c>
      <c r="H1039" s="5">
        <v>3</v>
      </c>
      <c r="I1039" s="5">
        <v>49.041470854009418</v>
      </c>
      <c r="J1039" s="5">
        <v>70</v>
      </c>
      <c r="K1039" s="5">
        <v>32</v>
      </c>
      <c r="L1039" s="5">
        <v>90</v>
      </c>
      <c r="M1039" s="5" t="str">
        <f>_xlfn.SWITCH(recruitment_data3[[#This Row],[RecruitmentStrategy]], 1,"Aggressive", 2,"Moderate", 3,"Conservative")</f>
        <v>Moderate</v>
      </c>
      <c r="N1039" s="5">
        <v>2</v>
      </c>
      <c r="O1039" s="5" t="str">
        <f>IF(recruitment_data3[[#This Row],[HiringDecision]]=1,"Hired","Rejected")</f>
        <v>Rejected</v>
      </c>
      <c r="P1039" s="6">
        <v>0</v>
      </c>
    </row>
    <row r="1040" spans="1:16" x14ac:dyDescent="0.25">
      <c r="A1040" s="4" t="str">
        <f t="shared" si="16"/>
        <v>C1039</v>
      </c>
      <c r="B1040" s="4">
        <v>38</v>
      </c>
      <c r="C1040" s="5" t="str">
        <f>IF(recruitment_data3[[#This Row],[Gender]]=1,"Female","Male")</f>
        <v>Female</v>
      </c>
      <c r="D1040" s="5">
        <v>1</v>
      </c>
      <c r="E1040" s="5" t="str">
        <f>_xlfn.SWITCH(recruitment_data3[[#This Row],[EducationLevel]], 1,"Bachelor Type 1", 2,"Bachelor Type 2", 3,"Masters", 4,"PhD")</f>
        <v>Bachelor Type 2</v>
      </c>
      <c r="F1040" s="5">
        <v>2</v>
      </c>
      <c r="G1040" s="5">
        <v>7</v>
      </c>
      <c r="H1040" s="5">
        <v>2</v>
      </c>
      <c r="I1040" s="5">
        <v>46.143401171607508</v>
      </c>
      <c r="J1040" s="5">
        <v>89</v>
      </c>
      <c r="K1040" s="5">
        <v>25</v>
      </c>
      <c r="L1040" s="5">
        <v>56</v>
      </c>
      <c r="M1040" s="5" t="str">
        <f>_xlfn.SWITCH(recruitment_data3[[#This Row],[RecruitmentStrategy]], 1,"Aggressive", 2,"Moderate", 3,"Conservative")</f>
        <v>Moderate</v>
      </c>
      <c r="N1040" s="5">
        <v>2</v>
      </c>
      <c r="O1040" s="5" t="str">
        <f>IF(recruitment_data3[[#This Row],[HiringDecision]]=1,"Hired","Rejected")</f>
        <v>Rejected</v>
      </c>
      <c r="P1040" s="6">
        <v>0</v>
      </c>
    </row>
    <row r="1041" spans="1:16" x14ac:dyDescent="0.25">
      <c r="A1041" s="4" t="str">
        <f t="shared" si="16"/>
        <v>C1040</v>
      </c>
      <c r="B1041" s="4">
        <v>32</v>
      </c>
      <c r="C1041" s="5" t="str">
        <f>IF(recruitment_data3[[#This Row],[Gender]]=1,"Female","Male")</f>
        <v>Male</v>
      </c>
      <c r="D1041" s="5">
        <v>0</v>
      </c>
      <c r="E1041" s="5" t="str">
        <f>_xlfn.SWITCH(recruitment_data3[[#This Row],[EducationLevel]], 1,"Bachelor Type 1", 2,"Bachelor Type 2", 3,"Masters", 4,"PhD")</f>
        <v>Bachelor Type 2</v>
      </c>
      <c r="F1041" s="5">
        <v>2</v>
      </c>
      <c r="G1041" s="5">
        <v>6</v>
      </c>
      <c r="H1041" s="5">
        <v>4</v>
      </c>
      <c r="I1041" s="5">
        <v>35.837740746770216</v>
      </c>
      <c r="J1041" s="5">
        <v>71</v>
      </c>
      <c r="K1041" s="5">
        <v>65</v>
      </c>
      <c r="L1041" s="5">
        <v>97</v>
      </c>
      <c r="M1041" s="5" t="str">
        <f>_xlfn.SWITCH(recruitment_data3[[#This Row],[RecruitmentStrategy]], 1,"Aggressive", 2,"Moderate", 3,"Conservative")</f>
        <v>Aggressive</v>
      </c>
      <c r="N1041" s="5">
        <v>1</v>
      </c>
      <c r="O1041" s="5" t="str">
        <f>IF(recruitment_data3[[#This Row],[HiringDecision]]=1,"Hired","Rejected")</f>
        <v>Hired</v>
      </c>
      <c r="P1041" s="6">
        <v>1</v>
      </c>
    </row>
    <row r="1042" spans="1:16" x14ac:dyDescent="0.25">
      <c r="A1042" s="4" t="str">
        <f t="shared" si="16"/>
        <v>C1041</v>
      </c>
      <c r="B1042" s="4">
        <v>32</v>
      </c>
      <c r="C1042" s="5" t="str">
        <f>IF(recruitment_data3[[#This Row],[Gender]]=1,"Female","Male")</f>
        <v>Female</v>
      </c>
      <c r="D1042" s="5">
        <v>1</v>
      </c>
      <c r="E1042" s="5" t="str">
        <f>_xlfn.SWITCH(recruitment_data3[[#This Row],[EducationLevel]], 1,"Bachelor Type 1", 2,"Bachelor Type 2", 3,"Masters", 4,"PhD")</f>
        <v>Masters</v>
      </c>
      <c r="F1042" s="5">
        <v>3</v>
      </c>
      <c r="G1042" s="5">
        <v>5</v>
      </c>
      <c r="H1042" s="5">
        <v>4</v>
      </c>
      <c r="I1042" s="5">
        <v>5.8320292082435712</v>
      </c>
      <c r="J1042" s="5">
        <v>69</v>
      </c>
      <c r="K1042" s="5">
        <v>62</v>
      </c>
      <c r="L1042" s="5">
        <v>67</v>
      </c>
      <c r="M1042" s="5" t="str">
        <f>_xlfn.SWITCH(recruitment_data3[[#This Row],[RecruitmentStrategy]], 1,"Aggressive", 2,"Moderate", 3,"Conservative")</f>
        <v>Moderate</v>
      </c>
      <c r="N1042" s="5">
        <v>2</v>
      </c>
      <c r="O1042" s="5" t="str">
        <f>IF(recruitment_data3[[#This Row],[HiringDecision]]=1,"Hired","Rejected")</f>
        <v>Rejected</v>
      </c>
      <c r="P1042" s="6">
        <v>0</v>
      </c>
    </row>
    <row r="1043" spans="1:16" x14ac:dyDescent="0.25">
      <c r="A1043" s="4" t="str">
        <f t="shared" si="16"/>
        <v>C1042</v>
      </c>
      <c r="B1043" s="4">
        <v>23</v>
      </c>
      <c r="C1043" s="5" t="str">
        <f>IF(recruitment_data3[[#This Row],[Gender]]=1,"Female","Male")</f>
        <v>Male</v>
      </c>
      <c r="D1043" s="5">
        <v>0</v>
      </c>
      <c r="E1043" s="5" t="str">
        <f>_xlfn.SWITCH(recruitment_data3[[#This Row],[EducationLevel]], 1,"Bachelor Type 1", 2,"Bachelor Type 2", 3,"Masters", 4,"PhD")</f>
        <v>Bachelor Type 2</v>
      </c>
      <c r="F1043" s="5">
        <v>2</v>
      </c>
      <c r="G1043" s="5">
        <v>1</v>
      </c>
      <c r="H1043" s="5">
        <v>3</v>
      </c>
      <c r="I1043" s="5">
        <v>14.708201883615006</v>
      </c>
      <c r="J1043" s="5">
        <v>29</v>
      </c>
      <c r="K1043" s="5">
        <v>86</v>
      </c>
      <c r="L1043" s="5">
        <v>37</v>
      </c>
      <c r="M1043" s="5" t="str">
        <f>_xlfn.SWITCH(recruitment_data3[[#This Row],[RecruitmentStrategy]], 1,"Aggressive", 2,"Moderate", 3,"Conservative")</f>
        <v>Moderate</v>
      </c>
      <c r="N1043" s="5">
        <v>2</v>
      </c>
      <c r="O1043" s="5" t="str">
        <f>IF(recruitment_data3[[#This Row],[HiringDecision]]=1,"Hired","Rejected")</f>
        <v>Rejected</v>
      </c>
      <c r="P1043" s="6">
        <v>0</v>
      </c>
    </row>
    <row r="1044" spans="1:16" x14ac:dyDescent="0.25">
      <c r="A1044" s="4" t="str">
        <f t="shared" si="16"/>
        <v>C1043</v>
      </c>
      <c r="B1044" s="4">
        <v>49</v>
      </c>
      <c r="C1044" s="5" t="str">
        <f>IF(recruitment_data3[[#This Row],[Gender]]=1,"Female","Male")</f>
        <v>Female</v>
      </c>
      <c r="D1044" s="5">
        <v>1</v>
      </c>
      <c r="E1044" s="5" t="str">
        <f>_xlfn.SWITCH(recruitment_data3[[#This Row],[EducationLevel]], 1,"Bachelor Type 1", 2,"Bachelor Type 2", 3,"Masters", 4,"PhD")</f>
        <v>Bachelor Type 2</v>
      </c>
      <c r="F1044" s="5">
        <v>2</v>
      </c>
      <c r="G1044" s="5">
        <v>14</v>
      </c>
      <c r="H1044" s="5">
        <v>2</v>
      </c>
      <c r="I1044" s="5">
        <v>17.002836344264548</v>
      </c>
      <c r="J1044" s="5">
        <v>22</v>
      </c>
      <c r="K1044" s="5">
        <v>40</v>
      </c>
      <c r="L1044" s="5">
        <v>61</v>
      </c>
      <c r="M1044" s="5" t="str">
        <f>_xlfn.SWITCH(recruitment_data3[[#This Row],[RecruitmentStrategy]], 1,"Aggressive", 2,"Moderate", 3,"Conservative")</f>
        <v>Aggressive</v>
      </c>
      <c r="N1044" s="5">
        <v>1</v>
      </c>
      <c r="O1044" s="5" t="str">
        <f>IF(recruitment_data3[[#This Row],[HiringDecision]]=1,"Hired","Rejected")</f>
        <v>Hired</v>
      </c>
      <c r="P1044" s="6">
        <v>1</v>
      </c>
    </row>
    <row r="1045" spans="1:16" x14ac:dyDescent="0.25">
      <c r="A1045" s="4" t="str">
        <f t="shared" si="16"/>
        <v>C1044</v>
      </c>
      <c r="B1045" s="4">
        <v>20</v>
      </c>
      <c r="C1045" s="5" t="str">
        <f>IF(recruitment_data3[[#This Row],[Gender]]=1,"Female","Male")</f>
        <v>Male</v>
      </c>
      <c r="D1045" s="5">
        <v>0</v>
      </c>
      <c r="E1045" s="5" t="str">
        <f>_xlfn.SWITCH(recruitment_data3[[#This Row],[EducationLevel]], 1,"Bachelor Type 1", 2,"Bachelor Type 2", 3,"Masters", 4,"PhD")</f>
        <v>Bachelor Type 1</v>
      </c>
      <c r="F1045" s="5">
        <v>1</v>
      </c>
      <c r="G1045" s="5">
        <v>6</v>
      </c>
      <c r="H1045" s="5">
        <v>1</v>
      </c>
      <c r="I1045" s="5">
        <v>39.157502887278063</v>
      </c>
      <c r="J1045" s="5">
        <v>31</v>
      </c>
      <c r="K1045" s="5">
        <v>85</v>
      </c>
      <c r="L1045" s="5">
        <v>6</v>
      </c>
      <c r="M1045" s="5" t="str">
        <f>_xlfn.SWITCH(recruitment_data3[[#This Row],[RecruitmentStrategy]], 1,"Aggressive", 2,"Moderate", 3,"Conservative")</f>
        <v>Moderate</v>
      </c>
      <c r="N1045" s="5">
        <v>2</v>
      </c>
      <c r="O1045" s="5" t="str">
        <f>IF(recruitment_data3[[#This Row],[HiringDecision]]=1,"Hired","Rejected")</f>
        <v>Rejected</v>
      </c>
      <c r="P1045" s="6">
        <v>0</v>
      </c>
    </row>
    <row r="1046" spans="1:16" x14ac:dyDescent="0.25">
      <c r="A1046" s="4" t="str">
        <f t="shared" si="16"/>
        <v>C1045</v>
      </c>
      <c r="B1046" s="4">
        <v>36</v>
      </c>
      <c r="C1046" s="5" t="str">
        <f>IF(recruitment_data3[[#This Row],[Gender]]=1,"Female","Male")</f>
        <v>Male</v>
      </c>
      <c r="D1046" s="5">
        <v>0</v>
      </c>
      <c r="E1046" s="5" t="str">
        <f>_xlfn.SWITCH(recruitment_data3[[#This Row],[EducationLevel]], 1,"Bachelor Type 1", 2,"Bachelor Type 2", 3,"Masters", 4,"PhD")</f>
        <v>Bachelor Type 2</v>
      </c>
      <c r="F1046" s="5">
        <v>2</v>
      </c>
      <c r="G1046" s="5">
        <v>10</v>
      </c>
      <c r="H1046" s="5">
        <v>5</v>
      </c>
      <c r="I1046" s="5">
        <v>41.112458961755706</v>
      </c>
      <c r="J1046" s="5">
        <v>85</v>
      </c>
      <c r="K1046" s="5">
        <v>57</v>
      </c>
      <c r="L1046" s="5">
        <v>70</v>
      </c>
      <c r="M1046" s="5" t="str">
        <f>_xlfn.SWITCH(recruitment_data3[[#This Row],[RecruitmentStrategy]], 1,"Aggressive", 2,"Moderate", 3,"Conservative")</f>
        <v>Moderate</v>
      </c>
      <c r="N1046" s="5">
        <v>2</v>
      </c>
      <c r="O1046" s="5" t="str">
        <f>IF(recruitment_data3[[#This Row],[HiringDecision]]=1,"Hired","Rejected")</f>
        <v>Hired</v>
      </c>
      <c r="P1046" s="6">
        <v>1</v>
      </c>
    </row>
    <row r="1047" spans="1:16" x14ac:dyDescent="0.25">
      <c r="A1047" s="4" t="str">
        <f t="shared" si="16"/>
        <v>C1046</v>
      </c>
      <c r="B1047" s="4">
        <v>27</v>
      </c>
      <c r="C1047" s="5" t="str">
        <f>IF(recruitment_data3[[#This Row],[Gender]]=1,"Female","Male")</f>
        <v>Male</v>
      </c>
      <c r="D1047" s="5">
        <v>0</v>
      </c>
      <c r="E1047" s="5" t="str">
        <f>_xlfn.SWITCH(recruitment_data3[[#This Row],[EducationLevel]], 1,"Bachelor Type 1", 2,"Bachelor Type 2", 3,"Masters", 4,"PhD")</f>
        <v>Bachelor Type 1</v>
      </c>
      <c r="F1047" s="5">
        <v>1</v>
      </c>
      <c r="G1047" s="5">
        <v>11</v>
      </c>
      <c r="H1047" s="5">
        <v>5</v>
      </c>
      <c r="I1047" s="5">
        <v>20.255306149496022</v>
      </c>
      <c r="J1047" s="5">
        <v>56</v>
      </c>
      <c r="K1047" s="5">
        <v>97</v>
      </c>
      <c r="L1047" s="5">
        <v>49</v>
      </c>
      <c r="M1047" s="5" t="str">
        <f>_xlfn.SWITCH(recruitment_data3[[#This Row],[RecruitmentStrategy]], 1,"Aggressive", 2,"Moderate", 3,"Conservative")</f>
        <v>Moderate</v>
      </c>
      <c r="N1047" s="5">
        <v>2</v>
      </c>
      <c r="O1047" s="5" t="str">
        <f>IF(recruitment_data3[[#This Row],[HiringDecision]]=1,"Hired","Rejected")</f>
        <v>Rejected</v>
      </c>
      <c r="P1047" s="6">
        <v>0</v>
      </c>
    </row>
    <row r="1048" spans="1:16" x14ac:dyDescent="0.25">
      <c r="A1048" s="4" t="str">
        <f t="shared" si="16"/>
        <v>C1047</v>
      </c>
      <c r="B1048" s="4">
        <v>21</v>
      </c>
      <c r="C1048" s="5" t="str">
        <f>IF(recruitment_data3[[#This Row],[Gender]]=1,"Female","Male")</f>
        <v>Male</v>
      </c>
      <c r="D1048" s="5">
        <v>0</v>
      </c>
      <c r="E1048" s="5" t="str">
        <f>_xlfn.SWITCH(recruitment_data3[[#This Row],[EducationLevel]], 1,"Bachelor Type 1", 2,"Bachelor Type 2", 3,"Masters", 4,"PhD")</f>
        <v>Bachelor Type 2</v>
      </c>
      <c r="F1048" s="5">
        <v>2</v>
      </c>
      <c r="G1048" s="5">
        <v>13</v>
      </c>
      <c r="H1048" s="5">
        <v>3</v>
      </c>
      <c r="I1048" s="5">
        <v>21.894199830880485</v>
      </c>
      <c r="J1048" s="5">
        <v>8</v>
      </c>
      <c r="K1048" s="5">
        <v>78</v>
      </c>
      <c r="L1048" s="5">
        <v>51</v>
      </c>
      <c r="M1048" s="5" t="str">
        <f>_xlfn.SWITCH(recruitment_data3[[#This Row],[RecruitmentStrategy]], 1,"Aggressive", 2,"Moderate", 3,"Conservative")</f>
        <v>Moderate</v>
      </c>
      <c r="N1048" s="5">
        <v>2</v>
      </c>
      <c r="O1048" s="5" t="str">
        <f>IF(recruitment_data3[[#This Row],[HiringDecision]]=1,"Hired","Rejected")</f>
        <v>Rejected</v>
      </c>
      <c r="P1048" s="6">
        <v>0</v>
      </c>
    </row>
    <row r="1049" spans="1:16" x14ac:dyDescent="0.25">
      <c r="A1049" s="4" t="str">
        <f t="shared" si="16"/>
        <v>C1048</v>
      </c>
      <c r="B1049" s="4">
        <v>47</v>
      </c>
      <c r="C1049" s="5" t="str">
        <f>IF(recruitment_data3[[#This Row],[Gender]]=1,"Female","Male")</f>
        <v>Female</v>
      </c>
      <c r="D1049" s="5">
        <v>1</v>
      </c>
      <c r="E1049" s="5" t="str">
        <f>_xlfn.SWITCH(recruitment_data3[[#This Row],[EducationLevel]], 1,"Bachelor Type 1", 2,"Bachelor Type 2", 3,"Masters", 4,"PhD")</f>
        <v>Masters</v>
      </c>
      <c r="F1049" s="5">
        <v>3</v>
      </c>
      <c r="G1049" s="5">
        <v>15</v>
      </c>
      <c r="H1049" s="5">
        <v>2</v>
      </c>
      <c r="I1049" s="5">
        <v>3.2254519638085668</v>
      </c>
      <c r="J1049" s="5">
        <v>30</v>
      </c>
      <c r="K1049" s="5">
        <v>9</v>
      </c>
      <c r="L1049" s="5">
        <v>25</v>
      </c>
      <c r="M1049" s="5" t="str">
        <f>_xlfn.SWITCH(recruitment_data3[[#This Row],[RecruitmentStrategy]], 1,"Aggressive", 2,"Moderate", 3,"Conservative")</f>
        <v>Moderate</v>
      </c>
      <c r="N1049" s="5">
        <v>2</v>
      </c>
      <c r="O1049" s="5" t="str">
        <f>IF(recruitment_data3[[#This Row],[HiringDecision]]=1,"Hired","Rejected")</f>
        <v>Rejected</v>
      </c>
      <c r="P1049" s="6">
        <v>0</v>
      </c>
    </row>
    <row r="1050" spans="1:16" x14ac:dyDescent="0.25">
      <c r="A1050" s="4" t="str">
        <f t="shared" si="16"/>
        <v>C1049</v>
      </c>
      <c r="B1050" s="4">
        <v>50</v>
      </c>
      <c r="C1050" s="5" t="str">
        <f>IF(recruitment_data3[[#This Row],[Gender]]=1,"Female","Male")</f>
        <v>Male</v>
      </c>
      <c r="D1050" s="5">
        <v>0</v>
      </c>
      <c r="E1050" s="5" t="str">
        <f>_xlfn.SWITCH(recruitment_data3[[#This Row],[EducationLevel]], 1,"Bachelor Type 1", 2,"Bachelor Type 2", 3,"Masters", 4,"PhD")</f>
        <v>Bachelor Type 2</v>
      </c>
      <c r="F1050" s="5">
        <v>2</v>
      </c>
      <c r="G1050" s="5">
        <v>13</v>
      </c>
      <c r="H1050" s="5">
        <v>2</v>
      </c>
      <c r="I1050" s="5">
        <v>15.456835920938049</v>
      </c>
      <c r="J1050" s="5">
        <v>70</v>
      </c>
      <c r="K1050" s="5">
        <v>14</v>
      </c>
      <c r="L1050" s="5">
        <v>25</v>
      </c>
      <c r="M1050" s="5" t="str">
        <f>_xlfn.SWITCH(recruitment_data3[[#This Row],[RecruitmentStrategy]], 1,"Aggressive", 2,"Moderate", 3,"Conservative")</f>
        <v>Moderate</v>
      </c>
      <c r="N1050" s="5">
        <v>2</v>
      </c>
      <c r="O1050" s="5" t="str">
        <f>IF(recruitment_data3[[#This Row],[HiringDecision]]=1,"Hired","Rejected")</f>
        <v>Rejected</v>
      </c>
      <c r="P1050" s="6">
        <v>0</v>
      </c>
    </row>
    <row r="1051" spans="1:16" x14ac:dyDescent="0.25">
      <c r="A1051" s="4" t="str">
        <f t="shared" si="16"/>
        <v>C1050</v>
      </c>
      <c r="B1051" s="4">
        <v>27</v>
      </c>
      <c r="C1051" s="5" t="str">
        <f>IF(recruitment_data3[[#This Row],[Gender]]=1,"Female","Male")</f>
        <v>Female</v>
      </c>
      <c r="D1051" s="5">
        <v>1</v>
      </c>
      <c r="E1051" s="5" t="str">
        <f>_xlfn.SWITCH(recruitment_data3[[#This Row],[EducationLevel]], 1,"Bachelor Type 1", 2,"Bachelor Type 2", 3,"Masters", 4,"PhD")</f>
        <v>Bachelor Type 2</v>
      </c>
      <c r="F1051" s="5">
        <v>2</v>
      </c>
      <c r="G1051" s="5">
        <v>4</v>
      </c>
      <c r="H1051" s="5">
        <v>4</v>
      </c>
      <c r="I1051" s="5">
        <v>23.564258858881995</v>
      </c>
      <c r="J1051" s="5">
        <v>8</v>
      </c>
      <c r="K1051" s="5">
        <v>41</v>
      </c>
      <c r="L1051" s="5">
        <v>18</v>
      </c>
      <c r="M1051" s="5" t="str">
        <f>_xlfn.SWITCH(recruitment_data3[[#This Row],[RecruitmentStrategy]], 1,"Aggressive", 2,"Moderate", 3,"Conservative")</f>
        <v>Conservative</v>
      </c>
      <c r="N1051" s="5">
        <v>3</v>
      </c>
      <c r="O1051" s="5" t="str">
        <f>IF(recruitment_data3[[#This Row],[HiringDecision]]=1,"Hired","Rejected")</f>
        <v>Rejected</v>
      </c>
      <c r="P1051" s="6">
        <v>0</v>
      </c>
    </row>
    <row r="1052" spans="1:16" x14ac:dyDescent="0.25">
      <c r="A1052" s="4" t="str">
        <f t="shared" si="16"/>
        <v>C1051</v>
      </c>
      <c r="B1052" s="4">
        <v>26</v>
      </c>
      <c r="C1052" s="5" t="str">
        <f>IF(recruitment_data3[[#This Row],[Gender]]=1,"Female","Male")</f>
        <v>Male</v>
      </c>
      <c r="D1052" s="5">
        <v>0</v>
      </c>
      <c r="E1052" s="5" t="str">
        <f>_xlfn.SWITCH(recruitment_data3[[#This Row],[EducationLevel]], 1,"Bachelor Type 1", 2,"Bachelor Type 2", 3,"Masters", 4,"PhD")</f>
        <v>Bachelor Type 1</v>
      </c>
      <c r="F1052" s="5">
        <v>1</v>
      </c>
      <c r="G1052" s="5">
        <v>15</v>
      </c>
      <c r="H1052" s="5">
        <v>1</v>
      </c>
      <c r="I1052" s="5">
        <v>6.8491523192628794</v>
      </c>
      <c r="J1052" s="5">
        <v>12</v>
      </c>
      <c r="K1052" s="5">
        <v>92</v>
      </c>
      <c r="L1052" s="5">
        <v>8</v>
      </c>
      <c r="M1052" s="5" t="str">
        <f>_xlfn.SWITCH(recruitment_data3[[#This Row],[RecruitmentStrategy]], 1,"Aggressive", 2,"Moderate", 3,"Conservative")</f>
        <v>Aggressive</v>
      </c>
      <c r="N1052" s="5">
        <v>1</v>
      </c>
      <c r="O1052" s="5" t="str">
        <f>IF(recruitment_data3[[#This Row],[HiringDecision]]=1,"Hired","Rejected")</f>
        <v>Hired</v>
      </c>
      <c r="P1052" s="6">
        <v>1</v>
      </c>
    </row>
    <row r="1053" spans="1:16" x14ac:dyDescent="0.25">
      <c r="A1053" s="4" t="str">
        <f t="shared" si="16"/>
        <v>C1052</v>
      </c>
      <c r="B1053" s="4">
        <v>45</v>
      </c>
      <c r="C1053" s="5" t="str">
        <f>IF(recruitment_data3[[#This Row],[Gender]]=1,"Female","Male")</f>
        <v>Male</v>
      </c>
      <c r="D1053" s="5">
        <v>0</v>
      </c>
      <c r="E1053" s="5" t="str">
        <f>_xlfn.SWITCH(recruitment_data3[[#This Row],[EducationLevel]], 1,"Bachelor Type 1", 2,"Bachelor Type 2", 3,"Masters", 4,"PhD")</f>
        <v>Bachelor Type 2</v>
      </c>
      <c r="F1053" s="5">
        <v>2</v>
      </c>
      <c r="G1053" s="5">
        <v>5</v>
      </c>
      <c r="H1053" s="5">
        <v>2</v>
      </c>
      <c r="I1053" s="5">
        <v>23.663373037751068</v>
      </c>
      <c r="J1053" s="5">
        <v>57</v>
      </c>
      <c r="K1053" s="5">
        <v>56</v>
      </c>
      <c r="L1053" s="5">
        <v>60</v>
      </c>
      <c r="M1053" s="5" t="str">
        <f>_xlfn.SWITCH(recruitment_data3[[#This Row],[RecruitmentStrategy]], 1,"Aggressive", 2,"Moderate", 3,"Conservative")</f>
        <v>Conservative</v>
      </c>
      <c r="N1053" s="5">
        <v>3</v>
      </c>
      <c r="O1053" s="5" t="str">
        <f>IF(recruitment_data3[[#This Row],[HiringDecision]]=1,"Hired","Rejected")</f>
        <v>Rejected</v>
      </c>
      <c r="P1053" s="6">
        <v>0</v>
      </c>
    </row>
    <row r="1054" spans="1:16" x14ac:dyDescent="0.25">
      <c r="A1054" s="4" t="str">
        <f t="shared" si="16"/>
        <v>C1053</v>
      </c>
      <c r="B1054" s="4">
        <v>45</v>
      </c>
      <c r="C1054" s="5" t="str">
        <f>IF(recruitment_data3[[#This Row],[Gender]]=1,"Female","Male")</f>
        <v>Male</v>
      </c>
      <c r="D1054" s="5">
        <v>0</v>
      </c>
      <c r="E1054" s="5" t="str">
        <f>_xlfn.SWITCH(recruitment_data3[[#This Row],[EducationLevel]], 1,"Bachelor Type 1", 2,"Bachelor Type 2", 3,"Masters", 4,"PhD")</f>
        <v>Bachelor Type 2</v>
      </c>
      <c r="F1054" s="5">
        <v>2</v>
      </c>
      <c r="G1054" s="5">
        <v>9</v>
      </c>
      <c r="H1054" s="5">
        <v>5</v>
      </c>
      <c r="I1054" s="5">
        <v>43.658790612890016</v>
      </c>
      <c r="J1054" s="5">
        <v>2</v>
      </c>
      <c r="K1054" s="5">
        <v>86</v>
      </c>
      <c r="L1054" s="5">
        <v>19</v>
      </c>
      <c r="M1054" s="5" t="str">
        <f>_xlfn.SWITCH(recruitment_data3[[#This Row],[RecruitmentStrategy]], 1,"Aggressive", 2,"Moderate", 3,"Conservative")</f>
        <v>Moderate</v>
      </c>
      <c r="N1054" s="5">
        <v>2</v>
      </c>
      <c r="O1054" s="5" t="str">
        <f>IF(recruitment_data3[[#This Row],[HiringDecision]]=1,"Hired","Rejected")</f>
        <v>Rejected</v>
      </c>
      <c r="P1054" s="6">
        <v>0</v>
      </c>
    </row>
    <row r="1055" spans="1:16" x14ac:dyDescent="0.25">
      <c r="A1055" s="4" t="str">
        <f t="shared" si="16"/>
        <v>C1054</v>
      </c>
      <c r="B1055" s="4">
        <v>21</v>
      </c>
      <c r="C1055" s="5" t="str">
        <f>IF(recruitment_data3[[#This Row],[Gender]]=1,"Female","Male")</f>
        <v>Female</v>
      </c>
      <c r="D1055" s="5">
        <v>1</v>
      </c>
      <c r="E1055" s="5" t="str">
        <f>_xlfn.SWITCH(recruitment_data3[[#This Row],[EducationLevel]], 1,"Bachelor Type 1", 2,"Bachelor Type 2", 3,"Masters", 4,"PhD")</f>
        <v>Masters</v>
      </c>
      <c r="F1055" s="5">
        <v>3</v>
      </c>
      <c r="G1055" s="5">
        <v>7</v>
      </c>
      <c r="H1055" s="5">
        <v>1</v>
      </c>
      <c r="I1055" s="5">
        <v>30.066050986252666</v>
      </c>
      <c r="J1055" s="5">
        <v>34</v>
      </c>
      <c r="K1055" s="5">
        <v>16</v>
      </c>
      <c r="L1055" s="5">
        <v>49</v>
      </c>
      <c r="M1055" s="5" t="str">
        <f>_xlfn.SWITCH(recruitment_data3[[#This Row],[RecruitmentStrategy]], 1,"Aggressive", 2,"Moderate", 3,"Conservative")</f>
        <v>Aggressive</v>
      </c>
      <c r="N1055" s="5">
        <v>1</v>
      </c>
      <c r="O1055" s="5" t="str">
        <f>IF(recruitment_data3[[#This Row],[HiringDecision]]=1,"Hired","Rejected")</f>
        <v>Hired</v>
      </c>
      <c r="P1055" s="6">
        <v>1</v>
      </c>
    </row>
    <row r="1056" spans="1:16" x14ac:dyDescent="0.25">
      <c r="A1056" s="4" t="str">
        <f t="shared" si="16"/>
        <v>C1055</v>
      </c>
      <c r="B1056" s="4">
        <v>41</v>
      </c>
      <c r="C1056" s="5" t="str">
        <f>IF(recruitment_data3[[#This Row],[Gender]]=1,"Female","Male")</f>
        <v>Male</v>
      </c>
      <c r="D1056" s="5">
        <v>0</v>
      </c>
      <c r="E1056" s="5" t="str">
        <f>_xlfn.SWITCH(recruitment_data3[[#This Row],[EducationLevel]], 1,"Bachelor Type 1", 2,"Bachelor Type 2", 3,"Masters", 4,"PhD")</f>
        <v>Bachelor Type 1</v>
      </c>
      <c r="F1056" s="5">
        <v>1</v>
      </c>
      <c r="G1056" s="5">
        <v>15</v>
      </c>
      <c r="H1056" s="5">
        <v>1</v>
      </c>
      <c r="I1056" s="5">
        <v>4.9464927519206157</v>
      </c>
      <c r="J1056" s="5">
        <v>96</v>
      </c>
      <c r="K1056" s="5">
        <v>59</v>
      </c>
      <c r="L1056" s="5">
        <v>79</v>
      </c>
      <c r="M1056" s="5" t="str">
        <f>_xlfn.SWITCH(recruitment_data3[[#This Row],[RecruitmentStrategy]], 1,"Aggressive", 2,"Moderate", 3,"Conservative")</f>
        <v>Aggressive</v>
      </c>
      <c r="N1056" s="5">
        <v>1</v>
      </c>
      <c r="O1056" s="5" t="str">
        <f>IF(recruitment_data3[[#This Row],[HiringDecision]]=1,"Hired","Rejected")</f>
        <v>Hired</v>
      </c>
      <c r="P1056" s="6">
        <v>1</v>
      </c>
    </row>
    <row r="1057" spans="1:16" x14ac:dyDescent="0.25">
      <c r="A1057" s="4" t="str">
        <f t="shared" si="16"/>
        <v>C1056</v>
      </c>
      <c r="B1057" s="4">
        <v>41</v>
      </c>
      <c r="C1057" s="5" t="str">
        <f>IF(recruitment_data3[[#This Row],[Gender]]=1,"Female","Male")</f>
        <v>Female</v>
      </c>
      <c r="D1057" s="5">
        <v>1</v>
      </c>
      <c r="E1057" s="5" t="str">
        <f>_xlfn.SWITCH(recruitment_data3[[#This Row],[EducationLevel]], 1,"Bachelor Type 1", 2,"Bachelor Type 2", 3,"Masters", 4,"PhD")</f>
        <v>Masters</v>
      </c>
      <c r="F1057" s="5">
        <v>3</v>
      </c>
      <c r="G1057" s="5">
        <v>13</v>
      </c>
      <c r="H1057" s="5">
        <v>3</v>
      </c>
      <c r="I1057" s="5">
        <v>10.583565941513717</v>
      </c>
      <c r="J1057" s="5">
        <v>20</v>
      </c>
      <c r="K1057" s="5">
        <v>8</v>
      </c>
      <c r="L1057" s="5">
        <v>80</v>
      </c>
      <c r="M1057" s="5" t="str">
        <f>_xlfn.SWITCH(recruitment_data3[[#This Row],[RecruitmentStrategy]], 1,"Aggressive", 2,"Moderate", 3,"Conservative")</f>
        <v>Moderate</v>
      </c>
      <c r="N1057" s="5">
        <v>2</v>
      </c>
      <c r="O1057" s="5" t="str">
        <f>IF(recruitment_data3[[#This Row],[HiringDecision]]=1,"Hired","Rejected")</f>
        <v>Rejected</v>
      </c>
      <c r="P1057" s="6">
        <v>0</v>
      </c>
    </row>
    <row r="1058" spans="1:16" x14ac:dyDescent="0.25">
      <c r="A1058" s="4" t="str">
        <f t="shared" si="16"/>
        <v>C1057</v>
      </c>
      <c r="B1058" s="4">
        <v>22</v>
      </c>
      <c r="C1058" s="5" t="str">
        <f>IF(recruitment_data3[[#This Row],[Gender]]=1,"Female","Male")</f>
        <v>Female</v>
      </c>
      <c r="D1058" s="5">
        <v>1</v>
      </c>
      <c r="E1058" s="5" t="str">
        <f>_xlfn.SWITCH(recruitment_data3[[#This Row],[EducationLevel]], 1,"Bachelor Type 1", 2,"Bachelor Type 2", 3,"Masters", 4,"PhD")</f>
        <v>Masters</v>
      </c>
      <c r="F1058" s="5">
        <v>3</v>
      </c>
      <c r="G1058" s="5">
        <v>7</v>
      </c>
      <c r="H1058" s="5">
        <v>2</v>
      </c>
      <c r="I1058" s="5">
        <v>24.727217507927811</v>
      </c>
      <c r="J1058" s="5">
        <v>63</v>
      </c>
      <c r="K1058" s="5">
        <v>35</v>
      </c>
      <c r="L1058" s="5">
        <v>21</v>
      </c>
      <c r="M1058" s="5" t="str">
        <f>_xlfn.SWITCH(recruitment_data3[[#This Row],[RecruitmentStrategy]], 1,"Aggressive", 2,"Moderate", 3,"Conservative")</f>
        <v>Moderate</v>
      </c>
      <c r="N1058" s="5">
        <v>2</v>
      </c>
      <c r="O1058" s="5" t="str">
        <f>IF(recruitment_data3[[#This Row],[HiringDecision]]=1,"Hired","Rejected")</f>
        <v>Rejected</v>
      </c>
      <c r="P1058" s="6">
        <v>0</v>
      </c>
    </row>
    <row r="1059" spans="1:16" x14ac:dyDescent="0.25">
      <c r="A1059" s="4" t="str">
        <f t="shared" si="16"/>
        <v>C1058</v>
      </c>
      <c r="B1059" s="4">
        <v>46</v>
      </c>
      <c r="C1059" s="5" t="str">
        <f>IF(recruitment_data3[[#This Row],[Gender]]=1,"Female","Male")</f>
        <v>Female</v>
      </c>
      <c r="D1059" s="5">
        <v>1</v>
      </c>
      <c r="E1059" s="5" t="str">
        <f>_xlfn.SWITCH(recruitment_data3[[#This Row],[EducationLevel]], 1,"Bachelor Type 1", 2,"Bachelor Type 2", 3,"Masters", 4,"PhD")</f>
        <v>Bachelor Type 2</v>
      </c>
      <c r="F1059" s="5">
        <v>2</v>
      </c>
      <c r="G1059" s="5">
        <v>2</v>
      </c>
      <c r="H1059" s="5">
        <v>3</v>
      </c>
      <c r="I1059" s="5">
        <v>19.074357491090602</v>
      </c>
      <c r="J1059" s="5">
        <v>94</v>
      </c>
      <c r="K1059" s="5">
        <v>72</v>
      </c>
      <c r="L1059" s="5">
        <v>12</v>
      </c>
      <c r="M1059" s="5" t="str">
        <f>_xlfn.SWITCH(recruitment_data3[[#This Row],[RecruitmentStrategy]], 1,"Aggressive", 2,"Moderate", 3,"Conservative")</f>
        <v>Aggressive</v>
      </c>
      <c r="N1059" s="5">
        <v>1</v>
      </c>
      <c r="O1059" s="5" t="str">
        <f>IF(recruitment_data3[[#This Row],[HiringDecision]]=1,"Hired","Rejected")</f>
        <v>Hired</v>
      </c>
      <c r="P1059" s="6">
        <v>1</v>
      </c>
    </row>
    <row r="1060" spans="1:16" x14ac:dyDescent="0.25">
      <c r="A1060" s="4" t="str">
        <f t="shared" si="16"/>
        <v>C1059</v>
      </c>
      <c r="B1060" s="4">
        <v>37</v>
      </c>
      <c r="C1060" s="5" t="str">
        <f>IF(recruitment_data3[[#This Row],[Gender]]=1,"Female","Male")</f>
        <v>Female</v>
      </c>
      <c r="D1060" s="5">
        <v>1</v>
      </c>
      <c r="E1060" s="5" t="str">
        <f>_xlfn.SWITCH(recruitment_data3[[#This Row],[EducationLevel]], 1,"Bachelor Type 1", 2,"Bachelor Type 2", 3,"Masters", 4,"PhD")</f>
        <v>Masters</v>
      </c>
      <c r="F1060" s="5">
        <v>3</v>
      </c>
      <c r="G1060" s="5">
        <v>11</v>
      </c>
      <c r="H1060" s="5">
        <v>2</v>
      </c>
      <c r="I1060" s="5">
        <v>18.936350977304937</v>
      </c>
      <c r="J1060" s="5">
        <v>51</v>
      </c>
      <c r="K1060" s="5">
        <v>79</v>
      </c>
      <c r="L1060" s="5">
        <v>11</v>
      </c>
      <c r="M1060" s="5" t="str">
        <f>_xlfn.SWITCH(recruitment_data3[[#This Row],[RecruitmentStrategy]], 1,"Aggressive", 2,"Moderate", 3,"Conservative")</f>
        <v>Aggressive</v>
      </c>
      <c r="N1060" s="5">
        <v>1</v>
      </c>
      <c r="O1060" s="5" t="str">
        <f>IF(recruitment_data3[[#This Row],[HiringDecision]]=1,"Hired","Rejected")</f>
        <v>Hired</v>
      </c>
      <c r="P1060" s="6">
        <v>1</v>
      </c>
    </row>
    <row r="1061" spans="1:16" x14ac:dyDescent="0.25">
      <c r="A1061" s="4" t="str">
        <f t="shared" si="16"/>
        <v>C1060</v>
      </c>
      <c r="B1061" s="4">
        <v>31</v>
      </c>
      <c r="C1061" s="5" t="str">
        <f>IF(recruitment_data3[[#This Row],[Gender]]=1,"Female","Male")</f>
        <v>Female</v>
      </c>
      <c r="D1061" s="5">
        <v>1</v>
      </c>
      <c r="E1061" s="5" t="str">
        <f>_xlfn.SWITCH(recruitment_data3[[#This Row],[EducationLevel]], 1,"Bachelor Type 1", 2,"Bachelor Type 2", 3,"Masters", 4,"PhD")</f>
        <v>Bachelor Type 2</v>
      </c>
      <c r="F1061" s="5">
        <v>2</v>
      </c>
      <c r="G1061" s="5">
        <v>15</v>
      </c>
      <c r="H1061" s="5">
        <v>4</v>
      </c>
      <c r="I1061" s="5">
        <v>27.463372407179509</v>
      </c>
      <c r="J1061" s="5">
        <v>33</v>
      </c>
      <c r="K1061" s="5">
        <v>35</v>
      </c>
      <c r="L1061" s="5">
        <v>9</v>
      </c>
      <c r="M1061" s="5" t="str">
        <f>_xlfn.SWITCH(recruitment_data3[[#This Row],[RecruitmentStrategy]], 1,"Aggressive", 2,"Moderate", 3,"Conservative")</f>
        <v>Moderate</v>
      </c>
      <c r="N1061" s="5">
        <v>2</v>
      </c>
      <c r="O1061" s="5" t="str">
        <f>IF(recruitment_data3[[#This Row],[HiringDecision]]=1,"Hired","Rejected")</f>
        <v>Rejected</v>
      </c>
      <c r="P1061" s="6">
        <v>0</v>
      </c>
    </row>
    <row r="1062" spans="1:16" x14ac:dyDescent="0.25">
      <c r="A1062" s="4" t="str">
        <f t="shared" si="16"/>
        <v>C1061</v>
      </c>
      <c r="B1062" s="4">
        <v>20</v>
      </c>
      <c r="C1062" s="5" t="str">
        <f>IF(recruitment_data3[[#This Row],[Gender]]=1,"Female","Male")</f>
        <v>Female</v>
      </c>
      <c r="D1062" s="5">
        <v>1</v>
      </c>
      <c r="E1062" s="5" t="str">
        <f>_xlfn.SWITCH(recruitment_data3[[#This Row],[EducationLevel]], 1,"Bachelor Type 1", 2,"Bachelor Type 2", 3,"Masters", 4,"PhD")</f>
        <v>Bachelor Type 2</v>
      </c>
      <c r="F1062" s="5">
        <v>2</v>
      </c>
      <c r="G1062" s="5">
        <v>11</v>
      </c>
      <c r="H1062" s="5">
        <v>3</v>
      </c>
      <c r="I1062" s="5">
        <v>30.219796079472871</v>
      </c>
      <c r="J1062" s="5">
        <v>95</v>
      </c>
      <c r="K1062" s="5">
        <v>47</v>
      </c>
      <c r="L1062" s="5">
        <v>64</v>
      </c>
      <c r="M1062" s="5" t="str">
        <f>_xlfn.SWITCH(recruitment_data3[[#This Row],[RecruitmentStrategy]], 1,"Aggressive", 2,"Moderate", 3,"Conservative")</f>
        <v>Aggressive</v>
      </c>
      <c r="N1062" s="5">
        <v>1</v>
      </c>
      <c r="O1062" s="5" t="str">
        <f>IF(recruitment_data3[[#This Row],[HiringDecision]]=1,"Hired","Rejected")</f>
        <v>Hired</v>
      </c>
      <c r="P1062" s="6">
        <v>1</v>
      </c>
    </row>
    <row r="1063" spans="1:16" x14ac:dyDescent="0.25">
      <c r="A1063" s="4" t="str">
        <f t="shared" si="16"/>
        <v>C1062</v>
      </c>
      <c r="B1063" s="4">
        <v>41</v>
      </c>
      <c r="C1063" s="5" t="str">
        <f>IF(recruitment_data3[[#This Row],[Gender]]=1,"Female","Male")</f>
        <v>Female</v>
      </c>
      <c r="D1063" s="5">
        <v>1</v>
      </c>
      <c r="E1063" s="5" t="str">
        <f>_xlfn.SWITCH(recruitment_data3[[#This Row],[EducationLevel]], 1,"Bachelor Type 1", 2,"Bachelor Type 2", 3,"Masters", 4,"PhD")</f>
        <v>Bachelor Type 2</v>
      </c>
      <c r="F1063" s="5">
        <v>2</v>
      </c>
      <c r="G1063" s="5">
        <v>13</v>
      </c>
      <c r="H1063" s="5">
        <v>3</v>
      </c>
      <c r="I1063" s="5">
        <v>40.843078513809552</v>
      </c>
      <c r="J1063" s="5">
        <v>34</v>
      </c>
      <c r="K1063" s="5">
        <v>50</v>
      </c>
      <c r="L1063" s="5">
        <v>95</v>
      </c>
      <c r="M1063" s="5" t="str">
        <f>_xlfn.SWITCH(recruitment_data3[[#This Row],[RecruitmentStrategy]], 1,"Aggressive", 2,"Moderate", 3,"Conservative")</f>
        <v>Conservative</v>
      </c>
      <c r="N1063" s="5">
        <v>3</v>
      </c>
      <c r="O1063" s="5" t="str">
        <f>IF(recruitment_data3[[#This Row],[HiringDecision]]=1,"Hired","Rejected")</f>
        <v>Rejected</v>
      </c>
      <c r="P1063" s="6">
        <v>0</v>
      </c>
    </row>
    <row r="1064" spans="1:16" x14ac:dyDescent="0.25">
      <c r="A1064" s="4" t="str">
        <f t="shared" si="16"/>
        <v>C1063</v>
      </c>
      <c r="B1064" s="4">
        <v>31</v>
      </c>
      <c r="C1064" s="5" t="str">
        <f>IF(recruitment_data3[[#This Row],[Gender]]=1,"Female","Male")</f>
        <v>Female</v>
      </c>
      <c r="D1064" s="5">
        <v>1</v>
      </c>
      <c r="E1064" s="5" t="str">
        <f>_xlfn.SWITCH(recruitment_data3[[#This Row],[EducationLevel]], 1,"Bachelor Type 1", 2,"Bachelor Type 2", 3,"Masters", 4,"PhD")</f>
        <v>Bachelor Type 2</v>
      </c>
      <c r="F1064" s="5">
        <v>2</v>
      </c>
      <c r="G1064" s="5">
        <v>6</v>
      </c>
      <c r="H1064" s="5">
        <v>5</v>
      </c>
      <c r="I1064" s="5">
        <v>18.048328173124233</v>
      </c>
      <c r="J1064" s="5">
        <v>14</v>
      </c>
      <c r="K1064" s="5">
        <v>96</v>
      </c>
      <c r="L1064" s="5">
        <v>29</v>
      </c>
      <c r="M1064" s="5" t="str">
        <f>_xlfn.SWITCH(recruitment_data3[[#This Row],[RecruitmentStrategy]], 1,"Aggressive", 2,"Moderate", 3,"Conservative")</f>
        <v>Moderate</v>
      </c>
      <c r="N1064" s="5">
        <v>2</v>
      </c>
      <c r="O1064" s="5" t="str">
        <f>IF(recruitment_data3[[#This Row],[HiringDecision]]=1,"Hired","Rejected")</f>
        <v>Rejected</v>
      </c>
      <c r="P1064" s="6">
        <v>0</v>
      </c>
    </row>
    <row r="1065" spans="1:16" x14ac:dyDescent="0.25">
      <c r="A1065" s="4" t="str">
        <f t="shared" si="16"/>
        <v>C1064</v>
      </c>
      <c r="B1065" s="4">
        <v>24</v>
      </c>
      <c r="C1065" s="5" t="str">
        <f>IF(recruitment_data3[[#This Row],[Gender]]=1,"Female","Male")</f>
        <v>Female</v>
      </c>
      <c r="D1065" s="5">
        <v>1</v>
      </c>
      <c r="E1065" s="5" t="str">
        <f>_xlfn.SWITCH(recruitment_data3[[#This Row],[EducationLevel]], 1,"Bachelor Type 1", 2,"Bachelor Type 2", 3,"Masters", 4,"PhD")</f>
        <v>Bachelor Type 2</v>
      </c>
      <c r="F1065" s="5">
        <v>2</v>
      </c>
      <c r="G1065" s="5">
        <v>0</v>
      </c>
      <c r="H1065" s="5">
        <v>3</v>
      </c>
      <c r="I1065" s="5">
        <v>41.273314152029336</v>
      </c>
      <c r="J1065" s="5">
        <v>95</v>
      </c>
      <c r="K1065" s="5">
        <v>94</v>
      </c>
      <c r="L1065" s="5">
        <v>7</v>
      </c>
      <c r="M1065" s="5" t="str">
        <f>_xlfn.SWITCH(recruitment_data3[[#This Row],[RecruitmentStrategy]], 1,"Aggressive", 2,"Moderate", 3,"Conservative")</f>
        <v>Moderate</v>
      </c>
      <c r="N1065" s="5">
        <v>2</v>
      </c>
      <c r="O1065" s="5" t="str">
        <f>IF(recruitment_data3[[#This Row],[HiringDecision]]=1,"Hired","Rejected")</f>
        <v>Rejected</v>
      </c>
      <c r="P1065" s="6">
        <v>0</v>
      </c>
    </row>
    <row r="1066" spans="1:16" x14ac:dyDescent="0.25">
      <c r="A1066" s="4" t="str">
        <f t="shared" si="16"/>
        <v>C1065</v>
      </c>
      <c r="B1066" s="4">
        <v>49</v>
      </c>
      <c r="C1066" s="5" t="str">
        <f>IF(recruitment_data3[[#This Row],[Gender]]=1,"Female","Male")</f>
        <v>Male</v>
      </c>
      <c r="D1066" s="5">
        <v>0</v>
      </c>
      <c r="E1066" s="5" t="str">
        <f>_xlfn.SWITCH(recruitment_data3[[#This Row],[EducationLevel]], 1,"Bachelor Type 1", 2,"Bachelor Type 2", 3,"Masters", 4,"PhD")</f>
        <v>Bachelor Type 2</v>
      </c>
      <c r="F1066" s="5">
        <v>2</v>
      </c>
      <c r="G1066" s="5">
        <v>0</v>
      </c>
      <c r="H1066" s="5">
        <v>2</v>
      </c>
      <c r="I1066" s="5">
        <v>17.930561455631626</v>
      </c>
      <c r="J1066" s="5">
        <v>5</v>
      </c>
      <c r="K1066" s="5">
        <v>69</v>
      </c>
      <c r="L1066" s="5">
        <v>20</v>
      </c>
      <c r="M1066" s="5" t="str">
        <f>_xlfn.SWITCH(recruitment_data3[[#This Row],[RecruitmentStrategy]], 1,"Aggressive", 2,"Moderate", 3,"Conservative")</f>
        <v>Moderate</v>
      </c>
      <c r="N1066" s="5">
        <v>2</v>
      </c>
      <c r="O1066" s="5" t="str">
        <f>IF(recruitment_data3[[#This Row],[HiringDecision]]=1,"Hired","Rejected")</f>
        <v>Rejected</v>
      </c>
      <c r="P1066" s="6">
        <v>0</v>
      </c>
    </row>
    <row r="1067" spans="1:16" x14ac:dyDescent="0.25">
      <c r="A1067" s="4" t="str">
        <f t="shared" si="16"/>
        <v>C1066</v>
      </c>
      <c r="B1067" s="4">
        <v>49</v>
      </c>
      <c r="C1067" s="5" t="str">
        <f>IF(recruitment_data3[[#This Row],[Gender]]=1,"Female","Male")</f>
        <v>Male</v>
      </c>
      <c r="D1067" s="5">
        <v>0</v>
      </c>
      <c r="E1067" s="5" t="str">
        <f>_xlfn.SWITCH(recruitment_data3[[#This Row],[EducationLevel]], 1,"Bachelor Type 1", 2,"Bachelor Type 2", 3,"Masters", 4,"PhD")</f>
        <v>Bachelor Type 2</v>
      </c>
      <c r="F1067" s="5">
        <v>2</v>
      </c>
      <c r="G1067" s="5">
        <v>6</v>
      </c>
      <c r="H1067" s="5">
        <v>5</v>
      </c>
      <c r="I1067" s="5">
        <v>3.7716494470616917</v>
      </c>
      <c r="J1067" s="5">
        <v>84</v>
      </c>
      <c r="K1067" s="5">
        <v>73</v>
      </c>
      <c r="L1067" s="5">
        <v>21</v>
      </c>
      <c r="M1067" s="5" t="str">
        <f>_xlfn.SWITCH(recruitment_data3[[#This Row],[RecruitmentStrategy]], 1,"Aggressive", 2,"Moderate", 3,"Conservative")</f>
        <v>Aggressive</v>
      </c>
      <c r="N1067" s="5">
        <v>1</v>
      </c>
      <c r="O1067" s="5" t="str">
        <f>IF(recruitment_data3[[#This Row],[HiringDecision]]=1,"Hired","Rejected")</f>
        <v>Hired</v>
      </c>
      <c r="P1067" s="6">
        <v>1</v>
      </c>
    </row>
    <row r="1068" spans="1:16" x14ac:dyDescent="0.25">
      <c r="A1068" s="4" t="str">
        <f t="shared" si="16"/>
        <v>C1067</v>
      </c>
      <c r="B1068" s="4">
        <v>46</v>
      </c>
      <c r="C1068" s="5" t="str">
        <f>IF(recruitment_data3[[#This Row],[Gender]]=1,"Female","Male")</f>
        <v>Male</v>
      </c>
      <c r="D1068" s="5">
        <v>0</v>
      </c>
      <c r="E1068" s="5" t="str">
        <f>_xlfn.SWITCH(recruitment_data3[[#This Row],[EducationLevel]], 1,"Bachelor Type 1", 2,"Bachelor Type 2", 3,"Masters", 4,"PhD")</f>
        <v>Bachelor Type 2</v>
      </c>
      <c r="F1068" s="5">
        <v>2</v>
      </c>
      <c r="G1068" s="5">
        <v>14</v>
      </c>
      <c r="H1068" s="5">
        <v>3</v>
      </c>
      <c r="I1068" s="5">
        <v>28.70938255023956</v>
      </c>
      <c r="J1068" s="5">
        <v>96</v>
      </c>
      <c r="K1068" s="5">
        <v>79</v>
      </c>
      <c r="L1068" s="5">
        <v>17</v>
      </c>
      <c r="M1068" s="5" t="str">
        <f>_xlfn.SWITCH(recruitment_data3[[#This Row],[RecruitmentStrategy]], 1,"Aggressive", 2,"Moderate", 3,"Conservative")</f>
        <v>Conservative</v>
      </c>
      <c r="N1068" s="5">
        <v>3</v>
      </c>
      <c r="O1068" s="5" t="str">
        <f>IF(recruitment_data3[[#This Row],[HiringDecision]]=1,"Hired","Rejected")</f>
        <v>Rejected</v>
      </c>
      <c r="P1068" s="6">
        <v>0</v>
      </c>
    </row>
    <row r="1069" spans="1:16" x14ac:dyDescent="0.25">
      <c r="A1069" s="4" t="str">
        <f t="shared" si="16"/>
        <v>C1068</v>
      </c>
      <c r="B1069" s="4">
        <v>44</v>
      </c>
      <c r="C1069" s="5" t="str">
        <f>IF(recruitment_data3[[#This Row],[Gender]]=1,"Female","Male")</f>
        <v>Male</v>
      </c>
      <c r="D1069" s="5">
        <v>0</v>
      </c>
      <c r="E1069" s="5" t="str">
        <f>_xlfn.SWITCH(recruitment_data3[[#This Row],[EducationLevel]], 1,"Bachelor Type 1", 2,"Bachelor Type 2", 3,"Masters", 4,"PhD")</f>
        <v>Bachelor Type 1</v>
      </c>
      <c r="F1069" s="5">
        <v>1</v>
      </c>
      <c r="G1069" s="5">
        <v>14</v>
      </c>
      <c r="H1069" s="5">
        <v>3</v>
      </c>
      <c r="I1069" s="5">
        <v>30.395116244740727</v>
      </c>
      <c r="J1069" s="5">
        <v>31</v>
      </c>
      <c r="K1069" s="5">
        <v>67</v>
      </c>
      <c r="L1069" s="5">
        <v>65</v>
      </c>
      <c r="M1069" s="5" t="str">
        <f>_xlfn.SWITCH(recruitment_data3[[#This Row],[RecruitmentStrategy]], 1,"Aggressive", 2,"Moderate", 3,"Conservative")</f>
        <v>Aggressive</v>
      </c>
      <c r="N1069" s="5">
        <v>1</v>
      </c>
      <c r="O1069" s="5" t="str">
        <f>IF(recruitment_data3[[#This Row],[HiringDecision]]=1,"Hired","Rejected")</f>
        <v>Hired</v>
      </c>
      <c r="P1069" s="6">
        <v>1</v>
      </c>
    </row>
    <row r="1070" spans="1:16" x14ac:dyDescent="0.25">
      <c r="A1070" s="4" t="str">
        <f t="shared" si="16"/>
        <v>C1069</v>
      </c>
      <c r="B1070" s="4">
        <v>36</v>
      </c>
      <c r="C1070" s="5" t="str">
        <f>IF(recruitment_data3[[#This Row],[Gender]]=1,"Female","Male")</f>
        <v>Male</v>
      </c>
      <c r="D1070" s="5">
        <v>0</v>
      </c>
      <c r="E1070" s="5" t="str">
        <f>_xlfn.SWITCH(recruitment_data3[[#This Row],[EducationLevel]], 1,"Bachelor Type 1", 2,"Bachelor Type 2", 3,"Masters", 4,"PhD")</f>
        <v>PhD</v>
      </c>
      <c r="F1070" s="5">
        <v>4</v>
      </c>
      <c r="G1070" s="5">
        <v>9</v>
      </c>
      <c r="H1070" s="5">
        <v>4</v>
      </c>
      <c r="I1070" s="5">
        <v>47.727012281093003</v>
      </c>
      <c r="J1070" s="5">
        <v>51</v>
      </c>
      <c r="K1070" s="5">
        <v>21</v>
      </c>
      <c r="L1070" s="5">
        <v>47</v>
      </c>
      <c r="M1070" s="5" t="str">
        <f>_xlfn.SWITCH(recruitment_data3[[#This Row],[RecruitmentStrategy]], 1,"Aggressive", 2,"Moderate", 3,"Conservative")</f>
        <v>Moderate</v>
      </c>
      <c r="N1070" s="5">
        <v>2</v>
      </c>
      <c r="O1070" s="5" t="str">
        <f>IF(recruitment_data3[[#This Row],[HiringDecision]]=1,"Hired","Rejected")</f>
        <v>Rejected</v>
      </c>
      <c r="P1070" s="6">
        <v>0</v>
      </c>
    </row>
    <row r="1071" spans="1:16" x14ac:dyDescent="0.25">
      <c r="A1071" s="4" t="str">
        <f t="shared" si="16"/>
        <v>C1070</v>
      </c>
      <c r="B1071" s="4">
        <v>35</v>
      </c>
      <c r="C1071" s="5" t="str">
        <f>IF(recruitment_data3[[#This Row],[Gender]]=1,"Female","Male")</f>
        <v>Female</v>
      </c>
      <c r="D1071" s="5">
        <v>1</v>
      </c>
      <c r="E1071" s="5" t="str">
        <f>_xlfn.SWITCH(recruitment_data3[[#This Row],[EducationLevel]], 1,"Bachelor Type 1", 2,"Bachelor Type 2", 3,"Masters", 4,"PhD")</f>
        <v>Masters</v>
      </c>
      <c r="F1071" s="5">
        <v>3</v>
      </c>
      <c r="G1071" s="5">
        <v>8</v>
      </c>
      <c r="H1071" s="5">
        <v>3</v>
      </c>
      <c r="I1071" s="5">
        <v>37.303066303123721</v>
      </c>
      <c r="J1071" s="5">
        <v>82</v>
      </c>
      <c r="K1071" s="5">
        <v>76</v>
      </c>
      <c r="L1071" s="5">
        <v>43</v>
      </c>
      <c r="M1071" s="5" t="str">
        <f>_xlfn.SWITCH(recruitment_data3[[#This Row],[RecruitmentStrategy]], 1,"Aggressive", 2,"Moderate", 3,"Conservative")</f>
        <v>Moderate</v>
      </c>
      <c r="N1071" s="5">
        <v>2</v>
      </c>
      <c r="O1071" s="5" t="str">
        <f>IF(recruitment_data3[[#This Row],[HiringDecision]]=1,"Hired","Rejected")</f>
        <v>Hired</v>
      </c>
      <c r="P1071" s="6">
        <v>1</v>
      </c>
    </row>
    <row r="1072" spans="1:16" x14ac:dyDescent="0.25">
      <c r="A1072" s="4" t="str">
        <f t="shared" si="16"/>
        <v>C1071</v>
      </c>
      <c r="B1072" s="4">
        <v>50</v>
      </c>
      <c r="C1072" s="5" t="str">
        <f>IF(recruitment_data3[[#This Row],[Gender]]=1,"Female","Male")</f>
        <v>Female</v>
      </c>
      <c r="D1072" s="5">
        <v>1</v>
      </c>
      <c r="E1072" s="5" t="str">
        <f>_xlfn.SWITCH(recruitment_data3[[#This Row],[EducationLevel]], 1,"Bachelor Type 1", 2,"Bachelor Type 2", 3,"Masters", 4,"PhD")</f>
        <v>Bachelor Type 2</v>
      </c>
      <c r="F1072" s="5">
        <v>2</v>
      </c>
      <c r="G1072" s="5">
        <v>6</v>
      </c>
      <c r="H1072" s="5">
        <v>1</v>
      </c>
      <c r="I1072" s="5">
        <v>46.888632624721978</v>
      </c>
      <c r="J1072" s="5">
        <v>96</v>
      </c>
      <c r="K1072" s="5">
        <v>79</v>
      </c>
      <c r="L1072" s="5">
        <v>8</v>
      </c>
      <c r="M1072" s="5" t="str">
        <f>_xlfn.SWITCH(recruitment_data3[[#This Row],[RecruitmentStrategy]], 1,"Aggressive", 2,"Moderate", 3,"Conservative")</f>
        <v>Aggressive</v>
      </c>
      <c r="N1072" s="5">
        <v>1</v>
      </c>
      <c r="O1072" s="5" t="str">
        <f>IF(recruitment_data3[[#This Row],[HiringDecision]]=1,"Hired","Rejected")</f>
        <v>Hired</v>
      </c>
      <c r="P1072" s="6">
        <v>1</v>
      </c>
    </row>
    <row r="1073" spans="1:16" x14ac:dyDescent="0.25">
      <c r="A1073" s="4" t="str">
        <f t="shared" si="16"/>
        <v>C1072</v>
      </c>
      <c r="B1073" s="4">
        <v>34</v>
      </c>
      <c r="C1073" s="5" t="str">
        <f>IF(recruitment_data3[[#This Row],[Gender]]=1,"Female","Male")</f>
        <v>Female</v>
      </c>
      <c r="D1073" s="5">
        <v>1</v>
      </c>
      <c r="E1073" s="5" t="str">
        <f>_xlfn.SWITCH(recruitment_data3[[#This Row],[EducationLevel]], 1,"Bachelor Type 1", 2,"Bachelor Type 2", 3,"Masters", 4,"PhD")</f>
        <v>Bachelor Type 1</v>
      </c>
      <c r="F1073" s="5">
        <v>1</v>
      </c>
      <c r="G1073" s="5">
        <v>9</v>
      </c>
      <c r="H1073" s="5">
        <v>5</v>
      </c>
      <c r="I1073" s="5">
        <v>46.417360512150481</v>
      </c>
      <c r="J1073" s="5">
        <v>27</v>
      </c>
      <c r="K1073" s="5">
        <v>92</v>
      </c>
      <c r="L1073" s="5">
        <v>66</v>
      </c>
      <c r="M1073" s="5" t="str">
        <f>_xlfn.SWITCH(recruitment_data3[[#This Row],[RecruitmentStrategy]], 1,"Aggressive", 2,"Moderate", 3,"Conservative")</f>
        <v>Moderate</v>
      </c>
      <c r="N1073" s="5">
        <v>2</v>
      </c>
      <c r="O1073" s="5" t="str">
        <f>IF(recruitment_data3[[#This Row],[HiringDecision]]=1,"Hired","Rejected")</f>
        <v>Rejected</v>
      </c>
      <c r="P1073" s="6">
        <v>0</v>
      </c>
    </row>
    <row r="1074" spans="1:16" x14ac:dyDescent="0.25">
      <c r="A1074" s="4" t="str">
        <f t="shared" si="16"/>
        <v>C1073</v>
      </c>
      <c r="B1074" s="4">
        <v>42</v>
      </c>
      <c r="C1074" s="5" t="str">
        <f>IF(recruitment_data3[[#This Row],[Gender]]=1,"Female","Male")</f>
        <v>Female</v>
      </c>
      <c r="D1074" s="5">
        <v>1</v>
      </c>
      <c r="E1074" s="5" t="str">
        <f>_xlfn.SWITCH(recruitment_data3[[#This Row],[EducationLevel]], 1,"Bachelor Type 1", 2,"Bachelor Type 2", 3,"Masters", 4,"PhD")</f>
        <v>Masters</v>
      </c>
      <c r="F1074" s="5">
        <v>3</v>
      </c>
      <c r="G1074" s="5">
        <v>4</v>
      </c>
      <c r="H1074" s="5">
        <v>1</v>
      </c>
      <c r="I1074" s="5">
        <v>31.228705512912107</v>
      </c>
      <c r="J1074" s="5">
        <v>94</v>
      </c>
      <c r="K1074" s="5">
        <v>5</v>
      </c>
      <c r="L1074" s="5">
        <v>53</v>
      </c>
      <c r="M1074" s="5" t="str">
        <f>_xlfn.SWITCH(recruitment_data3[[#This Row],[RecruitmentStrategy]], 1,"Aggressive", 2,"Moderate", 3,"Conservative")</f>
        <v>Conservative</v>
      </c>
      <c r="N1074" s="5">
        <v>3</v>
      </c>
      <c r="O1074" s="5" t="str">
        <f>IF(recruitment_data3[[#This Row],[HiringDecision]]=1,"Hired","Rejected")</f>
        <v>Rejected</v>
      </c>
      <c r="P1074" s="6">
        <v>0</v>
      </c>
    </row>
    <row r="1075" spans="1:16" x14ac:dyDescent="0.25">
      <c r="A1075" s="4" t="str">
        <f t="shared" si="16"/>
        <v>C1074</v>
      </c>
      <c r="B1075" s="4">
        <v>34</v>
      </c>
      <c r="C1075" s="5" t="str">
        <f>IF(recruitment_data3[[#This Row],[Gender]]=1,"Female","Male")</f>
        <v>Female</v>
      </c>
      <c r="D1075" s="5">
        <v>1</v>
      </c>
      <c r="E1075" s="5" t="str">
        <f>_xlfn.SWITCH(recruitment_data3[[#This Row],[EducationLevel]], 1,"Bachelor Type 1", 2,"Bachelor Type 2", 3,"Masters", 4,"PhD")</f>
        <v>Masters</v>
      </c>
      <c r="F1075" s="5">
        <v>3</v>
      </c>
      <c r="G1075" s="5">
        <v>7</v>
      </c>
      <c r="H1075" s="5">
        <v>5</v>
      </c>
      <c r="I1075" s="5">
        <v>27.388103266822377</v>
      </c>
      <c r="J1075" s="5">
        <v>84</v>
      </c>
      <c r="K1075" s="5">
        <v>25</v>
      </c>
      <c r="L1075" s="5">
        <v>25</v>
      </c>
      <c r="M1075" s="5" t="str">
        <f>_xlfn.SWITCH(recruitment_data3[[#This Row],[RecruitmentStrategy]], 1,"Aggressive", 2,"Moderate", 3,"Conservative")</f>
        <v>Moderate</v>
      </c>
      <c r="N1075" s="5">
        <v>2</v>
      </c>
      <c r="O1075" s="5" t="str">
        <f>IF(recruitment_data3[[#This Row],[HiringDecision]]=1,"Hired","Rejected")</f>
        <v>Rejected</v>
      </c>
      <c r="P1075" s="6">
        <v>0</v>
      </c>
    </row>
    <row r="1076" spans="1:16" x14ac:dyDescent="0.25">
      <c r="A1076" s="4" t="str">
        <f t="shared" si="16"/>
        <v>C1075</v>
      </c>
      <c r="B1076" s="4">
        <v>24</v>
      </c>
      <c r="C1076" s="5" t="str">
        <f>IF(recruitment_data3[[#This Row],[Gender]]=1,"Female","Male")</f>
        <v>Female</v>
      </c>
      <c r="D1076" s="5">
        <v>1</v>
      </c>
      <c r="E1076" s="5" t="str">
        <f>_xlfn.SWITCH(recruitment_data3[[#This Row],[EducationLevel]], 1,"Bachelor Type 1", 2,"Bachelor Type 2", 3,"Masters", 4,"PhD")</f>
        <v>Masters</v>
      </c>
      <c r="F1076" s="5">
        <v>3</v>
      </c>
      <c r="G1076" s="5">
        <v>1</v>
      </c>
      <c r="H1076" s="5">
        <v>4</v>
      </c>
      <c r="I1076" s="5">
        <v>28.872048358179995</v>
      </c>
      <c r="J1076" s="5">
        <v>97</v>
      </c>
      <c r="K1076" s="5">
        <v>74</v>
      </c>
      <c r="L1076" s="5">
        <v>84</v>
      </c>
      <c r="M1076" s="5" t="str">
        <f>_xlfn.SWITCH(recruitment_data3[[#This Row],[RecruitmentStrategy]], 1,"Aggressive", 2,"Moderate", 3,"Conservative")</f>
        <v>Conservative</v>
      </c>
      <c r="N1076" s="5">
        <v>3</v>
      </c>
      <c r="O1076" s="5" t="str">
        <f>IF(recruitment_data3[[#This Row],[HiringDecision]]=1,"Hired","Rejected")</f>
        <v>Hired</v>
      </c>
      <c r="P1076" s="6">
        <v>1</v>
      </c>
    </row>
    <row r="1077" spans="1:16" x14ac:dyDescent="0.25">
      <c r="A1077" s="4" t="str">
        <f t="shared" si="16"/>
        <v>C1076</v>
      </c>
      <c r="B1077" s="4">
        <v>40</v>
      </c>
      <c r="C1077" s="5" t="str">
        <f>IF(recruitment_data3[[#This Row],[Gender]]=1,"Female","Male")</f>
        <v>Female</v>
      </c>
      <c r="D1077" s="5">
        <v>1</v>
      </c>
      <c r="E1077" s="5" t="str">
        <f>_xlfn.SWITCH(recruitment_data3[[#This Row],[EducationLevel]], 1,"Bachelor Type 1", 2,"Bachelor Type 2", 3,"Masters", 4,"PhD")</f>
        <v>Bachelor Type 2</v>
      </c>
      <c r="F1077" s="5">
        <v>2</v>
      </c>
      <c r="G1077" s="5">
        <v>8</v>
      </c>
      <c r="H1077" s="5">
        <v>3</v>
      </c>
      <c r="I1077" s="5">
        <v>49.91654038386239</v>
      </c>
      <c r="J1077" s="5">
        <v>63</v>
      </c>
      <c r="K1077" s="5">
        <v>87</v>
      </c>
      <c r="L1077" s="5">
        <v>93</v>
      </c>
      <c r="M1077" s="5" t="str">
        <f>_xlfn.SWITCH(recruitment_data3[[#This Row],[RecruitmentStrategy]], 1,"Aggressive", 2,"Moderate", 3,"Conservative")</f>
        <v>Conservative</v>
      </c>
      <c r="N1077" s="5">
        <v>3</v>
      </c>
      <c r="O1077" s="5" t="str">
        <f>IF(recruitment_data3[[#This Row],[HiringDecision]]=1,"Hired","Rejected")</f>
        <v>Rejected</v>
      </c>
      <c r="P1077" s="6">
        <v>0</v>
      </c>
    </row>
    <row r="1078" spans="1:16" x14ac:dyDescent="0.25">
      <c r="A1078" s="4" t="str">
        <f t="shared" si="16"/>
        <v>C1077</v>
      </c>
      <c r="B1078" s="4">
        <v>33</v>
      </c>
      <c r="C1078" s="5" t="str">
        <f>IF(recruitment_data3[[#This Row],[Gender]]=1,"Female","Male")</f>
        <v>Male</v>
      </c>
      <c r="D1078" s="5">
        <v>0</v>
      </c>
      <c r="E1078" s="5" t="str">
        <f>_xlfn.SWITCH(recruitment_data3[[#This Row],[EducationLevel]], 1,"Bachelor Type 1", 2,"Bachelor Type 2", 3,"Masters", 4,"PhD")</f>
        <v>Bachelor Type 2</v>
      </c>
      <c r="F1078" s="5">
        <v>2</v>
      </c>
      <c r="G1078" s="5">
        <v>5</v>
      </c>
      <c r="H1078" s="5">
        <v>3</v>
      </c>
      <c r="I1078" s="5">
        <v>39.658384587347946</v>
      </c>
      <c r="J1078" s="5">
        <v>78</v>
      </c>
      <c r="K1078" s="5">
        <v>92</v>
      </c>
      <c r="L1078" s="5">
        <v>91</v>
      </c>
      <c r="M1078" s="5" t="str">
        <f>_xlfn.SWITCH(recruitment_data3[[#This Row],[RecruitmentStrategy]], 1,"Aggressive", 2,"Moderate", 3,"Conservative")</f>
        <v>Moderate</v>
      </c>
      <c r="N1078" s="5">
        <v>2</v>
      </c>
      <c r="O1078" s="5" t="str">
        <f>IF(recruitment_data3[[#This Row],[HiringDecision]]=1,"Hired","Rejected")</f>
        <v>Rejected</v>
      </c>
      <c r="P1078" s="6">
        <v>0</v>
      </c>
    </row>
    <row r="1079" spans="1:16" x14ac:dyDescent="0.25">
      <c r="A1079" s="4" t="str">
        <f t="shared" si="16"/>
        <v>C1078</v>
      </c>
      <c r="B1079" s="4">
        <v>21</v>
      </c>
      <c r="C1079" s="5" t="str">
        <f>IF(recruitment_data3[[#This Row],[Gender]]=1,"Female","Male")</f>
        <v>Male</v>
      </c>
      <c r="D1079" s="5">
        <v>0</v>
      </c>
      <c r="E1079" s="5" t="str">
        <f>_xlfn.SWITCH(recruitment_data3[[#This Row],[EducationLevel]], 1,"Bachelor Type 1", 2,"Bachelor Type 2", 3,"Masters", 4,"PhD")</f>
        <v>Bachelor Type 1</v>
      </c>
      <c r="F1079" s="5">
        <v>1</v>
      </c>
      <c r="G1079" s="5">
        <v>12</v>
      </c>
      <c r="H1079" s="5">
        <v>3</v>
      </c>
      <c r="I1079" s="5">
        <v>6.3132952396197917</v>
      </c>
      <c r="J1079" s="5">
        <v>77</v>
      </c>
      <c r="K1079" s="5">
        <v>2</v>
      </c>
      <c r="L1079" s="5">
        <v>99</v>
      </c>
      <c r="M1079" s="5" t="str">
        <f>_xlfn.SWITCH(recruitment_data3[[#This Row],[RecruitmentStrategy]], 1,"Aggressive", 2,"Moderate", 3,"Conservative")</f>
        <v>Moderate</v>
      </c>
      <c r="N1079" s="5">
        <v>2</v>
      </c>
      <c r="O1079" s="5" t="str">
        <f>IF(recruitment_data3[[#This Row],[HiringDecision]]=1,"Hired","Rejected")</f>
        <v>Rejected</v>
      </c>
      <c r="P1079" s="6">
        <v>0</v>
      </c>
    </row>
    <row r="1080" spans="1:16" x14ac:dyDescent="0.25">
      <c r="A1080" s="4" t="str">
        <f t="shared" si="16"/>
        <v>C1079</v>
      </c>
      <c r="B1080" s="4">
        <v>30</v>
      </c>
      <c r="C1080" s="5" t="str">
        <f>IF(recruitment_data3[[#This Row],[Gender]]=1,"Female","Male")</f>
        <v>Male</v>
      </c>
      <c r="D1080" s="5">
        <v>0</v>
      </c>
      <c r="E1080" s="5" t="str">
        <f>_xlfn.SWITCH(recruitment_data3[[#This Row],[EducationLevel]], 1,"Bachelor Type 1", 2,"Bachelor Type 2", 3,"Masters", 4,"PhD")</f>
        <v>Bachelor Type 1</v>
      </c>
      <c r="F1080" s="5">
        <v>1</v>
      </c>
      <c r="G1080" s="5">
        <v>8</v>
      </c>
      <c r="H1080" s="5">
        <v>5</v>
      </c>
      <c r="I1080" s="5">
        <v>39.921420339069996</v>
      </c>
      <c r="J1080" s="5">
        <v>18</v>
      </c>
      <c r="K1080" s="5">
        <v>51</v>
      </c>
      <c r="L1080" s="5">
        <v>25</v>
      </c>
      <c r="M1080" s="5" t="str">
        <f>_xlfn.SWITCH(recruitment_data3[[#This Row],[RecruitmentStrategy]], 1,"Aggressive", 2,"Moderate", 3,"Conservative")</f>
        <v>Moderate</v>
      </c>
      <c r="N1080" s="5">
        <v>2</v>
      </c>
      <c r="O1080" s="5" t="str">
        <f>IF(recruitment_data3[[#This Row],[HiringDecision]]=1,"Hired","Rejected")</f>
        <v>Rejected</v>
      </c>
      <c r="P1080" s="6">
        <v>0</v>
      </c>
    </row>
    <row r="1081" spans="1:16" x14ac:dyDescent="0.25">
      <c r="A1081" s="4" t="str">
        <f t="shared" si="16"/>
        <v>C1080</v>
      </c>
      <c r="B1081" s="4">
        <v>38</v>
      </c>
      <c r="C1081" s="5" t="str">
        <f>IF(recruitment_data3[[#This Row],[Gender]]=1,"Female","Male")</f>
        <v>Male</v>
      </c>
      <c r="D1081" s="5">
        <v>0</v>
      </c>
      <c r="E1081" s="5" t="str">
        <f>_xlfn.SWITCH(recruitment_data3[[#This Row],[EducationLevel]], 1,"Bachelor Type 1", 2,"Bachelor Type 2", 3,"Masters", 4,"PhD")</f>
        <v>Masters</v>
      </c>
      <c r="F1081" s="5">
        <v>3</v>
      </c>
      <c r="G1081" s="5">
        <v>15</v>
      </c>
      <c r="H1081" s="5">
        <v>3</v>
      </c>
      <c r="I1081" s="5">
        <v>9.5269024449112933</v>
      </c>
      <c r="J1081" s="5">
        <v>14</v>
      </c>
      <c r="K1081" s="5">
        <v>73</v>
      </c>
      <c r="L1081" s="5">
        <v>33</v>
      </c>
      <c r="M1081" s="5" t="str">
        <f>_xlfn.SWITCH(recruitment_data3[[#This Row],[RecruitmentStrategy]], 1,"Aggressive", 2,"Moderate", 3,"Conservative")</f>
        <v>Moderate</v>
      </c>
      <c r="N1081" s="5">
        <v>2</v>
      </c>
      <c r="O1081" s="5" t="str">
        <f>IF(recruitment_data3[[#This Row],[HiringDecision]]=1,"Hired","Rejected")</f>
        <v>Rejected</v>
      </c>
      <c r="P1081" s="6">
        <v>0</v>
      </c>
    </row>
    <row r="1082" spans="1:16" x14ac:dyDescent="0.25">
      <c r="A1082" s="4" t="str">
        <f t="shared" si="16"/>
        <v>C1081</v>
      </c>
      <c r="B1082" s="4">
        <v>26</v>
      </c>
      <c r="C1082" s="5" t="str">
        <f>IF(recruitment_data3[[#This Row],[Gender]]=1,"Female","Male")</f>
        <v>Female</v>
      </c>
      <c r="D1082" s="5">
        <v>1</v>
      </c>
      <c r="E1082" s="5" t="str">
        <f>_xlfn.SWITCH(recruitment_data3[[#This Row],[EducationLevel]], 1,"Bachelor Type 1", 2,"Bachelor Type 2", 3,"Masters", 4,"PhD")</f>
        <v>Masters</v>
      </c>
      <c r="F1082" s="5">
        <v>3</v>
      </c>
      <c r="G1082" s="5">
        <v>1</v>
      </c>
      <c r="H1082" s="5">
        <v>1</v>
      </c>
      <c r="I1082" s="5">
        <v>23.367527450281283</v>
      </c>
      <c r="J1082" s="5">
        <v>5</v>
      </c>
      <c r="K1082" s="5">
        <v>59</v>
      </c>
      <c r="L1082" s="5">
        <v>7</v>
      </c>
      <c r="M1082" s="5" t="str">
        <f>_xlfn.SWITCH(recruitment_data3[[#This Row],[RecruitmentStrategy]], 1,"Aggressive", 2,"Moderate", 3,"Conservative")</f>
        <v>Aggressive</v>
      </c>
      <c r="N1082" s="5">
        <v>1</v>
      </c>
      <c r="O1082" s="5" t="str">
        <f>IF(recruitment_data3[[#This Row],[HiringDecision]]=1,"Hired","Rejected")</f>
        <v>Hired</v>
      </c>
      <c r="P1082" s="6">
        <v>1</v>
      </c>
    </row>
    <row r="1083" spans="1:16" x14ac:dyDescent="0.25">
      <c r="A1083" s="4" t="str">
        <f t="shared" si="16"/>
        <v>C1082</v>
      </c>
      <c r="B1083" s="4">
        <v>25</v>
      </c>
      <c r="C1083" s="5" t="str">
        <f>IF(recruitment_data3[[#This Row],[Gender]]=1,"Female","Male")</f>
        <v>Female</v>
      </c>
      <c r="D1083" s="5">
        <v>1</v>
      </c>
      <c r="E1083" s="5" t="str">
        <f>_xlfn.SWITCH(recruitment_data3[[#This Row],[EducationLevel]], 1,"Bachelor Type 1", 2,"Bachelor Type 2", 3,"Masters", 4,"PhD")</f>
        <v>Bachelor Type 2</v>
      </c>
      <c r="F1083" s="5">
        <v>2</v>
      </c>
      <c r="G1083" s="5">
        <v>2</v>
      </c>
      <c r="H1083" s="5">
        <v>3</v>
      </c>
      <c r="I1083" s="5">
        <v>11.522983608826713</v>
      </c>
      <c r="J1083" s="5">
        <v>72</v>
      </c>
      <c r="K1083" s="5">
        <v>62</v>
      </c>
      <c r="L1083" s="5">
        <v>9</v>
      </c>
      <c r="M1083" s="5" t="str">
        <f>_xlfn.SWITCH(recruitment_data3[[#This Row],[RecruitmentStrategy]], 1,"Aggressive", 2,"Moderate", 3,"Conservative")</f>
        <v>Conservative</v>
      </c>
      <c r="N1083" s="5">
        <v>3</v>
      </c>
      <c r="O1083" s="5" t="str">
        <f>IF(recruitment_data3[[#This Row],[HiringDecision]]=1,"Hired","Rejected")</f>
        <v>Rejected</v>
      </c>
      <c r="P1083" s="6">
        <v>0</v>
      </c>
    </row>
    <row r="1084" spans="1:16" x14ac:dyDescent="0.25">
      <c r="A1084" s="4" t="str">
        <f t="shared" si="16"/>
        <v>C1083</v>
      </c>
      <c r="B1084" s="4">
        <v>47</v>
      </c>
      <c r="C1084" s="5" t="str">
        <f>IF(recruitment_data3[[#This Row],[Gender]]=1,"Female","Male")</f>
        <v>Female</v>
      </c>
      <c r="D1084" s="5">
        <v>1</v>
      </c>
      <c r="E1084" s="5" t="str">
        <f>_xlfn.SWITCH(recruitment_data3[[#This Row],[EducationLevel]], 1,"Bachelor Type 1", 2,"Bachelor Type 2", 3,"Masters", 4,"PhD")</f>
        <v>Masters</v>
      </c>
      <c r="F1084" s="5">
        <v>3</v>
      </c>
      <c r="G1084" s="5">
        <v>11</v>
      </c>
      <c r="H1084" s="5">
        <v>4</v>
      </c>
      <c r="I1084" s="5">
        <v>35.479153276661492</v>
      </c>
      <c r="J1084" s="5">
        <v>100</v>
      </c>
      <c r="K1084" s="5">
        <v>64</v>
      </c>
      <c r="L1084" s="5">
        <v>47</v>
      </c>
      <c r="M1084" s="5" t="str">
        <f>_xlfn.SWITCH(recruitment_data3[[#This Row],[RecruitmentStrategy]], 1,"Aggressive", 2,"Moderate", 3,"Conservative")</f>
        <v>Moderate</v>
      </c>
      <c r="N1084" s="5">
        <v>2</v>
      </c>
      <c r="O1084" s="5" t="str">
        <f>IF(recruitment_data3[[#This Row],[HiringDecision]]=1,"Hired","Rejected")</f>
        <v>Hired</v>
      </c>
      <c r="P1084" s="6">
        <v>1</v>
      </c>
    </row>
    <row r="1085" spans="1:16" x14ac:dyDescent="0.25">
      <c r="A1085" s="4" t="str">
        <f t="shared" si="16"/>
        <v>C1084</v>
      </c>
      <c r="B1085" s="4">
        <v>21</v>
      </c>
      <c r="C1085" s="5" t="str">
        <f>IF(recruitment_data3[[#This Row],[Gender]]=1,"Female","Male")</f>
        <v>Male</v>
      </c>
      <c r="D1085" s="5">
        <v>0</v>
      </c>
      <c r="E1085" s="5" t="str">
        <f>_xlfn.SWITCH(recruitment_data3[[#This Row],[EducationLevel]], 1,"Bachelor Type 1", 2,"Bachelor Type 2", 3,"Masters", 4,"PhD")</f>
        <v>Bachelor Type 2</v>
      </c>
      <c r="F1085" s="5">
        <v>2</v>
      </c>
      <c r="G1085" s="5">
        <v>7</v>
      </c>
      <c r="H1085" s="5">
        <v>1</v>
      </c>
      <c r="I1085" s="5">
        <v>44.865486809651784</v>
      </c>
      <c r="J1085" s="5">
        <v>83</v>
      </c>
      <c r="K1085" s="5">
        <v>51</v>
      </c>
      <c r="L1085" s="5">
        <v>54</v>
      </c>
      <c r="M1085" s="5" t="str">
        <f>_xlfn.SWITCH(recruitment_data3[[#This Row],[RecruitmentStrategy]], 1,"Aggressive", 2,"Moderate", 3,"Conservative")</f>
        <v>Moderate</v>
      </c>
      <c r="N1085" s="5">
        <v>2</v>
      </c>
      <c r="O1085" s="5" t="str">
        <f>IF(recruitment_data3[[#This Row],[HiringDecision]]=1,"Hired","Rejected")</f>
        <v>Rejected</v>
      </c>
      <c r="P1085" s="6">
        <v>0</v>
      </c>
    </row>
    <row r="1086" spans="1:16" x14ac:dyDescent="0.25">
      <c r="A1086" s="4" t="str">
        <f t="shared" si="16"/>
        <v>C1085</v>
      </c>
      <c r="B1086" s="4">
        <v>25</v>
      </c>
      <c r="C1086" s="5" t="str">
        <f>IF(recruitment_data3[[#This Row],[Gender]]=1,"Female","Male")</f>
        <v>Female</v>
      </c>
      <c r="D1086" s="5">
        <v>1</v>
      </c>
      <c r="E1086" s="5" t="str">
        <f>_xlfn.SWITCH(recruitment_data3[[#This Row],[EducationLevel]], 1,"Bachelor Type 1", 2,"Bachelor Type 2", 3,"Masters", 4,"PhD")</f>
        <v>Bachelor Type 2</v>
      </c>
      <c r="F1086" s="5">
        <v>2</v>
      </c>
      <c r="G1086" s="5">
        <v>0</v>
      </c>
      <c r="H1086" s="5">
        <v>3</v>
      </c>
      <c r="I1086" s="5">
        <v>15.518094268334048</v>
      </c>
      <c r="J1086" s="5">
        <v>97</v>
      </c>
      <c r="K1086" s="5">
        <v>89</v>
      </c>
      <c r="L1086" s="5">
        <v>53</v>
      </c>
      <c r="M1086" s="5" t="str">
        <f>_xlfn.SWITCH(recruitment_data3[[#This Row],[RecruitmentStrategy]], 1,"Aggressive", 2,"Moderate", 3,"Conservative")</f>
        <v>Moderate</v>
      </c>
      <c r="N1086" s="5">
        <v>2</v>
      </c>
      <c r="O1086" s="5" t="str">
        <f>IF(recruitment_data3[[#This Row],[HiringDecision]]=1,"Hired","Rejected")</f>
        <v>Rejected</v>
      </c>
      <c r="P1086" s="6">
        <v>0</v>
      </c>
    </row>
    <row r="1087" spans="1:16" x14ac:dyDescent="0.25">
      <c r="A1087" s="4" t="str">
        <f t="shared" si="16"/>
        <v>C1086</v>
      </c>
      <c r="B1087" s="4">
        <v>37</v>
      </c>
      <c r="C1087" s="5" t="str">
        <f>IF(recruitment_data3[[#This Row],[Gender]]=1,"Female","Male")</f>
        <v>Female</v>
      </c>
      <c r="D1087" s="5">
        <v>1</v>
      </c>
      <c r="E1087" s="5" t="str">
        <f>_xlfn.SWITCH(recruitment_data3[[#This Row],[EducationLevel]], 1,"Bachelor Type 1", 2,"Bachelor Type 2", 3,"Masters", 4,"PhD")</f>
        <v>Bachelor Type 2</v>
      </c>
      <c r="F1087" s="5">
        <v>2</v>
      </c>
      <c r="G1087" s="5">
        <v>14</v>
      </c>
      <c r="H1087" s="5">
        <v>3</v>
      </c>
      <c r="I1087" s="5">
        <v>5.1005370604093816</v>
      </c>
      <c r="J1087" s="5">
        <v>37</v>
      </c>
      <c r="K1087" s="5">
        <v>75</v>
      </c>
      <c r="L1087" s="5">
        <v>77</v>
      </c>
      <c r="M1087" s="5" t="str">
        <f>_xlfn.SWITCH(recruitment_data3[[#This Row],[RecruitmentStrategy]], 1,"Aggressive", 2,"Moderate", 3,"Conservative")</f>
        <v>Moderate</v>
      </c>
      <c r="N1087" s="5">
        <v>2</v>
      </c>
      <c r="O1087" s="5" t="str">
        <f>IF(recruitment_data3[[#This Row],[HiringDecision]]=1,"Hired","Rejected")</f>
        <v>Rejected</v>
      </c>
      <c r="P1087" s="6">
        <v>0</v>
      </c>
    </row>
    <row r="1088" spans="1:16" x14ac:dyDescent="0.25">
      <c r="A1088" s="4" t="str">
        <f t="shared" si="16"/>
        <v>C1087</v>
      </c>
      <c r="B1088" s="4">
        <v>21</v>
      </c>
      <c r="C1088" s="5" t="str">
        <f>IF(recruitment_data3[[#This Row],[Gender]]=1,"Female","Male")</f>
        <v>Female</v>
      </c>
      <c r="D1088" s="5">
        <v>1</v>
      </c>
      <c r="E1088" s="5" t="str">
        <f>_xlfn.SWITCH(recruitment_data3[[#This Row],[EducationLevel]], 1,"Bachelor Type 1", 2,"Bachelor Type 2", 3,"Masters", 4,"PhD")</f>
        <v>PhD</v>
      </c>
      <c r="F1088" s="5">
        <v>4</v>
      </c>
      <c r="G1088" s="5">
        <v>9</v>
      </c>
      <c r="H1088" s="5">
        <v>2</v>
      </c>
      <c r="I1088" s="5">
        <v>15.924654903748163</v>
      </c>
      <c r="J1088" s="5">
        <v>25</v>
      </c>
      <c r="K1088" s="5">
        <v>13</v>
      </c>
      <c r="L1088" s="5">
        <v>39</v>
      </c>
      <c r="M1088" s="5" t="str">
        <f>_xlfn.SWITCH(recruitment_data3[[#This Row],[RecruitmentStrategy]], 1,"Aggressive", 2,"Moderate", 3,"Conservative")</f>
        <v>Conservative</v>
      </c>
      <c r="N1088" s="5">
        <v>3</v>
      </c>
      <c r="O1088" s="5" t="str">
        <f>IF(recruitment_data3[[#This Row],[HiringDecision]]=1,"Hired","Rejected")</f>
        <v>Rejected</v>
      </c>
      <c r="P1088" s="6">
        <v>0</v>
      </c>
    </row>
    <row r="1089" spans="1:16" x14ac:dyDescent="0.25">
      <c r="A1089" s="4" t="str">
        <f t="shared" si="16"/>
        <v>C1088</v>
      </c>
      <c r="B1089" s="4">
        <v>37</v>
      </c>
      <c r="C1089" s="5" t="str">
        <f>IF(recruitment_data3[[#This Row],[Gender]]=1,"Female","Male")</f>
        <v>Male</v>
      </c>
      <c r="D1089" s="5">
        <v>0</v>
      </c>
      <c r="E1089" s="5" t="str">
        <f>_xlfn.SWITCH(recruitment_data3[[#This Row],[EducationLevel]], 1,"Bachelor Type 1", 2,"Bachelor Type 2", 3,"Masters", 4,"PhD")</f>
        <v>Bachelor Type 1</v>
      </c>
      <c r="F1089" s="5">
        <v>1</v>
      </c>
      <c r="G1089" s="5">
        <v>14</v>
      </c>
      <c r="H1089" s="5">
        <v>5</v>
      </c>
      <c r="I1089" s="5">
        <v>34.618092896609717</v>
      </c>
      <c r="J1089" s="5">
        <v>81</v>
      </c>
      <c r="K1089" s="5">
        <v>88</v>
      </c>
      <c r="L1089" s="5">
        <v>14</v>
      </c>
      <c r="M1089" s="5" t="str">
        <f>_xlfn.SWITCH(recruitment_data3[[#This Row],[RecruitmentStrategy]], 1,"Aggressive", 2,"Moderate", 3,"Conservative")</f>
        <v>Moderate</v>
      </c>
      <c r="N1089" s="5">
        <v>2</v>
      </c>
      <c r="O1089" s="5" t="str">
        <f>IF(recruitment_data3[[#This Row],[HiringDecision]]=1,"Hired","Rejected")</f>
        <v>Rejected</v>
      </c>
      <c r="P1089" s="6">
        <v>0</v>
      </c>
    </row>
    <row r="1090" spans="1:16" x14ac:dyDescent="0.25">
      <c r="A1090" s="4" t="str">
        <f t="shared" ref="A1090:A1153" si="17">"C"&amp;TEXT(ROW()-1,"0000")</f>
        <v>C1089</v>
      </c>
      <c r="B1090" s="4">
        <v>49</v>
      </c>
      <c r="C1090" s="5" t="str">
        <f>IF(recruitment_data3[[#This Row],[Gender]]=1,"Female","Male")</f>
        <v>Female</v>
      </c>
      <c r="D1090" s="5">
        <v>1</v>
      </c>
      <c r="E1090" s="5" t="str">
        <f>_xlfn.SWITCH(recruitment_data3[[#This Row],[EducationLevel]], 1,"Bachelor Type 1", 2,"Bachelor Type 2", 3,"Masters", 4,"PhD")</f>
        <v>PhD</v>
      </c>
      <c r="F1090" s="5">
        <v>4</v>
      </c>
      <c r="G1090" s="5">
        <v>14</v>
      </c>
      <c r="H1090" s="5">
        <v>1</v>
      </c>
      <c r="I1090" s="5">
        <v>17.438006377722498</v>
      </c>
      <c r="J1090" s="5">
        <v>91</v>
      </c>
      <c r="K1090" s="5">
        <v>71</v>
      </c>
      <c r="L1090" s="5">
        <v>80</v>
      </c>
      <c r="M1090" s="5" t="str">
        <f>_xlfn.SWITCH(recruitment_data3[[#This Row],[RecruitmentStrategy]], 1,"Aggressive", 2,"Moderate", 3,"Conservative")</f>
        <v>Aggressive</v>
      </c>
      <c r="N1090" s="5">
        <v>1</v>
      </c>
      <c r="O1090" s="5" t="str">
        <f>IF(recruitment_data3[[#This Row],[HiringDecision]]=1,"Hired","Rejected")</f>
        <v>Hired</v>
      </c>
      <c r="P1090" s="6">
        <v>1</v>
      </c>
    </row>
    <row r="1091" spans="1:16" x14ac:dyDescent="0.25">
      <c r="A1091" s="4" t="str">
        <f t="shared" si="17"/>
        <v>C1090</v>
      </c>
      <c r="B1091" s="4">
        <v>34</v>
      </c>
      <c r="C1091" s="5" t="str">
        <f>IF(recruitment_data3[[#This Row],[Gender]]=1,"Female","Male")</f>
        <v>Male</v>
      </c>
      <c r="D1091" s="5">
        <v>0</v>
      </c>
      <c r="E1091" s="5" t="str">
        <f>_xlfn.SWITCH(recruitment_data3[[#This Row],[EducationLevel]], 1,"Bachelor Type 1", 2,"Bachelor Type 2", 3,"Masters", 4,"PhD")</f>
        <v>Masters</v>
      </c>
      <c r="F1091" s="5">
        <v>3</v>
      </c>
      <c r="G1091" s="5">
        <v>14</v>
      </c>
      <c r="H1091" s="5">
        <v>2</v>
      </c>
      <c r="I1091" s="5">
        <v>14.905608377690172</v>
      </c>
      <c r="J1091" s="5">
        <v>50</v>
      </c>
      <c r="K1091" s="5">
        <v>67</v>
      </c>
      <c r="L1091" s="5">
        <v>17</v>
      </c>
      <c r="M1091" s="5" t="str">
        <f>_xlfn.SWITCH(recruitment_data3[[#This Row],[RecruitmentStrategy]], 1,"Aggressive", 2,"Moderate", 3,"Conservative")</f>
        <v>Aggressive</v>
      </c>
      <c r="N1091" s="5">
        <v>1</v>
      </c>
      <c r="O1091" s="5" t="str">
        <f>IF(recruitment_data3[[#This Row],[HiringDecision]]=1,"Hired","Rejected")</f>
        <v>Hired</v>
      </c>
      <c r="P1091" s="6">
        <v>1</v>
      </c>
    </row>
    <row r="1092" spans="1:16" x14ac:dyDescent="0.25">
      <c r="A1092" s="4" t="str">
        <f t="shared" si="17"/>
        <v>C1091</v>
      </c>
      <c r="B1092" s="4">
        <v>46</v>
      </c>
      <c r="C1092" s="5" t="str">
        <f>IF(recruitment_data3[[#This Row],[Gender]]=1,"Female","Male")</f>
        <v>Male</v>
      </c>
      <c r="D1092" s="5">
        <v>0</v>
      </c>
      <c r="E1092" s="5" t="str">
        <f>_xlfn.SWITCH(recruitment_data3[[#This Row],[EducationLevel]], 1,"Bachelor Type 1", 2,"Bachelor Type 2", 3,"Masters", 4,"PhD")</f>
        <v>Bachelor Type 1</v>
      </c>
      <c r="F1092" s="5">
        <v>1</v>
      </c>
      <c r="G1092" s="5">
        <v>6</v>
      </c>
      <c r="H1092" s="5">
        <v>4</v>
      </c>
      <c r="I1092" s="5">
        <v>10.221759529213248</v>
      </c>
      <c r="J1092" s="5">
        <v>72</v>
      </c>
      <c r="K1092" s="5">
        <v>27</v>
      </c>
      <c r="L1092" s="5">
        <v>95</v>
      </c>
      <c r="M1092" s="5" t="str">
        <f>_xlfn.SWITCH(recruitment_data3[[#This Row],[RecruitmentStrategy]], 1,"Aggressive", 2,"Moderate", 3,"Conservative")</f>
        <v>Conservative</v>
      </c>
      <c r="N1092" s="5">
        <v>3</v>
      </c>
      <c r="O1092" s="5" t="str">
        <f>IF(recruitment_data3[[#This Row],[HiringDecision]]=1,"Hired","Rejected")</f>
        <v>Rejected</v>
      </c>
      <c r="P1092" s="6">
        <v>0</v>
      </c>
    </row>
    <row r="1093" spans="1:16" x14ac:dyDescent="0.25">
      <c r="A1093" s="4" t="str">
        <f t="shared" si="17"/>
        <v>C1092</v>
      </c>
      <c r="B1093" s="4">
        <v>38</v>
      </c>
      <c r="C1093" s="5" t="str">
        <f>IF(recruitment_data3[[#This Row],[Gender]]=1,"Female","Male")</f>
        <v>Male</v>
      </c>
      <c r="D1093" s="5">
        <v>0</v>
      </c>
      <c r="E1093" s="5" t="str">
        <f>_xlfn.SWITCH(recruitment_data3[[#This Row],[EducationLevel]], 1,"Bachelor Type 1", 2,"Bachelor Type 2", 3,"Masters", 4,"PhD")</f>
        <v>Bachelor Type 2</v>
      </c>
      <c r="F1093" s="5">
        <v>2</v>
      </c>
      <c r="G1093" s="5">
        <v>6</v>
      </c>
      <c r="H1093" s="5">
        <v>5</v>
      </c>
      <c r="I1093" s="5">
        <v>25.875821343721675</v>
      </c>
      <c r="J1093" s="5">
        <v>95</v>
      </c>
      <c r="K1093" s="5">
        <v>70</v>
      </c>
      <c r="L1093" s="5">
        <v>22</v>
      </c>
      <c r="M1093" s="5" t="str">
        <f>_xlfn.SWITCH(recruitment_data3[[#This Row],[RecruitmentStrategy]], 1,"Aggressive", 2,"Moderate", 3,"Conservative")</f>
        <v>Moderate</v>
      </c>
      <c r="N1093" s="5">
        <v>2</v>
      </c>
      <c r="O1093" s="5" t="str">
        <f>IF(recruitment_data3[[#This Row],[HiringDecision]]=1,"Hired","Rejected")</f>
        <v>Rejected</v>
      </c>
      <c r="P1093" s="6">
        <v>0</v>
      </c>
    </row>
    <row r="1094" spans="1:16" x14ac:dyDescent="0.25">
      <c r="A1094" s="4" t="str">
        <f t="shared" si="17"/>
        <v>C1093</v>
      </c>
      <c r="B1094" s="4">
        <v>50</v>
      </c>
      <c r="C1094" s="5" t="str">
        <f>IF(recruitment_data3[[#This Row],[Gender]]=1,"Female","Male")</f>
        <v>Male</v>
      </c>
      <c r="D1094" s="5">
        <v>0</v>
      </c>
      <c r="E1094" s="5" t="str">
        <f>_xlfn.SWITCH(recruitment_data3[[#This Row],[EducationLevel]], 1,"Bachelor Type 1", 2,"Bachelor Type 2", 3,"Masters", 4,"PhD")</f>
        <v>Masters</v>
      </c>
      <c r="F1094" s="5">
        <v>3</v>
      </c>
      <c r="G1094" s="5">
        <v>12</v>
      </c>
      <c r="H1094" s="5">
        <v>1</v>
      </c>
      <c r="I1094" s="5">
        <v>14.797441407859379</v>
      </c>
      <c r="J1094" s="5">
        <v>52</v>
      </c>
      <c r="K1094" s="5">
        <v>9</v>
      </c>
      <c r="L1094" s="5">
        <v>61</v>
      </c>
      <c r="M1094" s="5" t="str">
        <f>_xlfn.SWITCH(recruitment_data3[[#This Row],[RecruitmentStrategy]], 1,"Aggressive", 2,"Moderate", 3,"Conservative")</f>
        <v>Conservative</v>
      </c>
      <c r="N1094" s="5">
        <v>3</v>
      </c>
      <c r="O1094" s="5" t="str">
        <f>IF(recruitment_data3[[#This Row],[HiringDecision]]=1,"Hired","Rejected")</f>
        <v>Rejected</v>
      </c>
      <c r="P1094" s="6">
        <v>0</v>
      </c>
    </row>
    <row r="1095" spans="1:16" x14ac:dyDescent="0.25">
      <c r="A1095" s="4" t="str">
        <f t="shared" si="17"/>
        <v>C1094</v>
      </c>
      <c r="B1095" s="4">
        <v>21</v>
      </c>
      <c r="C1095" s="5" t="str">
        <f>IF(recruitment_data3[[#This Row],[Gender]]=1,"Female","Male")</f>
        <v>Female</v>
      </c>
      <c r="D1095" s="5">
        <v>1</v>
      </c>
      <c r="E1095" s="5" t="str">
        <f>_xlfn.SWITCH(recruitment_data3[[#This Row],[EducationLevel]], 1,"Bachelor Type 1", 2,"Bachelor Type 2", 3,"Masters", 4,"PhD")</f>
        <v>Bachelor Type 2</v>
      </c>
      <c r="F1095" s="5">
        <v>2</v>
      </c>
      <c r="G1095" s="5">
        <v>0</v>
      </c>
      <c r="H1095" s="5">
        <v>3</v>
      </c>
      <c r="I1095" s="5">
        <v>37.550517456974156</v>
      </c>
      <c r="J1095" s="5">
        <v>55</v>
      </c>
      <c r="K1095" s="5">
        <v>56</v>
      </c>
      <c r="L1095" s="5">
        <v>45</v>
      </c>
      <c r="M1095" s="5" t="str">
        <f>_xlfn.SWITCH(recruitment_data3[[#This Row],[RecruitmentStrategy]], 1,"Aggressive", 2,"Moderate", 3,"Conservative")</f>
        <v>Aggressive</v>
      </c>
      <c r="N1095" s="5">
        <v>1</v>
      </c>
      <c r="O1095" s="5" t="str">
        <f>IF(recruitment_data3[[#This Row],[HiringDecision]]=1,"Hired","Rejected")</f>
        <v>Rejected</v>
      </c>
      <c r="P1095" s="6">
        <v>0</v>
      </c>
    </row>
    <row r="1096" spans="1:16" x14ac:dyDescent="0.25">
      <c r="A1096" s="4" t="str">
        <f t="shared" si="17"/>
        <v>C1095</v>
      </c>
      <c r="B1096" s="4">
        <v>39</v>
      </c>
      <c r="C1096" s="5" t="str">
        <f>IF(recruitment_data3[[#This Row],[Gender]]=1,"Female","Male")</f>
        <v>Male</v>
      </c>
      <c r="D1096" s="5">
        <v>0</v>
      </c>
      <c r="E1096" s="5" t="str">
        <f>_xlfn.SWITCH(recruitment_data3[[#This Row],[EducationLevel]], 1,"Bachelor Type 1", 2,"Bachelor Type 2", 3,"Masters", 4,"PhD")</f>
        <v>PhD</v>
      </c>
      <c r="F1096" s="5">
        <v>4</v>
      </c>
      <c r="G1096" s="5">
        <v>15</v>
      </c>
      <c r="H1096" s="5">
        <v>1</v>
      </c>
      <c r="I1096" s="5">
        <v>4.8311200996101356</v>
      </c>
      <c r="J1096" s="5">
        <v>58</v>
      </c>
      <c r="K1096" s="5">
        <v>99</v>
      </c>
      <c r="L1096" s="5">
        <v>86</v>
      </c>
      <c r="M1096" s="5" t="str">
        <f>_xlfn.SWITCH(recruitment_data3[[#This Row],[RecruitmentStrategy]], 1,"Aggressive", 2,"Moderate", 3,"Conservative")</f>
        <v>Aggressive</v>
      </c>
      <c r="N1096" s="5">
        <v>1</v>
      </c>
      <c r="O1096" s="5" t="str">
        <f>IF(recruitment_data3[[#This Row],[HiringDecision]]=1,"Hired","Rejected")</f>
        <v>Hired</v>
      </c>
      <c r="P1096" s="6">
        <v>1</v>
      </c>
    </row>
    <row r="1097" spans="1:16" x14ac:dyDescent="0.25">
      <c r="A1097" s="4" t="str">
        <f t="shared" si="17"/>
        <v>C1096</v>
      </c>
      <c r="B1097" s="4">
        <v>44</v>
      </c>
      <c r="C1097" s="5" t="str">
        <f>IF(recruitment_data3[[#This Row],[Gender]]=1,"Female","Male")</f>
        <v>Male</v>
      </c>
      <c r="D1097" s="5">
        <v>0</v>
      </c>
      <c r="E1097" s="5" t="str">
        <f>_xlfn.SWITCH(recruitment_data3[[#This Row],[EducationLevel]], 1,"Bachelor Type 1", 2,"Bachelor Type 2", 3,"Masters", 4,"PhD")</f>
        <v>PhD</v>
      </c>
      <c r="F1097" s="5">
        <v>4</v>
      </c>
      <c r="G1097" s="5">
        <v>8</v>
      </c>
      <c r="H1097" s="5">
        <v>3</v>
      </c>
      <c r="I1097" s="5">
        <v>34.201651655565875</v>
      </c>
      <c r="J1097" s="5">
        <v>69</v>
      </c>
      <c r="K1097" s="5">
        <v>65</v>
      </c>
      <c r="L1097" s="5">
        <v>98</v>
      </c>
      <c r="M1097" s="5" t="str">
        <f>_xlfn.SWITCH(recruitment_data3[[#This Row],[RecruitmentStrategy]], 1,"Aggressive", 2,"Moderate", 3,"Conservative")</f>
        <v>Aggressive</v>
      </c>
      <c r="N1097" s="5">
        <v>1</v>
      </c>
      <c r="O1097" s="5" t="str">
        <f>IF(recruitment_data3[[#This Row],[HiringDecision]]=1,"Hired","Rejected")</f>
        <v>Hired</v>
      </c>
      <c r="P1097" s="6">
        <v>1</v>
      </c>
    </row>
    <row r="1098" spans="1:16" x14ac:dyDescent="0.25">
      <c r="A1098" s="4" t="str">
        <f t="shared" si="17"/>
        <v>C1097</v>
      </c>
      <c r="B1098" s="4">
        <v>25</v>
      </c>
      <c r="C1098" s="5" t="str">
        <f>IF(recruitment_data3[[#This Row],[Gender]]=1,"Female","Male")</f>
        <v>Female</v>
      </c>
      <c r="D1098" s="5">
        <v>1</v>
      </c>
      <c r="E1098" s="5" t="str">
        <f>_xlfn.SWITCH(recruitment_data3[[#This Row],[EducationLevel]], 1,"Bachelor Type 1", 2,"Bachelor Type 2", 3,"Masters", 4,"PhD")</f>
        <v>Bachelor Type 2</v>
      </c>
      <c r="F1098" s="5">
        <v>2</v>
      </c>
      <c r="G1098" s="5">
        <v>7</v>
      </c>
      <c r="H1098" s="5">
        <v>5</v>
      </c>
      <c r="I1098" s="5">
        <v>12.878000728388493</v>
      </c>
      <c r="J1098" s="5">
        <v>77</v>
      </c>
      <c r="K1098" s="5">
        <v>89</v>
      </c>
      <c r="L1098" s="5">
        <v>38</v>
      </c>
      <c r="M1098" s="5" t="str">
        <f>_xlfn.SWITCH(recruitment_data3[[#This Row],[RecruitmentStrategy]], 1,"Aggressive", 2,"Moderate", 3,"Conservative")</f>
        <v>Moderate</v>
      </c>
      <c r="N1098" s="5">
        <v>2</v>
      </c>
      <c r="O1098" s="5" t="str">
        <f>IF(recruitment_data3[[#This Row],[HiringDecision]]=1,"Hired","Rejected")</f>
        <v>Rejected</v>
      </c>
      <c r="P1098" s="6">
        <v>0</v>
      </c>
    </row>
    <row r="1099" spans="1:16" x14ac:dyDescent="0.25">
      <c r="A1099" s="4" t="str">
        <f t="shared" si="17"/>
        <v>C1098</v>
      </c>
      <c r="B1099" s="4">
        <v>20</v>
      </c>
      <c r="C1099" s="5" t="str">
        <f>IF(recruitment_data3[[#This Row],[Gender]]=1,"Female","Male")</f>
        <v>Female</v>
      </c>
      <c r="D1099" s="5">
        <v>1</v>
      </c>
      <c r="E1099" s="5" t="str">
        <f>_xlfn.SWITCH(recruitment_data3[[#This Row],[EducationLevel]], 1,"Bachelor Type 1", 2,"Bachelor Type 2", 3,"Masters", 4,"PhD")</f>
        <v>Bachelor Type 2</v>
      </c>
      <c r="F1099" s="5">
        <v>2</v>
      </c>
      <c r="G1099" s="5">
        <v>3</v>
      </c>
      <c r="H1099" s="5">
        <v>3</v>
      </c>
      <c r="I1099" s="5">
        <v>25.463963052580155</v>
      </c>
      <c r="J1099" s="5">
        <v>91</v>
      </c>
      <c r="K1099" s="5">
        <v>49</v>
      </c>
      <c r="L1099" s="5">
        <v>14</v>
      </c>
      <c r="M1099" s="5" t="str">
        <f>_xlfn.SWITCH(recruitment_data3[[#This Row],[RecruitmentStrategy]], 1,"Aggressive", 2,"Moderate", 3,"Conservative")</f>
        <v>Moderate</v>
      </c>
      <c r="N1099" s="5">
        <v>2</v>
      </c>
      <c r="O1099" s="5" t="str">
        <f>IF(recruitment_data3[[#This Row],[HiringDecision]]=1,"Hired","Rejected")</f>
        <v>Rejected</v>
      </c>
      <c r="P1099" s="6">
        <v>0</v>
      </c>
    </row>
    <row r="1100" spans="1:16" x14ac:dyDescent="0.25">
      <c r="A1100" s="4" t="str">
        <f t="shared" si="17"/>
        <v>C1099</v>
      </c>
      <c r="B1100" s="4">
        <v>43</v>
      </c>
      <c r="C1100" s="5" t="str">
        <f>IF(recruitment_data3[[#This Row],[Gender]]=1,"Female","Male")</f>
        <v>Male</v>
      </c>
      <c r="D1100" s="5">
        <v>0</v>
      </c>
      <c r="E1100" s="5" t="str">
        <f>_xlfn.SWITCH(recruitment_data3[[#This Row],[EducationLevel]], 1,"Bachelor Type 1", 2,"Bachelor Type 2", 3,"Masters", 4,"PhD")</f>
        <v>PhD</v>
      </c>
      <c r="F1100" s="5">
        <v>4</v>
      </c>
      <c r="G1100" s="5">
        <v>9</v>
      </c>
      <c r="H1100" s="5">
        <v>4</v>
      </c>
      <c r="I1100" s="5">
        <v>15.30449610156303</v>
      </c>
      <c r="J1100" s="5">
        <v>57</v>
      </c>
      <c r="K1100" s="5">
        <v>13</v>
      </c>
      <c r="L1100" s="5">
        <v>52</v>
      </c>
      <c r="M1100" s="5" t="str">
        <f>_xlfn.SWITCH(recruitment_data3[[#This Row],[RecruitmentStrategy]], 1,"Aggressive", 2,"Moderate", 3,"Conservative")</f>
        <v>Aggressive</v>
      </c>
      <c r="N1100" s="5">
        <v>1</v>
      </c>
      <c r="O1100" s="5" t="str">
        <f>IF(recruitment_data3[[#This Row],[HiringDecision]]=1,"Hired","Rejected")</f>
        <v>Hired</v>
      </c>
      <c r="P1100" s="6">
        <v>1</v>
      </c>
    </row>
    <row r="1101" spans="1:16" x14ac:dyDescent="0.25">
      <c r="A1101" s="4" t="str">
        <f t="shared" si="17"/>
        <v>C1100</v>
      </c>
      <c r="B1101" s="4">
        <v>34</v>
      </c>
      <c r="C1101" s="5" t="str">
        <f>IF(recruitment_data3[[#This Row],[Gender]]=1,"Female","Male")</f>
        <v>Female</v>
      </c>
      <c r="D1101" s="5">
        <v>1</v>
      </c>
      <c r="E1101" s="5" t="str">
        <f>_xlfn.SWITCH(recruitment_data3[[#This Row],[EducationLevel]], 1,"Bachelor Type 1", 2,"Bachelor Type 2", 3,"Masters", 4,"PhD")</f>
        <v>Bachelor Type 2</v>
      </c>
      <c r="F1101" s="5">
        <v>2</v>
      </c>
      <c r="G1101" s="5">
        <v>10</v>
      </c>
      <c r="H1101" s="5">
        <v>3</v>
      </c>
      <c r="I1101" s="5">
        <v>37.138433800539779</v>
      </c>
      <c r="J1101" s="5">
        <v>87</v>
      </c>
      <c r="K1101" s="5">
        <v>15</v>
      </c>
      <c r="L1101" s="5">
        <v>87</v>
      </c>
      <c r="M1101" s="5" t="str">
        <f>_xlfn.SWITCH(recruitment_data3[[#This Row],[RecruitmentStrategy]], 1,"Aggressive", 2,"Moderate", 3,"Conservative")</f>
        <v>Moderate</v>
      </c>
      <c r="N1101" s="5">
        <v>2</v>
      </c>
      <c r="O1101" s="5" t="str">
        <f>IF(recruitment_data3[[#This Row],[HiringDecision]]=1,"Hired","Rejected")</f>
        <v>Rejected</v>
      </c>
      <c r="P1101" s="6">
        <v>0</v>
      </c>
    </row>
    <row r="1102" spans="1:16" x14ac:dyDescent="0.25">
      <c r="A1102" s="4" t="str">
        <f t="shared" si="17"/>
        <v>C1101</v>
      </c>
      <c r="B1102" s="4">
        <v>47</v>
      </c>
      <c r="C1102" s="5" t="str">
        <f>IF(recruitment_data3[[#This Row],[Gender]]=1,"Female","Male")</f>
        <v>Male</v>
      </c>
      <c r="D1102" s="5">
        <v>0</v>
      </c>
      <c r="E1102" s="5" t="str">
        <f>_xlfn.SWITCH(recruitment_data3[[#This Row],[EducationLevel]], 1,"Bachelor Type 1", 2,"Bachelor Type 2", 3,"Masters", 4,"PhD")</f>
        <v>Bachelor Type 1</v>
      </c>
      <c r="F1102" s="5">
        <v>1</v>
      </c>
      <c r="G1102" s="5">
        <v>4</v>
      </c>
      <c r="H1102" s="5">
        <v>4</v>
      </c>
      <c r="I1102" s="5">
        <v>48.265352012581836</v>
      </c>
      <c r="J1102" s="5">
        <v>12</v>
      </c>
      <c r="K1102" s="5">
        <v>53</v>
      </c>
      <c r="L1102" s="5">
        <v>63</v>
      </c>
      <c r="M1102" s="5" t="str">
        <f>_xlfn.SWITCH(recruitment_data3[[#This Row],[RecruitmentStrategy]], 1,"Aggressive", 2,"Moderate", 3,"Conservative")</f>
        <v>Moderate</v>
      </c>
      <c r="N1102" s="5">
        <v>2</v>
      </c>
      <c r="O1102" s="5" t="str">
        <f>IF(recruitment_data3[[#This Row],[HiringDecision]]=1,"Hired","Rejected")</f>
        <v>Rejected</v>
      </c>
      <c r="P1102" s="6">
        <v>0</v>
      </c>
    </row>
    <row r="1103" spans="1:16" x14ac:dyDescent="0.25">
      <c r="A1103" s="4" t="str">
        <f t="shared" si="17"/>
        <v>C1102</v>
      </c>
      <c r="B1103" s="4">
        <v>49</v>
      </c>
      <c r="C1103" s="5" t="str">
        <f>IF(recruitment_data3[[#This Row],[Gender]]=1,"Female","Male")</f>
        <v>Male</v>
      </c>
      <c r="D1103" s="5">
        <v>0</v>
      </c>
      <c r="E1103" s="5" t="str">
        <f>_xlfn.SWITCH(recruitment_data3[[#This Row],[EducationLevel]], 1,"Bachelor Type 1", 2,"Bachelor Type 2", 3,"Masters", 4,"PhD")</f>
        <v>Bachelor Type 1</v>
      </c>
      <c r="F1103" s="5">
        <v>1</v>
      </c>
      <c r="G1103" s="5">
        <v>1</v>
      </c>
      <c r="H1103" s="5">
        <v>5</v>
      </c>
      <c r="I1103" s="5">
        <v>46.85383897349066</v>
      </c>
      <c r="J1103" s="5">
        <v>42</v>
      </c>
      <c r="K1103" s="5">
        <v>42</v>
      </c>
      <c r="L1103" s="5">
        <v>62</v>
      </c>
      <c r="M1103" s="5" t="str">
        <f>_xlfn.SWITCH(recruitment_data3[[#This Row],[RecruitmentStrategy]], 1,"Aggressive", 2,"Moderate", 3,"Conservative")</f>
        <v>Aggressive</v>
      </c>
      <c r="N1103" s="5">
        <v>1</v>
      </c>
      <c r="O1103" s="5" t="str">
        <f>IF(recruitment_data3[[#This Row],[HiringDecision]]=1,"Hired","Rejected")</f>
        <v>Rejected</v>
      </c>
      <c r="P1103" s="6">
        <v>0</v>
      </c>
    </row>
    <row r="1104" spans="1:16" x14ac:dyDescent="0.25">
      <c r="A1104" s="4" t="str">
        <f t="shared" si="17"/>
        <v>C1103</v>
      </c>
      <c r="B1104" s="4">
        <v>42</v>
      </c>
      <c r="C1104" s="5" t="str">
        <f>IF(recruitment_data3[[#This Row],[Gender]]=1,"Female","Male")</f>
        <v>Male</v>
      </c>
      <c r="D1104" s="5">
        <v>0</v>
      </c>
      <c r="E1104" s="5" t="str">
        <f>_xlfn.SWITCH(recruitment_data3[[#This Row],[EducationLevel]], 1,"Bachelor Type 1", 2,"Bachelor Type 2", 3,"Masters", 4,"PhD")</f>
        <v>Bachelor Type 2</v>
      </c>
      <c r="F1104" s="5">
        <v>2</v>
      </c>
      <c r="G1104" s="5">
        <v>12</v>
      </c>
      <c r="H1104" s="5">
        <v>5</v>
      </c>
      <c r="I1104" s="5">
        <v>30.171310757204555</v>
      </c>
      <c r="J1104" s="5">
        <v>75</v>
      </c>
      <c r="K1104" s="5">
        <v>41</v>
      </c>
      <c r="L1104" s="5">
        <v>91</v>
      </c>
      <c r="M1104" s="5" t="str">
        <f>_xlfn.SWITCH(recruitment_data3[[#This Row],[RecruitmentStrategy]], 1,"Aggressive", 2,"Moderate", 3,"Conservative")</f>
        <v>Moderate</v>
      </c>
      <c r="N1104" s="5">
        <v>2</v>
      </c>
      <c r="O1104" s="5" t="str">
        <f>IF(recruitment_data3[[#This Row],[HiringDecision]]=1,"Hired","Rejected")</f>
        <v>Rejected</v>
      </c>
      <c r="P1104" s="6">
        <v>0</v>
      </c>
    </row>
    <row r="1105" spans="1:16" x14ac:dyDescent="0.25">
      <c r="A1105" s="4" t="str">
        <f t="shared" si="17"/>
        <v>C1104</v>
      </c>
      <c r="B1105" s="4">
        <v>29</v>
      </c>
      <c r="C1105" s="5" t="str">
        <f>IF(recruitment_data3[[#This Row],[Gender]]=1,"Female","Male")</f>
        <v>Male</v>
      </c>
      <c r="D1105" s="5">
        <v>0</v>
      </c>
      <c r="E1105" s="5" t="str">
        <f>_xlfn.SWITCH(recruitment_data3[[#This Row],[EducationLevel]], 1,"Bachelor Type 1", 2,"Bachelor Type 2", 3,"Masters", 4,"PhD")</f>
        <v>PhD</v>
      </c>
      <c r="F1105" s="5">
        <v>4</v>
      </c>
      <c r="G1105" s="5">
        <v>15</v>
      </c>
      <c r="H1105" s="5">
        <v>1</v>
      </c>
      <c r="I1105" s="5">
        <v>24.130515162848919</v>
      </c>
      <c r="J1105" s="5">
        <v>50</v>
      </c>
      <c r="K1105" s="5">
        <v>80</v>
      </c>
      <c r="L1105" s="5">
        <v>79</v>
      </c>
      <c r="M1105" s="5" t="str">
        <f>_xlfn.SWITCH(recruitment_data3[[#This Row],[RecruitmentStrategy]], 1,"Aggressive", 2,"Moderate", 3,"Conservative")</f>
        <v>Moderate</v>
      </c>
      <c r="N1105" s="5">
        <v>2</v>
      </c>
      <c r="O1105" s="5" t="str">
        <f>IF(recruitment_data3[[#This Row],[HiringDecision]]=1,"Hired","Rejected")</f>
        <v>Hired</v>
      </c>
      <c r="P1105" s="6">
        <v>1</v>
      </c>
    </row>
    <row r="1106" spans="1:16" x14ac:dyDescent="0.25">
      <c r="A1106" s="4" t="str">
        <f t="shared" si="17"/>
        <v>C1105</v>
      </c>
      <c r="B1106" s="4">
        <v>38</v>
      </c>
      <c r="C1106" s="5" t="str">
        <f>IF(recruitment_data3[[#This Row],[Gender]]=1,"Female","Male")</f>
        <v>Female</v>
      </c>
      <c r="D1106" s="5">
        <v>1</v>
      </c>
      <c r="E1106" s="5" t="str">
        <f>_xlfn.SWITCH(recruitment_data3[[#This Row],[EducationLevel]], 1,"Bachelor Type 1", 2,"Bachelor Type 2", 3,"Masters", 4,"PhD")</f>
        <v>Masters</v>
      </c>
      <c r="F1106" s="5">
        <v>3</v>
      </c>
      <c r="G1106" s="5">
        <v>8</v>
      </c>
      <c r="H1106" s="5">
        <v>4</v>
      </c>
      <c r="I1106" s="5">
        <v>41.915025471969088</v>
      </c>
      <c r="J1106" s="5">
        <v>18</v>
      </c>
      <c r="K1106" s="5">
        <v>21</v>
      </c>
      <c r="L1106" s="5">
        <v>15</v>
      </c>
      <c r="M1106" s="5" t="str">
        <f>_xlfn.SWITCH(recruitment_data3[[#This Row],[RecruitmentStrategy]], 1,"Aggressive", 2,"Moderate", 3,"Conservative")</f>
        <v>Aggressive</v>
      </c>
      <c r="N1106" s="5">
        <v>1</v>
      </c>
      <c r="O1106" s="5" t="str">
        <f>IF(recruitment_data3[[#This Row],[HiringDecision]]=1,"Hired","Rejected")</f>
        <v>Hired</v>
      </c>
      <c r="P1106" s="6">
        <v>1</v>
      </c>
    </row>
    <row r="1107" spans="1:16" x14ac:dyDescent="0.25">
      <c r="A1107" s="4" t="str">
        <f t="shared" si="17"/>
        <v>C1106</v>
      </c>
      <c r="B1107" s="4">
        <v>36</v>
      </c>
      <c r="C1107" s="5" t="str">
        <f>IF(recruitment_data3[[#This Row],[Gender]]=1,"Female","Male")</f>
        <v>Male</v>
      </c>
      <c r="D1107" s="5">
        <v>0</v>
      </c>
      <c r="E1107" s="5" t="str">
        <f>_xlfn.SWITCH(recruitment_data3[[#This Row],[EducationLevel]], 1,"Bachelor Type 1", 2,"Bachelor Type 2", 3,"Masters", 4,"PhD")</f>
        <v>Bachelor Type 2</v>
      </c>
      <c r="F1107" s="5">
        <v>2</v>
      </c>
      <c r="G1107" s="5">
        <v>14</v>
      </c>
      <c r="H1107" s="5">
        <v>4</v>
      </c>
      <c r="I1107" s="5">
        <v>35.166318131386497</v>
      </c>
      <c r="J1107" s="5">
        <v>20</v>
      </c>
      <c r="K1107" s="5">
        <v>67</v>
      </c>
      <c r="L1107" s="5">
        <v>69</v>
      </c>
      <c r="M1107" s="5" t="str">
        <f>_xlfn.SWITCH(recruitment_data3[[#This Row],[RecruitmentStrategy]], 1,"Aggressive", 2,"Moderate", 3,"Conservative")</f>
        <v>Aggressive</v>
      </c>
      <c r="N1107" s="5">
        <v>1</v>
      </c>
      <c r="O1107" s="5" t="str">
        <f>IF(recruitment_data3[[#This Row],[HiringDecision]]=1,"Hired","Rejected")</f>
        <v>Hired</v>
      </c>
      <c r="P1107" s="6">
        <v>1</v>
      </c>
    </row>
    <row r="1108" spans="1:16" x14ac:dyDescent="0.25">
      <c r="A1108" s="4" t="str">
        <f t="shared" si="17"/>
        <v>C1107</v>
      </c>
      <c r="B1108" s="4">
        <v>24</v>
      </c>
      <c r="C1108" s="5" t="str">
        <f>IF(recruitment_data3[[#This Row],[Gender]]=1,"Female","Male")</f>
        <v>Female</v>
      </c>
      <c r="D1108" s="5">
        <v>1</v>
      </c>
      <c r="E1108" s="5" t="str">
        <f>_xlfn.SWITCH(recruitment_data3[[#This Row],[EducationLevel]], 1,"Bachelor Type 1", 2,"Bachelor Type 2", 3,"Masters", 4,"PhD")</f>
        <v>Bachelor Type 1</v>
      </c>
      <c r="F1108" s="5">
        <v>1</v>
      </c>
      <c r="G1108" s="5">
        <v>11</v>
      </c>
      <c r="H1108" s="5">
        <v>2</v>
      </c>
      <c r="I1108" s="5">
        <v>10.178205710846644</v>
      </c>
      <c r="J1108" s="5">
        <v>90</v>
      </c>
      <c r="K1108" s="5">
        <v>18</v>
      </c>
      <c r="L1108" s="5">
        <v>65</v>
      </c>
      <c r="M1108" s="5" t="str">
        <f>_xlfn.SWITCH(recruitment_data3[[#This Row],[RecruitmentStrategy]], 1,"Aggressive", 2,"Moderate", 3,"Conservative")</f>
        <v>Moderate</v>
      </c>
      <c r="N1108" s="5">
        <v>2</v>
      </c>
      <c r="O1108" s="5" t="str">
        <f>IF(recruitment_data3[[#This Row],[HiringDecision]]=1,"Hired","Rejected")</f>
        <v>Rejected</v>
      </c>
      <c r="P1108" s="6">
        <v>0</v>
      </c>
    </row>
    <row r="1109" spans="1:16" x14ac:dyDescent="0.25">
      <c r="A1109" s="4" t="str">
        <f t="shared" si="17"/>
        <v>C1108</v>
      </c>
      <c r="B1109" s="4">
        <v>48</v>
      </c>
      <c r="C1109" s="5" t="str">
        <f>IF(recruitment_data3[[#This Row],[Gender]]=1,"Female","Male")</f>
        <v>Female</v>
      </c>
      <c r="D1109" s="5">
        <v>1</v>
      </c>
      <c r="E1109" s="5" t="str">
        <f>_xlfn.SWITCH(recruitment_data3[[#This Row],[EducationLevel]], 1,"Bachelor Type 1", 2,"Bachelor Type 2", 3,"Masters", 4,"PhD")</f>
        <v>Bachelor Type 2</v>
      </c>
      <c r="F1109" s="5">
        <v>2</v>
      </c>
      <c r="G1109" s="5">
        <v>11</v>
      </c>
      <c r="H1109" s="5">
        <v>2</v>
      </c>
      <c r="I1109" s="5">
        <v>42.045960680650012</v>
      </c>
      <c r="J1109" s="5">
        <v>82</v>
      </c>
      <c r="K1109" s="5">
        <v>65</v>
      </c>
      <c r="L1109" s="5">
        <v>12</v>
      </c>
      <c r="M1109" s="5" t="str">
        <f>_xlfn.SWITCH(recruitment_data3[[#This Row],[RecruitmentStrategy]], 1,"Aggressive", 2,"Moderate", 3,"Conservative")</f>
        <v>Moderate</v>
      </c>
      <c r="N1109" s="5">
        <v>2</v>
      </c>
      <c r="O1109" s="5" t="str">
        <f>IF(recruitment_data3[[#This Row],[HiringDecision]]=1,"Hired","Rejected")</f>
        <v>Rejected</v>
      </c>
      <c r="P1109" s="6">
        <v>0</v>
      </c>
    </row>
    <row r="1110" spans="1:16" x14ac:dyDescent="0.25">
      <c r="A1110" s="4" t="str">
        <f t="shared" si="17"/>
        <v>C1109</v>
      </c>
      <c r="B1110" s="4">
        <v>23</v>
      </c>
      <c r="C1110" s="5" t="str">
        <f>IF(recruitment_data3[[#This Row],[Gender]]=1,"Female","Male")</f>
        <v>Female</v>
      </c>
      <c r="D1110" s="5">
        <v>1</v>
      </c>
      <c r="E1110" s="5" t="str">
        <f>_xlfn.SWITCH(recruitment_data3[[#This Row],[EducationLevel]], 1,"Bachelor Type 1", 2,"Bachelor Type 2", 3,"Masters", 4,"PhD")</f>
        <v>Masters</v>
      </c>
      <c r="F1110" s="5">
        <v>3</v>
      </c>
      <c r="G1110" s="5">
        <v>5</v>
      </c>
      <c r="H1110" s="5">
        <v>2</v>
      </c>
      <c r="I1110" s="5">
        <v>22.444219469735508</v>
      </c>
      <c r="J1110" s="5">
        <v>23</v>
      </c>
      <c r="K1110" s="5">
        <v>38</v>
      </c>
      <c r="L1110" s="5">
        <v>46</v>
      </c>
      <c r="M1110" s="5" t="str">
        <f>_xlfn.SWITCH(recruitment_data3[[#This Row],[RecruitmentStrategy]], 1,"Aggressive", 2,"Moderate", 3,"Conservative")</f>
        <v>Conservative</v>
      </c>
      <c r="N1110" s="5">
        <v>3</v>
      </c>
      <c r="O1110" s="5" t="str">
        <f>IF(recruitment_data3[[#This Row],[HiringDecision]]=1,"Hired","Rejected")</f>
        <v>Rejected</v>
      </c>
      <c r="P1110" s="6">
        <v>0</v>
      </c>
    </row>
    <row r="1111" spans="1:16" x14ac:dyDescent="0.25">
      <c r="A1111" s="4" t="str">
        <f t="shared" si="17"/>
        <v>C1110</v>
      </c>
      <c r="B1111" s="4">
        <v>29</v>
      </c>
      <c r="C1111" s="5" t="str">
        <f>IF(recruitment_data3[[#This Row],[Gender]]=1,"Female","Male")</f>
        <v>Female</v>
      </c>
      <c r="D1111" s="5">
        <v>1</v>
      </c>
      <c r="E1111" s="5" t="str">
        <f>_xlfn.SWITCH(recruitment_data3[[#This Row],[EducationLevel]], 1,"Bachelor Type 1", 2,"Bachelor Type 2", 3,"Masters", 4,"PhD")</f>
        <v>Bachelor Type 1</v>
      </c>
      <c r="F1111" s="5">
        <v>1</v>
      </c>
      <c r="G1111" s="5">
        <v>2</v>
      </c>
      <c r="H1111" s="5">
        <v>3</v>
      </c>
      <c r="I1111" s="5">
        <v>10.449282998558756</v>
      </c>
      <c r="J1111" s="5">
        <v>25</v>
      </c>
      <c r="K1111" s="5">
        <v>72</v>
      </c>
      <c r="L1111" s="5">
        <v>8</v>
      </c>
      <c r="M1111" s="5" t="str">
        <f>_xlfn.SWITCH(recruitment_data3[[#This Row],[RecruitmentStrategy]], 1,"Aggressive", 2,"Moderate", 3,"Conservative")</f>
        <v>Moderate</v>
      </c>
      <c r="N1111" s="5">
        <v>2</v>
      </c>
      <c r="O1111" s="5" t="str">
        <f>IF(recruitment_data3[[#This Row],[HiringDecision]]=1,"Hired","Rejected")</f>
        <v>Rejected</v>
      </c>
      <c r="P1111" s="6">
        <v>0</v>
      </c>
    </row>
    <row r="1112" spans="1:16" x14ac:dyDescent="0.25">
      <c r="A1112" s="4" t="str">
        <f t="shared" si="17"/>
        <v>C1111</v>
      </c>
      <c r="B1112" s="4">
        <v>43</v>
      </c>
      <c r="C1112" s="5" t="str">
        <f>IF(recruitment_data3[[#This Row],[Gender]]=1,"Female","Male")</f>
        <v>Male</v>
      </c>
      <c r="D1112" s="5">
        <v>0</v>
      </c>
      <c r="E1112" s="5" t="str">
        <f>_xlfn.SWITCH(recruitment_data3[[#This Row],[EducationLevel]], 1,"Bachelor Type 1", 2,"Bachelor Type 2", 3,"Masters", 4,"PhD")</f>
        <v>Bachelor Type 2</v>
      </c>
      <c r="F1112" s="5">
        <v>2</v>
      </c>
      <c r="G1112" s="5">
        <v>11</v>
      </c>
      <c r="H1112" s="5">
        <v>2</v>
      </c>
      <c r="I1112" s="5">
        <v>15.089867519824622</v>
      </c>
      <c r="J1112" s="5">
        <v>44</v>
      </c>
      <c r="K1112" s="5">
        <v>18</v>
      </c>
      <c r="L1112" s="5">
        <v>62</v>
      </c>
      <c r="M1112" s="5" t="str">
        <f>_xlfn.SWITCH(recruitment_data3[[#This Row],[RecruitmentStrategy]], 1,"Aggressive", 2,"Moderate", 3,"Conservative")</f>
        <v>Aggressive</v>
      </c>
      <c r="N1112" s="5">
        <v>1</v>
      </c>
      <c r="O1112" s="5" t="str">
        <f>IF(recruitment_data3[[#This Row],[HiringDecision]]=1,"Hired","Rejected")</f>
        <v>Hired</v>
      </c>
      <c r="P1112" s="6">
        <v>1</v>
      </c>
    </row>
    <row r="1113" spans="1:16" x14ac:dyDescent="0.25">
      <c r="A1113" s="4" t="str">
        <f t="shared" si="17"/>
        <v>C1112</v>
      </c>
      <c r="B1113" s="4">
        <v>36</v>
      </c>
      <c r="C1113" s="5" t="str">
        <f>IF(recruitment_data3[[#This Row],[Gender]]=1,"Female","Male")</f>
        <v>Female</v>
      </c>
      <c r="D1113" s="5">
        <v>1</v>
      </c>
      <c r="E1113" s="5" t="str">
        <f>_xlfn.SWITCH(recruitment_data3[[#This Row],[EducationLevel]], 1,"Bachelor Type 1", 2,"Bachelor Type 2", 3,"Masters", 4,"PhD")</f>
        <v>Bachelor Type 1</v>
      </c>
      <c r="F1113" s="5">
        <v>1</v>
      </c>
      <c r="G1113" s="5">
        <v>6</v>
      </c>
      <c r="H1113" s="5">
        <v>4</v>
      </c>
      <c r="I1113" s="5">
        <v>14.376351512417116</v>
      </c>
      <c r="J1113" s="5">
        <v>27</v>
      </c>
      <c r="K1113" s="5">
        <v>15</v>
      </c>
      <c r="L1113" s="5">
        <v>33</v>
      </c>
      <c r="M1113" s="5" t="str">
        <f>_xlfn.SWITCH(recruitment_data3[[#This Row],[RecruitmentStrategy]], 1,"Aggressive", 2,"Moderate", 3,"Conservative")</f>
        <v>Conservative</v>
      </c>
      <c r="N1113" s="5">
        <v>3</v>
      </c>
      <c r="O1113" s="5" t="str">
        <f>IF(recruitment_data3[[#This Row],[HiringDecision]]=1,"Hired","Rejected")</f>
        <v>Rejected</v>
      </c>
      <c r="P1113" s="6">
        <v>0</v>
      </c>
    </row>
    <row r="1114" spans="1:16" x14ac:dyDescent="0.25">
      <c r="A1114" s="4" t="str">
        <f t="shared" si="17"/>
        <v>C1113</v>
      </c>
      <c r="B1114" s="4">
        <v>29</v>
      </c>
      <c r="C1114" s="5" t="str">
        <f>IF(recruitment_data3[[#This Row],[Gender]]=1,"Female","Male")</f>
        <v>Male</v>
      </c>
      <c r="D1114" s="5">
        <v>0</v>
      </c>
      <c r="E1114" s="5" t="str">
        <f>_xlfn.SWITCH(recruitment_data3[[#This Row],[EducationLevel]], 1,"Bachelor Type 1", 2,"Bachelor Type 2", 3,"Masters", 4,"PhD")</f>
        <v>Bachelor Type 2</v>
      </c>
      <c r="F1114" s="5">
        <v>2</v>
      </c>
      <c r="G1114" s="5">
        <v>8</v>
      </c>
      <c r="H1114" s="5">
        <v>3</v>
      </c>
      <c r="I1114" s="5">
        <v>26.960348730173006</v>
      </c>
      <c r="J1114" s="5">
        <v>81</v>
      </c>
      <c r="K1114" s="5">
        <v>53</v>
      </c>
      <c r="L1114" s="5">
        <v>80</v>
      </c>
      <c r="M1114" s="5" t="str">
        <f>_xlfn.SWITCH(recruitment_data3[[#This Row],[RecruitmentStrategy]], 1,"Aggressive", 2,"Moderate", 3,"Conservative")</f>
        <v>Conservative</v>
      </c>
      <c r="N1114" s="5">
        <v>3</v>
      </c>
      <c r="O1114" s="5" t="str">
        <f>IF(recruitment_data3[[#This Row],[HiringDecision]]=1,"Hired","Rejected")</f>
        <v>Hired</v>
      </c>
      <c r="P1114" s="6">
        <v>1</v>
      </c>
    </row>
    <row r="1115" spans="1:16" x14ac:dyDescent="0.25">
      <c r="A1115" s="4" t="str">
        <f t="shared" si="17"/>
        <v>C1114</v>
      </c>
      <c r="B1115" s="4">
        <v>36</v>
      </c>
      <c r="C1115" s="5" t="str">
        <f>IF(recruitment_data3[[#This Row],[Gender]]=1,"Female","Male")</f>
        <v>Female</v>
      </c>
      <c r="D1115" s="5">
        <v>1</v>
      </c>
      <c r="E1115" s="5" t="str">
        <f>_xlfn.SWITCH(recruitment_data3[[#This Row],[EducationLevel]], 1,"Bachelor Type 1", 2,"Bachelor Type 2", 3,"Masters", 4,"PhD")</f>
        <v>PhD</v>
      </c>
      <c r="F1115" s="5">
        <v>4</v>
      </c>
      <c r="G1115" s="5">
        <v>2</v>
      </c>
      <c r="H1115" s="5">
        <v>5</v>
      </c>
      <c r="I1115" s="5">
        <v>12.718504533893775</v>
      </c>
      <c r="J1115" s="5">
        <v>99</v>
      </c>
      <c r="K1115" s="5">
        <v>24</v>
      </c>
      <c r="L1115" s="5">
        <v>90</v>
      </c>
      <c r="M1115" s="5" t="str">
        <f>_xlfn.SWITCH(recruitment_data3[[#This Row],[RecruitmentStrategy]], 1,"Aggressive", 2,"Moderate", 3,"Conservative")</f>
        <v>Moderate</v>
      </c>
      <c r="N1115" s="5">
        <v>2</v>
      </c>
      <c r="O1115" s="5" t="str">
        <f>IF(recruitment_data3[[#This Row],[HiringDecision]]=1,"Hired","Rejected")</f>
        <v>Rejected</v>
      </c>
      <c r="P1115" s="6">
        <v>0</v>
      </c>
    </row>
    <row r="1116" spans="1:16" x14ac:dyDescent="0.25">
      <c r="A1116" s="4" t="str">
        <f t="shared" si="17"/>
        <v>C1115</v>
      </c>
      <c r="B1116" s="4">
        <v>47</v>
      </c>
      <c r="C1116" s="5" t="str">
        <f>IF(recruitment_data3[[#This Row],[Gender]]=1,"Female","Male")</f>
        <v>Female</v>
      </c>
      <c r="D1116" s="5">
        <v>1</v>
      </c>
      <c r="E1116" s="5" t="str">
        <f>_xlfn.SWITCH(recruitment_data3[[#This Row],[EducationLevel]], 1,"Bachelor Type 1", 2,"Bachelor Type 2", 3,"Masters", 4,"PhD")</f>
        <v>Bachelor Type 2</v>
      </c>
      <c r="F1116" s="5">
        <v>2</v>
      </c>
      <c r="G1116" s="5">
        <v>15</v>
      </c>
      <c r="H1116" s="5">
        <v>1</v>
      </c>
      <c r="I1116" s="5">
        <v>7.1783243700788084</v>
      </c>
      <c r="J1116" s="5">
        <v>28</v>
      </c>
      <c r="K1116" s="5">
        <v>17</v>
      </c>
      <c r="L1116" s="5">
        <v>28</v>
      </c>
      <c r="M1116" s="5" t="str">
        <f>_xlfn.SWITCH(recruitment_data3[[#This Row],[RecruitmentStrategy]], 1,"Aggressive", 2,"Moderate", 3,"Conservative")</f>
        <v>Conservative</v>
      </c>
      <c r="N1116" s="5">
        <v>3</v>
      </c>
      <c r="O1116" s="5" t="str">
        <f>IF(recruitment_data3[[#This Row],[HiringDecision]]=1,"Hired","Rejected")</f>
        <v>Rejected</v>
      </c>
      <c r="P1116" s="6">
        <v>0</v>
      </c>
    </row>
    <row r="1117" spans="1:16" x14ac:dyDescent="0.25">
      <c r="A1117" s="4" t="str">
        <f t="shared" si="17"/>
        <v>C1116</v>
      </c>
      <c r="B1117" s="4">
        <v>39</v>
      </c>
      <c r="C1117" s="5" t="str">
        <f>IF(recruitment_data3[[#This Row],[Gender]]=1,"Female","Male")</f>
        <v>Male</v>
      </c>
      <c r="D1117" s="5">
        <v>0</v>
      </c>
      <c r="E1117" s="5" t="str">
        <f>_xlfn.SWITCH(recruitment_data3[[#This Row],[EducationLevel]], 1,"Bachelor Type 1", 2,"Bachelor Type 2", 3,"Masters", 4,"PhD")</f>
        <v>Bachelor Type 2</v>
      </c>
      <c r="F1117" s="5">
        <v>2</v>
      </c>
      <c r="G1117" s="5">
        <v>1</v>
      </c>
      <c r="H1117" s="5">
        <v>2</v>
      </c>
      <c r="I1117" s="5">
        <v>7.1845425306880362</v>
      </c>
      <c r="J1117" s="5">
        <v>16</v>
      </c>
      <c r="K1117" s="5">
        <v>22</v>
      </c>
      <c r="L1117" s="5">
        <v>36</v>
      </c>
      <c r="M1117" s="5" t="str">
        <f>_xlfn.SWITCH(recruitment_data3[[#This Row],[RecruitmentStrategy]], 1,"Aggressive", 2,"Moderate", 3,"Conservative")</f>
        <v>Moderate</v>
      </c>
      <c r="N1117" s="5">
        <v>2</v>
      </c>
      <c r="O1117" s="5" t="str">
        <f>IF(recruitment_data3[[#This Row],[HiringDecision]]=1,"Hired","Rejected")</f>
        <v>Rejected</v>
      </c>
      <c r="P1117" s="6">
        <v>0</v>
      </c>
    </row>
    <row r="1118" spans="1:16" x14ac:dyDescent="0.25">
      <c r="A1118" s="4" t="str">
        <f t="shared" si="17"/>
        <v>C1117</v>
      </c>
      <c r="B1118" s="4">
        <v>43</v>
      </c>
      <c r="C1118" s="5" t="str">
        <f>IF(recruitment_data3[[#This Row],[Gender]]=1,"Female","Male")</f>
        <v>Male</v>
      </c>
      <c r="D1118" s="5">
        <v>0</v>
      </c>
      <c r="E1118" s="5" t="str">
        <f>_xlfn.SWITCH(recruitment_data3[[#This Row],[EducationLevel]], 1,"Bachelor Type 1", 2,"Bachelor Type 2", 3,"Masters", 4,"PhD")</f>
        <v>Bachelor Type 2</v>
      </c>
      <c r="F1118" s="5">
        <v>2</v>
      </c>
      <c r="G1118" s="5">
        <v>15</v>
      </c>
      <c r="H1118" s="5">
        <v>5</v>
      </c>
      <c r="I1118" s="5">
        <v>30.163809856954831</v>
      </c>
      <c r="J1118" s="5">
        <v>67</v>
      </c>
      <c r="K1118" s="5">
        <v>84</v>
      </c>
      <c r="L1118" s="5">
        <v>42</v>
      </c>
      <c r="M1118" s="5" t="str">
        <f>_xlfn.SWITCH(recruitment_data3[[#This Row],[RecruitmentStrategy]], 1,"Aggressive", 2,"Moderate", 3,"Conservative")</f>
        <v>Moderate</v>
      </c>
      <c r="N1118" s="5">
        <v>2</v>
      </c>
      <c r="O1118" s="5" t="str">
        <f>IF(recruitment_data3[[#This Row],[HiringDecision]]=1,"Hired","Rejected")</f>
        <v>Rejected</v>
      </c>
      <c r="P1118" s="6">
        <v>0</v>
      </c>
    </row>
    <row r="1119" spans="1:16" x14ac:dyDescent="0.25">
      <c r="A1119" s="4" t="str">
        <f t="shared" si="17"/>
        <v>C1118</v>
      </c>
      <c r="B1119" s="4">
        <v>24</v>
      </c>
      <c r="C1119" s="5" t="str">
        <f>IF(recruitment_data3[[#This Row],[Gender]]=1,"Female","Male")</f>
        <v>Male</v>
      </c>
      <c r="D1119" s="5">
        <v>0</v>
      </c>
      <c r="E1119" s="5" t="str">
        <f>_xlfn.SWITCH(recruitment_data3[[#This Row],[EducationLevel]], 1,"Bachelor Type 1", 2,"Bachelor Type 2", 3,"Masters", 4,"PhD")</f>
        <v>PhD</v>
      </c>
      <c r="F1119" s="5">
        <v>4</v>
      </c>
      <c r="G1119" s="5">
        <v>6</v>
      </c>
      <c r="H1119" s="5">
        <v>4</v>
      </c>
      <c r="I1119" s="5">
        <v>37.737964442468929</v>
      </c>
      <c r="J1119" s="5">
        <v>43</v>
      </c>
      <c r="K1119" s="5">
        <v>10</v>
      </c>
      <c r="L1119" s="5">
        <v>85</v>
      </c>
      <c r="M1119" s="5" t="str">
        <f>_xlfn.SWITCH(recruitment_data3[[#This Row],[RecruitmentStrategy]], 1,"Aggressive", 2,"Moderate", 3,"Conservative")</f>
        <v>Moderate</v>
      </c>
      <c r="N1119" s="5">
        <v>2</v>
      </c>
      <c r="O1119" s="5" t="str">
        <f>IF(recruitment_data3[[#This Row],[HiringDecision]]=1,"Hired","Rejected")</f>
        <v>Rejected</v>
      </c>
      <c r="P1119" s="6">
        <v>0</v>
      </c>
    </row>
    <row r="1120" spans="1:16" x14ac:dyDescent="0.25">
      <c r="A1120" s="4" t="str">
        <f t="shared" si="17"/>
        <v>C1119</v>
      </c>
      <c r="B1120" s="4">
        <v>21</v>
      </c>
      <c r="C1120" s="5" t="str">
        <f>IF(recruitment_data3[[#This Row],[Gender]]=1,"Female","Male")</f>
        <v>Female</v>
      </c>
      <c r="D1120" s="5">
        <v>1</v>
      </c>
      <c r="E1120" s="5" t="str">
        <f>_xlfn.SWITCH(recruitment_data3[[#This Row],[EducationLevel]], 1,"Bachelor Type 1", 2,"Bachelor Type 2", 3,"Masters", 4,"PhD")</f>
        <v>Bachelor Type 1</v>
      </c>
      <c r="F1120" s="5">
        <v>1</v>
      </c>
      <c r="G1120" s="5">
        <v>6</v>
      </c>
      <c r="H1120" s="5">
        <v>1</v>
      </c>
      <c r="I1120" s="5">
        <v>17.076650441917039</v>
      </c>
      <c r="J1120" s="5">
        <v>60</v>
      </c>
      <c r="K1120" s="5">
        <v>38</v>
      </c>
      <c r="L1120" s="5">
        <v>63</v>
      </c>
      <c r="M1120" s="5" t="str">
        <f>_xlfn.SWITCH(recruitment_data3[[#This Row],[RecruitmentStrategy]], 1,"Aggressive", 2,"Moderate", 3,"Conservative")</f>
        <v>Moderate</v>
      </c>
      <c r="N1120" s="5">
        <v>2</v>
      </c>
      <c r="O1120" s="5" t="str">
        <f>IF(recruitment_data3[[#This Row],[HiringDecision]]=1,"Hired","Rejected")</f>
        <v>Rejected</v>
      </c>
      <c r="P1120" s="6">
        <v>0</v>
      </c>
    </row>
    <row r="1121" spans="1:16" x14ac:dyDescent="0.25">
      <c r="A1121" s="4" t="str">
        <f t="shared" si="17"/>
        <v>C1120</v>
      </c>
      <c r="B1121" s="4">
        <v>25</v>
      </c>
      <c r="C1121" s="5" t="str">
        <f>IF(recruitment_data3[[#This Row],[Gender]]=1,"Female","Male")</f>
        <v>Female</v>
      </c>
      <c r="D1121" s="5">
        <v>1</v>
      </c>
      <c r="E1121" s="5" t="str">
        <f>_xlfn.SWITCH(recruitment_data3[[#This Row],[EducationLevel]], 1,"Bachelor Type 1", 2,"Bachelor Type 2", 3,"Masters", 4,"PhD")</f>
        <v>Bachelor Type 2</v>
      </c>
      <c r="F1121" s="5">
        <v>2</v>
      </c>
      <c r="G1121" s="5">
        <v>3</v>
      </c>
      <c r="H1121" s="5">
        <v>5</v>
      </c>
      <c r="I1121" s="5">
        <v>2.7325354907008537</v>
      </c>
      <c r="J1121" s="5">
        <v>92</v>
      </c>
      <c r="K1121" s="5">
        <v>67</v>
      </c>
      <c r="L1121" s="5">
        <v>23</v>
      </c>
      <c r="M1121" s="5" t="str">
        <f>_xlfn.SWITCH(recruitment_data3[[#This Row],[RecruitmentStrategy]], 1,"Aggressive", 2,"Moderate", 3,"Conservative")</f>
        <v>Aggressive</v>
      </c>
      <c r="N1121" s="5">
        <v>1</v>
      </c>
      <c r="O1121" s="5" t="str">
        <f>IF(recruitment_data3[[#This Row],[HiringDecision]]=1,"Hired","Rejected")</f>
        <v>Hired</v>
      </c>
      <c r="P1121" s="6">
        <v>1</v>
      </c>
    </row>
    <row r="1122" spans="1:16" x14ac:dyDescent="0.25">
      <c r="A1122" s="4" t="str">
        <f t="shared" si="17"/>
        <v>C1121</v>
      </c>
      <c r="B1122" s="4">
        <v>40</v>
      </c>
      <c r="C1122" s="5" t="str">
        <f>IF(recruitment_data3[[#This Row],[Gender]]=1,"Female","Male")</f>
        <v>Male</v>
      </c>
      <c r="D1122" s="5">
        <v>0</v>
      </c>
      <c r="E1122" s="5" t="str">
        <f>_xlfn.SWITCH(recruitment_data3[[#This Row],[EducationLevel]], 1,"Bachelor Type 1", 2,"Bachelor Type 2", 3,"Masters", 4,"PhD")</f>
        <v>Bachelor Type 2</v>
      </c>
      <c r="F1122" s="5">
        <v>2</v>
      </c>
      <c r="G1122" s="5">
        <v>10</v>
      </c>
      <c r="H1122" s="5">
        <v>1</v>
      </c>
      <c r="I1122" s="5">
        <v>7.3612443468505369</v>
      </c>
      <c r="J1122" s="5">
        <v>67</v>
      </c>
      <c r="K1122" s="5">
        <v>24</v>
      </c>
      <c r="L1122" s="5">
        <v>70</v>
      </c>
      <c r="M1122" s="5" t="str">
        <f>_xlfn.SWITCH(recruitment_data3[[#This Row],[RecruitmentStrategy]], 1,"Aggressive", 2,"Moderate", 3,"Conservative")</f>
        <v>Conservative</v>
      </c>
      <c r="N1122" s="5">
        <v>3</v>
      </c>
      <c r="O1122" s="5" t="str">
        <f>IF(recruitment_data3[[#This Row],[HiringDecision]]=1,"Hired","Rejected")</f>
        <v>Rejected</v>
      </c>
      <c r="P1122" s="6">
        <v>0</v>
      </c>
    </row>
    <row r="1123" spans="1:16" x14ac:dyDescent="0.25">
      <c r="A1123" s="4" t="str">
        <f t="shared" si="17"/>
        <v>C1122</v>
      </c>
      <c r="B1123" s="4">
        <v>21</v>
      </c>
      <c r="C1123" s="5" t="str">
        <f>IF(recruitment_data3[[#This Row],[Gender]]=1,"Female","Male")</f>
        <v>Male</v>
      </c>
      <c r="D1123" s="5">
        <v>0</v>
      </c>
      <c r="E1123" s="5" t="str">
        <f>_xlfn.SWITCH(recruitment_data3[[#This Row],[EducationLevel]], 1,"Bachelor Type 1", 2,"Bachelor Type 2", 3,"Masters", 4,"PhD")</f>
        <v>Masters</v>
      </c>
      <c r="F1123" s="5">
        <v>3</v>
      </c>
      <c r="G1123" s="5">
        <v>8</v>
      </c>
      <c r="H1123" s="5">
        <v>2</v>
      </c>
      <c r="I1123" s="5">
        <v>46.734728016852856</v>
      </c>
      <c r="J1123" s="5">
        <v>73</v>
      </c>
      <c r="K1123" s="5">
        <v>62</v>
      </c>
      <c r="L1123" s="5">
        <v>33</v>
      </c>
      <c r="M1123" s="5" t="str">
        <f>_xlfn.SWITCH(recruitment_data3[[#This Row],[RecruitmentStrategy]], 1,"Aggressive", 2,"Moderate", 3,"Conservative")</f>
        <v>Conservative</v>
      </c>
      <c r="N1123" s="5">
        <v>3</v>
      </c>
      <c r="O1123" s="5" t="str">
        <f>IF(recruitment_data3[[#This Row],[HiringDecision]]=1,"Hired","Rejected")</f>
        <v>Hired</v>
      </c>
      <c r="P1123" s="6">
        <v>1</v>
      </c>
    </row>
    <row r="1124" spans="1:16" x14ac:dyDescent="0.25">
      <c r="A1124" s="4" t="str">
        <f t="shared" si="17"/>
        <v>C1123</v>
      </c>
      <c r="B1124" s="4">
        <v>32</v>
      </c>
      <c r="C1124" s="5" t="str">
        <f>IF(recruitment_data3[[#This Row],[Gender]]=1,"Female","Male")</f>
        <v>Male</v>
      </c>
      <c r="D1124" s="5">
        <v>0</v>
      </c>
      <c r="E1124" s="5" t="str">
        <f>_xlfn.SWITCH(recruitment_data3[[#This Row],[EducationLevel]], 1,"Bachelor Type 1", 2,"Bachelor Type 2", 3,"Masters", 4,"PhD")</f>
        <v>Bachelor Type 2</v>
      </c>
      <c r="F1124" s="5">
        <v>2</v>
      </c>
      <c r="G1124" s="5">
        <v>15</v>
      </c>
      <c r="H1124" s="5">
        <v>4</v>
      </c>
      <c r="I1124" s="5">
        <v>25.677182979472651</v>
      </c>
      <c r="J1124" s="5">
        <v>24</v>
      </c>
      <c r="K1124" s="5">
        <v>95</v>
      </c>
      <c r="L1124" s="5">
        <v>47</v>
      </c>
      <c r="M1124" s="5" t="str">
        <f>_xlfn.SWITCH(recruitment_data3[[#This Row],[RecruitmentStrategy]], 1,"Aggressive", 2,"Moderate", 3,"Conservative")</f>
        <v>Moderate</v>
      </c>
      <c r="N1124" s="5">
        <v>2</v>
      </c>
      <c r="O1124" s="5" t="str">
        <f>IF(recruitment_data3[[#This Row],[HiringDecision]]=1,"Hired","Rejected")</f>
        <v>Rejected</v>
      </c>
      <c r="P1124" s="6">
        <v>0</v>
      </c>
    </row>
    <row r="1125" spans="1:16" x14ac:dyDescent="0.25">
      <c r="A1125" s="4" t="str">
        <f t="shared" si="17"/>
        <v>C1124</v>
      </c>
      <c r="B1125" s="4">
        <v>49</v>
      </c>
      <c r="C1125" s="5" t="str">
        <f>IF(recruitment_data3[[#This Row],[Gender]]=1,"Female","Male")</f>
        <v>Male</v>
      </c>
      <c r="D1125" s="5">
        <v>0</v>
      </c>
      <c r="E1125" s="5" t="str">
        <f>_xlfn.SWITCH(recruitment_data3[[#This Row],[EducationLevel]], 1,"Bachelor Type 1", 2,"Bachelor Type 2", 3,"Masters", 4,"PhD")</f>
        <v>Bachelor Type 1</v>
      </c>
      <c r="F1125" s="5">
        <v>1</v>
      </c>
      <c r="G1125" s="5">
        <v>13</v>
      </c>
      <c r="H1125" s="5">
        <v>1</v>
      </c>
      <c r="I1125" s="5">
        <v>23.678640480758737</v>
      </c>
      <c r="J1125" s="5">
        <v>94</v>
      </c>
      <c r="K1125" s="5">
        <v>29</v>
      </c>
      <c r="L1125" s="5">
        <v>11</v>
      </c>
      <c r="M1125" s="5" t="str">
        <f>_xlfn.SWITCH(recruitment_data3[[#This Row],[RecruitmentStrategy]], 1,"Aggressive", 2,"Moderate", 3,"Conservative")</f>
        <v>Moderate</v>
      </c>
      <c r="N1125" s="5">
        <v>2</v>
      </c>
      <c r="O1125" s="5" t="str">
        <f>IF(recruitment_data3[[#This Row],[HiringDecision]]=1,"Hired","Rejected")</f>
        <v>Rejected</v>
      </c>
      <c r="P1125" s="6">
        <v>0</v>
      </c>
    </row>
    <row r="1126" spans="1:16" x14ac:dyDescent="0.25">
      <c r="A1126" s="4" t="str">
        <f t="shared" si="17"/>
        <v>C1125</v>
      </c>
      <c r="B1126" s="4">
        <v>30</v>
      </c>
      <c r="C1126" s="5" t="str">
        <f>IF(recruitment_data3[[#This Row],[Gender]]=1,"Female","Male")</f>
        <v>Female</v>
      </c>
      <c r="D1126" s="5">
        <v>1</v>
      </c>
      <c r="E1126" s="5" t="str">
        <f>_xlfn.SWITCH(recruitment_data3[[#This Row],[EducationLevel]], 1,"Bachelor Type 1", 2,"Bachelor Type 2", 3,"Masters", 4,"PhD")</f>
        <v>Bachelor Type 2</v>
      </c>
      <c r="F1126" s="5">
        <v>2</v>
      </c>
      <c r="G1126" s="5">
        <v>7</v>
      </c>
      <c r="H1126" s="5">
        <v>5</v>
      </c>
      <c r="I1126" s="5">
        <v>2.9024589155045457</v>
      </c>
      <c r="J1126" s="5">
        <v>66</v>
      </c>
      <c r="K1126" s="5">
        <v>44</v>
      </c>
      <c r="L1126" s="5">
        <v>22</v>
      </c>
      <c r="M1126" s="5" t="str">
        <f>_xlfn.SWITCH(recruitment_data3[[#This Row],[RecruitmentStrategy]], 1,"Aggressive", 2,"Moderate", 3,"Conservative")</f>
        <v>Aggressive</v>
      </c>
      <c r="N1126" s="5">
        <v>1</v>
      </c>
      <c r="O1126" s="5" t="str">
        <f>IF(recruitment_data3[[#This Row],[HiringDecision]]=1,"Hired","Rejected")</f>
        <v>Rejected</v>
      </c>
      <c r="P1126" s="6">
        <v>0</v>
      </c>
    </row>
    <row r="1127" spans="1:16" x14ac:dyDescent="0.25">
      <c r="A1127" s="4" t="str">
        <f t="shared" si="17"/>
        <v>C1126</v>
      </c>
      <c r="B1127" s="4">
        <v>30</v>
      </c>
      <c r="C1127" s="5" t="str">
        <f>IF(recruitment_data3[[#This Row],[Gender]]=1,"Female","Male")</f>
        <v>Male</v>
      </c>
      <c r="D1127" s="5">
        <v>0</v>
      </c>
      <c r="E1127" s="5" t="str">
        <f>_xlfn.SWITCH(recruitment_data3[[#This Row],[EducationLevel]], 1,"Bachelor Type 1", 2,"Bachelor Type 2", 3,"Masters", 4,"PhD")</f>
        <v>Masters</v>
      </c>
      <c r="F1127" s="5">
        <v>3</v>
      </c>
      <c r="G1127" s="5">
        <v>12</v>
      </c>
      <c r="H1127" s="5">
        <v>2</v>
      </c>
      <c r="I1127" s="5">
        <v>37.431851115844957</v>
      </c>
      <c r="J1127" s="5">
        <v>1</v>
      </c>
      <c r="K1127" s="5">
        <v>89</v>
      </c>
      <c r="L1127" s="5">
        <v>78</v>
      </c>
      <c r="M1127" s="5" t="str">
        <f>_xlfn.SWITCH(recruitment_data3[[#This Row],[RecruitmentStrategy]], 1,"Aggressive", 2,"Moderate", 3,"Conservative")</f>
        <v>Aggressive</v>
      </c>
      <c r="N1127" s="5">
        <v>1</v>
      </c>
      <c r="O1127" s="5" t="str">
        <f>IF(recruitment_data3[[#This Row],[HiringDecision]]=1,"Hired","Rejected")</f>
        <v>Hired</v>
      </c>
      <c r="P1127" s="6">
        <v>1</v>
      </c>
    </row>
    <row r="1128" spans="1:16" x14ac:dyDescent="0.25">
      <c r="A1128" s="4" t="str">
        <f t="shared" si="17"/>
        <v>C1127</v>
      </c>
      <c r="B1128" s="4">
        <v>35</v>
      </c>
      <c r="C1128" s="5" t="str">
        <f>IF(recruitment_data3[[#This Row],[Gender]]=1,"Female","Male")</f>
        <v>Male</v>
      </c>
      <c r="D1128" s="5">
        <v>0</v>
      </c>
      <c r="E1128" s="5" t="str">
        <f>_xlfn.SWITCH(recruitment_data3[[#This Row],[EducationLevel]], 1,"Bachelor Type 1", 2,"Bachelor Type 2", 3,"Masters", 4,"PhD")</f>
        <v>Bachelor Type 1</v>
      </c>
      <c r="F1128" s="5">
        <v>1</v>
      </c>
      <c r="G1128" s="5">
        <v>12</v>
      </c>
      <c r="H1128" s="5">
        <v>2</v>
      </c>
      <c r="I1128" s="5">
        <v>27.403404046603946</v>
      </c>
      <c r="J1128" s="5">
        <v>88</v>
      </c>
      <c r="K1128" s="5">
        <v>60</v>
      </c>
      <c r="L1128" s="5">
        <v>96</v>
      </c>
      <c r="M1128" s="5" t="str">
        <f>_xlfn.SWITCH(recruitment_data3[[#This Row],[RecruitmentStrategy]], 1,"Aggressive", 2,"Moderate", 3,"Conservative")</f>
        <v>Aggressive</v>
      </c>
      <c r="N1128" s="5">
        <v>1</v>
      </c>
      <c r="O1128" s="5" t="str">
        <f>IF(recruitment_data3[[#This Row],[HiringDecision]]=1,"Hired","Rejected")</f>
        <v>Hired</v>
      </c>
      <c r="P1128" s="6">
        <v>1</v>
      </c>
    </row>
    <row r="1129" spans="1:16" x14ac:dyDescent="0.25">
      <c r="A1129" s="4" t="str">
        <f t="shared" si="17"/>
        <v>C1128</v>
      </c>
      <c r="B1129" s="4">
        <v>30</v>
      </c>
      <c r="C1129" s="5" t="str">
        <f>IF(recruitment_data3[[#This Row],[Gender]]=1,"Female","Male")</f>
        <v>Male</v>
      </c>
      <c r="D1129" s="5">
        <v>0</v>
      </c>
      <c r="E1129" s="5" t="str">
        <f>_xlfn.SWITCH(recruitment_data3[[#This Row],[EducationLevel]], 1,"Bachelor Type 1", 2,"Bachelor Type 2", 3,"Masters", 4,"PhD")</f>
        <v>Masters</v>
      </c>
      <c r="F1129" s="5">
        <v>3</v>
      </c>
      <c r="G1129" s="5">
        <v>0</v>
      </c>
      <c r="H1129" s="5">
        <v>5</v>
      </c>
      <c r="I1129" s="5">
        <v>11.104046804326039</v>
      </c>
      <c r="J1129" s="5">
        <v>48</v>
      </c>
      <c r="K1129" s="5">
        <v>99</v>
      </c>
      <c r="L1129" s="5">
        <v>12</v>
      </c>
      <c r="M1129" s="5" t="str">
        <f>_xlfn.SWITCH(recruitment_data3[[#This Row],[RecruitmentStrategy]], 1,"Aggressive", 2,"Moderate", 3,"Conservative")</f>
        <v>Moderate</v>
      </c>
      <c r="N1129" s="5">
        <v>2</v>
      </c>
      <c r="O1129" s="5" t="str">
        <f>IF(recruitment_data3[[#This Row],[HiringDecision]]=1,"Hired","Rejected")</f>
        <v>Rejected</v>
      </c>
      <c r="P1129" s="6">
        <v>0</v>
      </c>
    </row>
    <row r="1130" spans="1:16" x14ac:dyDescent="0.25">
      <c r="A1130" s="4" t="str">
        <f t="shared" si="17"/>
        <v>C1129</v>
      </c>
      <c r="B1130" s="4">
        <v>38</v>
      </c>
      <c r="C1130" s="5" t="str">
        <f>IF(recruitment_data3[[#This Row],[Gender]]=1,"Female","Male")</f>
        <v>Male</v>
      </c>
      <c r="D1130" s="5">
        <v>0</v>
      </c>
      <c r="E1130" s="5" t="str">
        <f>_xlfn.SWITCH(recruitment_data3[[#This Row],[EducationLevel]], 1,"Bachelor Type 1", 2,"Bachelor Type 2", 3,"Masters", 4,"PhD")</f>
        <v>Bachelor Type 1</v>
      </c>
      <c r="F1130" s="5">
        <v>1</v>
      </c>
      <c r="G1130" s="5">
        <v>0</v>
      </c>
      <c r="H1130" s="5">
        <v>5</v>
      </c>
      <c r="I1130" s="5">
        <v>6.5036880090528593</v>
      </c>
      <c r="J1130" s="5">
        <v>69</v>
      </c>
      <c r="K1130" s="5">
        <v>50</v>
      </c>
      <c r="L1130" s="5">
        <v>86</v>
      </c>
      <c r="M1130" s="5" t="str">
        <f>_xlfn.SWITCH(recruitment_data3[[#This Row],[RecruitmentStrategy]], 1,"Aggressive", 2,"Moderate", 3,"Conservative")</f>
        <v>Conservative</v>
      </c>
      <c r="N1130" s="5">
        <v>3</v>
      </c>
      <c r="O1130" s="5" t="str">
        <f>IF(recruitment_data3[[#This Row],[HiringDecision]]=1,"Hired","Rejected")</f>
        <v>Rejected</v>
      </c>
      <c r="P1130" s="6">
        <v>0</v>
      </c>
    </row>
    <row r="1131" spans="1:16" x14ac:dyDescent="0.25">
      <c r="A1131" s="4" t="str">
        <f t="shared" si="17"/>
        <v>C1130</v>
      </c>
      <c r="B1131" s="4">
        <v>34</v>
      </c>
      <c r="C1131" s="5" t="str">
        <f>IF(recruitment_data3[[#This Row],[Gender]]=1,"Female","Male")</f>
        <v>Female</v>
      </c>
      <c r="D1131" s="5">
        <v>1</v>
      </c>
      <c r="E1131" s="5" t="str">
        <f>_xlfn.SWITCH(recruitment_data3[[#This Row],[EducationLevel]], 1,"Bachelor Type 1", 2,"Bachelor Type 2", 3,"Masters", 4,"PhD")</f>
        <v>Bachelor Type 2</v>
      </c>
      <c r="F1131" s="5">
        <v>2</v>
      </c>
      <c r="G1131" s="5">
        <v>4</v>
      </c>
      <c r="H1131" s="5">
        <v>1</v>
      </c>
      <c r="I1131" s="5">
        <v>20.169393181599926</v>
      </c>
      <c r="J1131" s="5">
        <v>25</v>
      </c>
      <c r="K1131" s="5">
        <v>97</v>
      </c>
      <c r="L1131" s="5">
        <v>95</v>
      </c>
      <c r="M1131" s="5" t="str">
        <f>_xlfn.SWITCH(recruitment_data3[[#This Row],[RecruitmentStrategy]], 1,"Aggressive", 2,"Moderate", 3,"Conservative")</f>
        <v>Aggressive</v>
      </c>
      <c r="N1131" s="5">
        <v>1</v>
      </c>
      <c r="O1131" s="5" t="str">
        <f>IF(recruitment_data3[[#This Row],[HiringDecision]]=1,"Hired","Rejected")</f>
        <v>Hired</v>
      </c>
      <c r="P1131" s="6">
        <v>1</v>
      </c>
    </row>
    <row r="1132" spans="1:16" x14ac:dyDescent="0.25">
      <c r="A1132" s="4" t="str">
        <f t="shared" si="17"/>
        <v>C1131</v>
      </c>
      <c r="B1132" s="4">
        <v>44</v>
      </c>
      <c r="C1132" s="5" t="str">
        <f>IF(recruitment_data3[[#This Row],[Gender]]=1,"Female","Male")</f>
        <v>Male</v>
      </c>
      <c r="D1132" s="5">
        <v>0</v>
      </c>
      <c r="E1132" s="5" t="str">
        <f>_xlfn.SWITCH(recruitment_data3[[#This Row],[EducationLevel]], 1,"Bachelor Type 1", 2,"Bachelor Type 2", 3,"Masters", 4,"PhD")</f>
        <v>Bachelor Type 2</v>
      </c>
      <c r="F1132" s="5">
        <v>2</v>
      </c>
      <c r="G1132" s="5">
        <v>5</v>
      </c>
      <c r="H1132" s="5">
        <v>3</v>
      </c>
      <c r="I1132" s="5">
        <v>42.858098209751283</v>
      </c>
      <c r="J1132" s="5">
        <v>71</v>
      </c>
      <c r="K1132" s="5">
        <v>8</v>
      </c>
      <c r="L1132" s="5">
        <v>44</v>
      </c>
      <c r="M1132" s="5" t="str">
        <f>_xlfn.SWITCH(recruitment_data3[[#This Row],[RecruitmentStrategy]], 1,"Aggressive", 2,"Moderate", 3,"Conservative")</f>
        <v>Aggressive</v>
      </c>
      <c r="N1132" s="5">
        <v>1</v>
      </c>
      <c r="O1132" s="5" t="str">
        <f>IF(recruitment_data3[[#This Row],[HiringDecision]]=1,"Hired","Rejected")</f>
        <v>Rejected</v>
      </c>
      <c r="P1132" s="6">
        <v>0</v>
      </c>
    </row>
    <row r="1133" spans="1:16" x14ac:dyDescent="0.25">
      <c r="A1133" s="4" t="str">
        <f t="shared" si="17"/>
        <v>C1132</v>
      </c>
      <c r="B1133" s="4">
        <v>42</v>
      </c>
      <c r="C1133" s="5" t="str">
        <f>IF(recruitment_data3[[#This Row],[Gender]]=1,"Female","Male")</f>
        <v>Female</v>
      </c>
      <c r="D1133" s="5">
        <v>1</v>
      </c>
      <c r="E1133" s="5" t="str">
        <f>_xlfn.SWITCH(recruitment_data3[[#This Row],[EducationLevel]], 1,"Bachelor Type 1", 2,"Bachelor Type 2", 3,"Masters", 4,"PhD")</f>
        <v>Masters</v>
      </c>
      <c r="F1133" s="5">
        <v>3</v>
      </c>
      <c r="G1133" s="5">
        <v>2</v>
      </c>
      <c r="H1133" s="5">
        <v>2</v>
      </c>
      <c r="I1133" s="5">
        <v>44.264727960051225</v>
      </c>
      <c r="J1133" s="5">
        <v>98</v>
      </c>
      <c r="K1133" s="5">
        <v>75</v>
      </c>
      <c r="L1133" s="5">
        <v>98</v>
      </c>
      <c r="M1133" s="5" t="str">
        <f>_xlfn.SWITCH(recruitment_data3[[#This Row],[RecruitmentStrategy]], 1,"Aggressive", 2,"Moderate", 3,"Conservative")</f>
        <v>Moderate</v>
      </c>
      <c r="N1133" s="5">
        <v>2</v>
      </c>
      <c r="O1133" s="5" t="str">
        <f>IF(recruitment_data3[[#This Row],[HiringDecision]]=1,"Hired","Rejected")</f>
        <v>Hired</v>
      </c>
      <c r="P1133" s="6">
        <v>1</v>
      </c>
    </row>
    <row r="1134" spans="1:16" x14ac:dyDescent="0.25">
      <c r="A1134" s="4" t="str">
        <f t="shared" si="17"/>
        <v>C1133</v>
      </c>
      <c r="B1134" s="4">
        <v>42</v>
      </c>
      <c r="C1134" s="5" t="str">
        <f>IF(recruitment_data3[[#This Row],[Gender]]=1,"Female","Male")</f>
        <v>Male</v>
      </c>
      <c r="D1134" s="5">
        <v>0</v>
      </c>
      <c r="E1134" s="5" t="str">
        <f>_xlfn.SWITCH(recruitment_data3[[#This Row],[EducationLevel]], 1,"Bachelor Type 1", 2,"Bachelor Type 2", 3,"Masters", 4,"PhD")</f>
        <v>Bachelor Type 2</v>
      </c>
      <c r="F1134" s="5">
        <v>2</v>
      </c>
      <c r="G1134" s="5">
        <v>12</v>
      </c>
      <c r="H1134" s="5">
        <v>1</v>
      </c>
      <c r="I1134" s="5">
        <v>31.142319019781823</v>
      </c>
      <c r="J1134" s="5">
        <v>26</v>
      </c>
      <c r="K1134" s="5">
        <v>1</v>
      </c>
      <c r="L1134" s="5">
        <v>64</v>
      </c>
      <c r="M1134" s="5" t="str">
        <f>_xlfn.SWITCH(recruitment_data3[[#This Row],[RecruitmentStrategy]], 1,"Aggressive", 2,"Moderate", 3,"Conservative")</f>
        <v>Aggressive</v>
      </c>
      <c r="N1134" s="5">
        <v>1</v>
      </c>
      <c r="O1134" s="5" t="str">
        <f>IF(recruitment_data3[[#This Row],[HiringDecision]]=1,"Hired","Rejected")</f>
        <v>Hired</v>
      </c>
      <c r="P1134" s="6">
        <v>1</v>
      </c>
    </row>
    <row r="1135" spans="1:16" x14ac:dyDescent="0.25">
      <c r="A1135" s="4" t="str">
        <f t="shared" si="17"/>
        <v>C1134</v>
      </c>
      <c r="B1135" s="4">
        <v>35</v>
      </c>
      <c r="C1135" s="5" t="str">
        <f>IF(recruitment_data3[[#This Row],[Gender]]=1,"Female","Male")</f>
        <v>Male</v>
      </c>
      <c r="D1135" s="5">
        <v>0</v>
      </c>
      <c r="E1135" s="5" t="str">
        <f>_xlfn.SWITCH(recruitment_data3[[#This Row],[EducationLevel]], 1,"Bachelor Type 1", 2,"Bachelor Type 2", 3,"Masters", 4,"PhD")</f>
        <v>Masters</v>
      </c>
      <c r="F1135" s="5">
        <v>3</v>
      </c>
      <c r="G1135" s="5">
        <v>8</v>
      </c>
      <c r="H1135" s="5">
        <v>5</v>
      </c>
      <c r="I1135" s="5">
        <v>37.376821361507133</v>
      </c>
      <c r="J1135" s="5">
        <v>88</v>
      </c>
      <c r="K1135" s="5">
        <v>4</v>
      </c>
      <c r="L1135" s="5">
        <v>46</v>
      </c>
      <c r="M1135" s="5" t="str">
        <f>_xlfn.SWITCH(recruitment_data3[[#This Row],[RecruitmentStrategy]], 1,"Aggressive", 2,"Moderate", 3,"Conservative")</f>
        <v>Conservative</v>
      </c>
      <c r="N1135" s="5">
        <v>3</v>
      </c>
      <c r="O1135" s="5" t="str">
        <f>IF(recruitment_data3[[#This Row],[HiringDecision]]=1,"Hired","Rejected")</f>
        <v>Rejected</v>
      </c>
      <c r="P1135" s="6">
        <v>0</v>
      </c>
    </row>
    <row r="1136" spans="1:16" x14ac:dyDescent="0.25">
      <c r="A1136" s="4" t="str">
        <f t="shared" si="17"/>
        <v>C1135</v>
      </c>
      <c r="B1136" s="4">
        <v>50</v>
      </c>
      <c r="C1136" s="5" t="str">
        <f>IF(recruitment_data3[[#This Row],[Gender]]=1,"Female","Male")</f>
        <v>Female</v>
      </c>
      <c r="D1136" s="5">
        <v>1</v>
      </c>
      <c r="E1136" s="5" t="str">
        <f>_xlfn.SWITCH(recruitment_data3[[#This Row],[EducationLevel]], 1,"Bachelor Type 1", 2,"Bachelor Type 2", 3,"Masters", 4,"PhD")</f>
        <v>Masters</v>
      </c>
      <c r="F1136" s="5">
        <v>3</v>
      </c>
      <c r="G1136" s="5">
        <v>11</v>
      </c>
      <c r="H1136" s="5">
        <v>1</v>
      </c>
      <c r="I1136" s="5">
        <v>6.7577893701435183</v>
      </c>
      <c r="J1136" s="5">
        <v>17</v>
      </c>
      <c r="K1136" s="5">
        <v>61</v>
      </c>
      <c r="L1136" s="5">
        <v>57</v>
      </c>
      <c r="M1136" s="5" t="str">
        <f>_xlfn.SWITCH(recruitment_data3[[#This Row],[RecruitmentStrategy]], 1,"Aggressive", 2,"Moderate", 3,"Conservative")</f>
        <v>Moderate</v>
      </c>
      <c r="N1136" s="5">
        <v>2</v>
      </c>
      <c r="O1136" s="5" t="str">
        <f>IF(recruitment_data3[[#This Row],[HiringDecision]]=1,"Hired","Rejected")</f>
        <v>Rejected</v>
      </c>
      <c r="P1136" s="6">
        <v>0</v>
      </c>
    </row>
    <row r="1137" spans="1:16" x14ac:dyDescent="0.25">
      <c r="A1137" s="4" t="str">
        <f t="shared" si="17"/>
        <v>C1136</v>
      </c>
      <c r="B1137" s="4">
        <v>30</v>
      </c>
      <c r="C1137" s="5" t="str">
        <f>IF(recruitment_data3[[#This Row],[Gender]]=1,"Female","Male")</f>
        <v>Male</v>
      </c>
      <c r="D1137" s="5">
        <v>0</v>
      </c>
      <c r="E1137" s="5" t="str">
        <f>_xlfn.SWITCH(recruitment_data3[[#This Row],[EducationLevel]], 1,"Bachelor Type 1", 2,"Bachelor Type 2", 3,"Masters", 4,"PhD")</f>
        <v>Bachelor Type 2</v>
      </c>
      <c r="F1137" s="5">
        <v>2</v>
      </c>
      <c r="G1137" s="5">
        <v>9</v>
      </c>
      <c r="H1137" s="5">
        <v>5</v>
      </c>
      <c r="I1137" s="5">
        <v>30.406303273392741</v>
      </c>
      <c r="J1137" s="5">
        <v>53</v>
      </c>
      <c r="K1137" s="5">
        <v>68</v>
      </c>
      <c r="L1137" s="5">
        <v>4</v>
      </c>
      <c r="M1137" s="5" t="str">
        <f>_xlfn.SWITCH(recruitment_data3[[#This Row],[RecruitmentStrategy]], 1,"Aggressive", 2,"Moderate", 3,"Conservative")</f>
        <v>Aggressive</v>
      </c>
      <c r="N1137" s="5">
        <v>1</v>
      </c>
      <c r="O1137" s="5" t="str">
        <f>IF(recruitment_data3[[#This Row],[HiringDecision]]=1,"Hired","Rejected")</f>
        <v>Hired</v>
      </c>
      <c r="P1137" s="6">
        <v>1</v>
      </c>
    </row>
    <row r="1138" spans="1:16" x14ac:dyDescent="0.25">
      <c r="A1138" s="4" t="str">
        <f t="shared" si="17"/>
        <v>C1137</v>
      </c>
      <c r="B1138" s="4">
        <v>41</v>
      </c>
      <c r="C1138" s="5" t="str">
        <f>IF(recruitment_data3[[#This Row],[Gender]]=1,"Female","Male")</f>
        <v>Female</v>
      </c>
      <c r="D1138" s="5">
        <v>1</v>
      </c>
      <c r="E1138" s="5" t="str">
        <f>_xlfn.SWITCH(recruitment_data3[[#This Row],[EducationLevel]], 1,"Bachelor Type 1", 2,"Bachelor Type 2", 3,"Masters", 4,"PhD")</f>
        <v>Masters</v>
      </c>
      <c r="F1138" s="5">
        <v>3</v>
      </c>
      <c r="G1138" s="5">
        <v>13</v>
      </c>
      <c r="H1138" s="5">
        <v>4</v>
      </c>
      <c r="I1138" s="5">
        <v>34.348285174359091</v>
      </c>
      <c r="J1138" s="5">
        <v>0</v>
      </c>
      <c r="K1138" s="5">
        <v>51</v>
      </c>
      <c r="L1138" s="5">
        <v>76</v>
      </c>
      <c r="M1138" s="5" t="str">
        <f>_xlfn.SWITCH(recruitment_data3[[#This Row],[RecruitmentStrategy]], 1,"Aggressive", 2,"Moderate", 3,"Conservative")</f>
        <v>Aggressive</v>
      </c>
      <c r="N1138" s="5">
        <v>1</v>
      </c>
      <c r="O1138" s="5" t="str">
        <f>IF(recruitment_data3[[#This Row],[HiringDecision]]=1,"Hired","Rejected")</f>
        <v>Hired</v>
      </c>
      <c r="P1138" s="6">
        <v>1</v>
      </c>
    </row>
    <row r="1139" spans="1:16" x14ac:dyDescent="0.25">
      <c r="A1139" s="4" t="str">
        <f t="shared" si="17"/>
        <v>C1138</v>
      </c>
      <c r="B1139" s="4">
        <v>35</v>
      </c>
      <c r="C1139" s="5" t="str">
        <f>IF(recruitment_data3[[#This Row],[Gender]]=1,"Female","Male")</f>
        <v>Female</v>
      </c>
      <c r="D1139" s="5">
        <v>1</v>
      </c>
      <c r="E1139" s="5" t="str">
        <f>_xlfn.SWITCH(recruitment_data3[[#This Row],[EducationLevel]], 1,"Bachelor Type 1", 2,"Bachelor Type 2", 3,"Masters", 4,"PhD")</f>
        <v>Masters</v>
      </c>
      <c r="F1139" s="5">
        <v>3</v>
      </c>
      <c r="G1139" s="5">
        <v>14</v>
      </c>
      <c r="H1139" s="5">
        <v>5</v>
      </c>
      <c r="I1139" s="5">
        <v>11.035642145689611</v>
      </c>
      <c r="J1139" s="5">
        <v>60</v>
      </c>
      <c r="K1139" s="5">
        <v>85</v>
      </c>
      <c r="L1139" s="5">
        <v>4</v>
      </c>
      <c r="M1139" s="5" t="str">
        <f>_xlfn.SWITCH(recruitment_data3[[#This Row],[RecruitmentStrategy]], 1,"Aggressive", 2,"Moderate", 3,"Conservative")</f>
        <v>Aggressive</v>
      </c>
      <c r="N1139" s="5">
        <v>1</v>
      </c>
      <c r="O1139" s="5" t="str">
        <f>IF(recruitment_data3[[#This Row],[HiringDecision]]=1,"Hired","Rejected")</f>
        <v>Hired</v>
      </c>
      <c r="P1139" s="6">
        <v>1</v>
      </c>
    </row>
    <row r="1140" spans="1:16" x14ac:dyDescent="0.25">
      <c r="A1140" s="4" t="str">
        <f t="shared" si="17"/>
        <v>C1139</v>
      </c>
      <c r="B1140" s="4">
        <v>27</v>
      </c>
      <c r="C1140" s="5" t="str">
        <f>IF(recruitment_data3[[#This Row],[Gender]]=1,"Female","Male")</f>
        <v>Male</v>
      </c>
      <c r="D1140" s="5">
        <v>0</v>
      </c>
      <c r="E1140" s="5" t="str">
        <f>_xlfn.SWITCH(recruitment_data3[[#This Row],[EducationLevel]], 1,"Bachelor Type 1", 2,"Bachelor Type 2", 3,"Masters", 4,"PhD")</f>
        <v>Bachelor Type 1</v>
      </c>
      <c r="F1140" s="5">
        <v>1</v>
      </c>
      <c r="G1140" s="5">
        <v>5</v>
      </c>
      <c r="H1140" s="5">
        <v>5</v>
      </c>
      <c r="I1140" s="5">
        <v>45.007736645512949</v>
      </c>
      <c r="J1140" s="5">
        <v>2</v>
      </c>
      <c r="K1140" s="5">
        <v>4</v>
      </c>
      <c r="L1140" s="5">
        <v>59</v>
      </c>
      <c r="M1140" s="5" t="str">
        <f>_xlfn.SWITCH(recruitment_data3[[#This Row],[RecruitmentStrategy]], 1,"Aggressive", 2,"Moderate", 3,"Conservative")</f>
        <v>Moderate</v>
      </c>
      <c r="N1140" s="5">
        <v>2</v>
      </c>
      <c r="O1140" s="5" t="str">
        <f>IF(recruitment_data3[[#This Row],[HiringDecision]]=1,"Hired","Rejected")</f>
        <v>Rejected</v>
      </c>
      <c r="P1140" s="6">
        <v>0</v>
      </c>
    </row>
    <row r="1141" spans="1:16" x14ac:dyDescent="0.25">
      <c r="A1141" s="4" t="str">
        <f t="shared" si="17"/>
        <v>C1140</v>
      </c>
      <c r="B1141" s="4">
        <v>23</v>
      </c>
      <c r="C1141" s="5" t="str">
        <f>IF(recruitment_data3[[#This Row],[Gender]]=1,"Female","Male")</f>
        <v>Female</v>
      </c>
      <c r="D1141" s="5">
        <v>1</v>
      </c>
      <c r="E1141" s="5" t="str">
        <f>_xlfn.SWITCH(recruitment_data3[[#This Row],[EducationLevel]], 1,"Bachelor Type 1", 2,"Bachelor Type 2", 3,"Masters", 4,"PhD")</f>
        <v>Bachelor Type 2</v>
      </c>
      <c r="F1141" s="5">
        <v>2</v>
      </c>
      <c r="G1141" s="5">
        <v>3</v>
      </c>
      <c r="H1141" s="5">
        <v>5</v>
      </c>
      <c r="I1141" s="5">
        <v>10.749836876050988</v>
      </c>
      <c r="J1141" s="5">
        <v>67</v>
      </c>
      <c r="K1141" s="5">
        <v>58</v>
      </c>
      <c r="L1141" s="5">
        <v>95</v>
      </c>
      <c r="M1141" s="5" t="str">
        <f>_xlfn.SWITCH(recruitment_data3[[#This Row],[RecruitmentStrategy]], 1,"Aggressive", 2,"Moderate", 3,"Conservative")</f>
        <v>Aggressive</v>
      </c>
      <c r="N1141" s="5">
        <v>1</v>
      </c>
      <c r="O1141" s="5" t="str">
        <f>IF(recruitment_data3[[#This Row],[HiringDecision]]=1,"Hired","Rejected")</f>
        <v>Hired</v>
      </c>
      <c r="P1141" s="6">
        <v>1</v>
      </c>
    </row>
    <row r="1142" spans="1:16" x14ac:dyDescent="0.25">
      <c r="A1142" s="4" t="str">
        <f t="shared" si="17"/>
        <v>C1141</v>
      </c>
      <c r="B1142" s="4">
        <v>27</v>
      </c>
      <c r="C1142" s="5" t="str">
        <f>IF(recruitment_data3[[#This Row],[Gender]]=1,"Female","Male")</f>
        <v>Female</v>
      </c>
      <c r="D1142" s="5">
        <v>1</v>
      </c>
      <c r="E1142" s="5" t="str">
        <f>_xlfn.SWITCH(recruitment_data3[[#This Row],[EducationLevel]], 1,"Bachelor Type 1", 2,"Bachelor Type 2", 3,"Masters", 4,"PhD")</f>
        <v>PhD</v>
      </c>
      <c r="F1142" s="5">
        <v>4</v>
      </c>
      <c r="G1142" s="5">
        <v>11</v>
      </c>
      <c r="H1142" s="5">
        <v>3</v>
      </c>
      <c r="I1142" s="5">
        <v>16.673867992322521</v>
      </c>
      <c r="J1142" s="5">
        <v>40</v>
      </c>
      <c r="K1142" s="5">
        <v>67</v>
      </c>
      <c r="L1142" s="5">
        <v>20</v>
      </c>
      <c r="M1142" s="5" t="str">
        <f>_xlfn.SWITCH(recruitment_data3[[#This Row],[RecruitmentStrategy]], 1,"Aggressive", 2,"Moderate", 3,"Conservative")</f>
        <v>Moderate</v>
      </c>
      <c r="N1142" s="5">
        <v>2</v>
      </c>
      <c r="O1142" s="5" t="str">
        <f>IF(recruitment_data3[[#This Row],[HiringDecision]]=1,"Hired","Rejected")</f>
        <v>Rejected</v>
      </c>
      <c r="P1142" s="6">
        <v>0</v>
      </c>
    </row>
    <row r="1143" spans="1:16" x14ac:dyDescent="0.25">
      <c r="A1143" s="4" t="str">
        <f t="shared" si="17"/>
        <v>C1142</v>
      </c>
      <c r="B1143" s="4">
        <v>23</v>
      </c>
      <c r="C1143" s="5" t="str">
        <f>IF(recruitment_data3[[#This Row],[Gender]]=1,"Female","Male")</f>
        <v>Female</v>
      </c>
      <c r="D1143" s="5">
        <v>1</v>
      </c>
      <c r="E1143" s="5" t="str">
        <f>_xlfn.SWITCH(recruitment_data3[[#This Row],[EducationLevel]], 1,"Bachelor Type 1", 2,"Bachelor Type 2", 3,"Masters", 4,"PhD")</f>
        <v>Bachelor Type 1</v>
      </c>
      <c r="F1143" s="5">
        <v>1</v>
      </c>
      <c r="G1143" s="5">
        <v>6</v>
      </c>
      <c r="H1143" s="5">
        <v>5</v>
      </c>
      <c r="I1143" s="5">
        <v>32.027842351172929</v>
      </c>
      <c r="J1143" s="5">
        <v>36</v>
      </c>
      <c r="K1143" s="5">
        <v>8</v>
      </c>
      <c r="L1143" s="5">
        <v>23</v>
      </c>
      <c r="M1143" s="5" t="str">
        <f>_xlfn.SWITCH(recruitment_data3[[#This Row],[RecruitmentStrategy]], 1,"Aggressive", 2,"Moderate", 3,"Conservative")</f>
        <v>Moderate</v>
      </c>
      <c r="N1143" s="5">
        <v>2</v>
      </c>
      <c r="O1143" s="5" t="str">
        <f>IF(recruitment_data3[[#This Row],[HiringDecision]]=1,"Hired","Rejected")</f>
        <v>Rejected</v>
      </c>
      <c r="P1143" s="6">
        <v>0</v>
      </c>
    </row>
    <row r="1144" spans="1:16" x14ac:dyDescent="0.25">
      <c r="A1144" s="4" t="str">
        <f t="shared" si="17"/>
        <v>C1143</v>
      </c>
      <c r="B1144" s="4">
        <v>43</v>
      </c>
      <c r="C1144" s="5" t="str">
        <f>IF(recruitment_data3[[#This Row],[Gender]]=1,"Female","Male")</f>
        <v>Female</v>
      </c>
      <c r="D1144" s="5">
        <v>1</v>
      </c>
      <c r="E1144" s="5" t="str">
        <f>_xlfn.SWITCH(recruitment_data3[[#This Row],[EducationLevel]], 1,"Bachelor Type 1", 2,"Bachelor Type 2", 3,"Masters", 4,"PhD")</f>
        <v>Masters</v>
      </c>
      <c r="F1144" s="5">
        <v>3</v>
      </c>
      <c r="G1144" s="5">
        <v>7</v>
      </c>
      <c r="H1144" s="5">
        <v>2</v>
      </c>
      <c r="I1144" s="5">
        <v>32.917503256536534</v>
      </c>
      <c r="J1144" s="5">
        <v>50</v>
      </c>
      <c r="K1144" s="5">
        <v>92</v>
      </c>
      <c r="L1144" s="5">
        <v>17</v>
      </c>
      <c r="M1144" s="5" t="str">
        <f>_xlfn.SWITCH(recruitment_data3[[#This Row],[RecruitmentStrategy]], 1,"Aggressive", 2,"Moderate", 3,"Conservative")</f>
        <v>Aggressive</v>
      </c>
      <c r="N1144" s="5">
        <v>1</v>
      </c>
      <c r="O1144" s="5" t="str">
        <f>IF(recruitment_data3[[#This Row],[HiringDecision]]=1,"Hired","Rejected")</f>
        <v>Hired</v>
      </c>
      <c r="P1144" s="6">
        <v>1</v>
      </c>
    </row>
    <row r="1145" spans="1:16" x14ac:dyDescent="0.25">
      <c r="A1145" s="4" t="str">
        <f t="shared" si="17"/>
        <v>C1144</v>
      </c>
      <c r="B1145" s="4">
        <v>44</v>
      </c>
      <c r="C1145" s="5" t="str">
        <f>IF(recruitment_data3[[#This Row],[Gender]]=1,"Female","Male")</f>
        <v>Female</v>
      </c>
      <c r="D1145" s="5">
        <v>1</v>
      </c>
      <c r="E1145" s="5" t="str">
        <f>_xlfn.SWITCH(recruitment_data3[[#This Row],[EducationLevel]], 1,"Bachelor Type 1", 2,"Bachelor Type 2", 3,"Masters", 4,"PhD")</f>
        <v>PhD</v>
      </c>
      <c r="F1145" s="5">
        <v>4</v>
      </c>
      <c r="G1145" s="5">
        <v>8</v>
      </c>
      <c r="H1145" s="5">
        <v>2</v>
      </c>
      <c r="I1145" s="5">
        <v>35.96923704936836</v>
      </c>
      <c r="J1145" s="5">
        <v>14</v>
      </c>
      <c r="K1145" s="5">
        <v>21</v>
      </c>
      <c r="L1145" s="5">
        <v>20</v>
      </c>
      <c r="M1145" s="5" t="str">
        <f>_xlfn.SWITCH(recruitment_data3[[#This Row],[RecruitmentStrategy]], 1,"Aggressive", 2,"Moderate", 3,"Conservative")</f>
        <v>Aggressive</v>
      </c>
      <c r="N1145" s="5">
        <v>1</v>
      </c>
      <c r="O1145" s="5" t="str">
        <f>IF(recruitment_data3[[#This Row],[HiringDecision]]=1,"Hired","Rejected")</f>
        <v>Hired</v>
      </c>
      <c r="P1145" s="6">
        <v>1</v>
      </c>
    </row>
    <row r="1146" spans="1:16" x14ac:dyDescent="0.25">
      <c r="A1146" s="4" t="str">
        <f t="shared" si="17"/>
        <v>C1145</v>
      </c>
      <c r="B1146" s="4">
        <v>22</v>
      </c>
      <c r="C1146" s="5" t="str">
        <f>IF(recruitment_data3[[#This Row],[Gender]]=1,"Female","Male")</f>
        <v>Female</v>
      </c>
      <c r="D1146" s="5">
        <v>1</v>
      </c>
      <c r="E1146" s="5" t="str">
        <f>_xlfn.SWITCH(recruitment_data3[[#This Row],[EducationLevel]], 1,"Bachelor Type 1", 2,"Bachelor Type 2", 3,"Masters", 4,"PhD")</f>
        <v>Bachelor Type 1</v>
      </c>
      <c r="F1146" s="5">
        <v>1</v>
      </c>
      <c r="G1146" s="5">
        <v>12</v>
      </c>
      <c r="H1146" s="5">
        <v>1</v>
      </c>
      <c r="I1146" s="5">
        <v>6.6005856534102838</v>
      </c>
      <c r="J1146" s="5">
        <v>7</v>
      </c>
      <c r="K1146" s="5">
        <v>26</v>
      </c>
      <c r="L1146" s="5">
        <v>53</v>
      </c>
      <c r="M1146" s="5" t="str">
        <f>_xlfn.SWITCH(recruitment_data3[[#This Row],[RecruitmentStrategy]], 1,"Aggressive", 2,"Moderate", 3,"Conservative")</f>
        <v>Moderate</v>
      </c>
      <c r="N1146" s="5">
        <v>2</v>
      </c>
      <c r="O1146" s="5" t="str">
        <f>IF(recruitment_data3[[#This Row],[HiringDecision]]=1,"Hired","Rejected")</f>
        <v>Rejected</v>
      </c>
      <c r="P1146" s="6">
        <v>0</v>
      </c>
    </row>
    <row r="1147" spans="1:16" x14ac:dyDescent="0.25">
      <c r="A1147" s="4" t="str">
        <f t="shared" si="17"/>
        <v>C1146</v>
      </c>
      <c r="B1147" s="4">
        <v>22</v>
      </c>
      <c r="C1147" s="5" t="str">
        <f>IF(recruitment_data3[[#This Row],[Gender]]=1,"Female","Male")</f>
        <v>Female</v>
      </c>
      <c r="D1147" s="5">
        <v>1</v>
      </c>
      <c r="E1147" s="5" t="str">
        <f>_xlfn.SWITCH(recruitment_data3[[#This Row],[EducationLevel]], 1,"Bachelor Type 1", 2,"Bachelor Type 2", 3,"Masters", 4,"PhD")</f>
        <v>Bachelor Type 2</v>
      </c>
      <c r="F1147" s="5">
        <v>2</v>
      </c>
      <c r="G1147" s="5">
        <v>15</v>
      </c>
      <c r="H1147" s="5">
        <v>3</v>
      </c>
      <c r="I1147" s="5">
        <v>43.473221496427769</v>
      </c>
      <c r="J1147" s="5">
        <v>37</v>
      </c>
      <c r="K1147" s="5">
        <v>9</v>
      </c>
      <c r="L1147" s="5">
        <v>9</v>
      </c>
      <c r="M1147" s="5" t="str">
        <f>_xlfn.SWITCH(recruitment_data3[[#This Row],[RecruitmentStrategy]], 1,"Aggressive", 2,"Moderate", 3,"Conservative")</f>
        <v>Moderate</v>
      </c>
      <c r="N1147" s="5">
        <v>2</v>
      </c>
      <c r="O1147" s="5" t="str">
        <f>IF(recruitment_data3[[#This Row],[HiringDecision]]=1,"Hired","Rejected")</f>
        <v>Rejected</v>
      </c>
      <c r="P1147" s="6">
        <v>0</v>
      </c>
    </row>
    <row r="1148" spans="1:16" x14ac:dyDescent="0.25">
      <c r="A1148" s="4" t="str">
        <f t="shared" si="17"/>
        <v>C1147</v>
      </c>
      <c r="B1148" s="4">
        <v>46</v>
      </c>
      <c r="C1148" s="5" t="str">
        <f>IF(recruitment_data3[[#This Row],[Gender]]=1,"Female","Male")</f>
        <v>Female</v>
      </c>
      <c r="D1148" s="5">
        <v>1</v>
      </c>
      <c r="E1148" s="5" t="str">
        <f>_xlfn.SWITCH(recruitment_data3[[#This Row],[EducationLevel]], 1,"Bachelor Type 1", 2,"Bachelor Type 2", 3,"Masters", 4,"PhD")</f>
        <v>Bachelor Type 2</v>
      </c>
      <c r="F1148" s="5">
        <v>2</v>
      </c>
      <c r="G1148" s="5">
        <v>10</v>
      </c>
      <c r="H1148" s="5">
        <v>1</v>
      </c>
      <c r="I1148" s="5">
        <v>27.642356614162992</v>
      </c>
      <c r="J1148" s="5">
        <v>82</v>
      </c>
      <c r="K1148" s="5">
        <v>79</v>
      </c>
      <c r="L1148" s="5">
        <v>23</v>
      </c>
      <c r="M1148" s="5" t="str">
        <f>_xlfn.SWITCH(recruitment_data3[[#This Row],[RecruitmentStrategy]], 1,"Aggressive", 2,"Moderate", 3,"Conservative")</f>
        <v>Conservative</v>
      </c>
      <c r="N1148" s="5">
        <v>3</v>
      </c>
      <c r="O1148" s="5" t="str">
        <f>IF(recruitment_data3[[#This Row],[HiringDecision]]=1,"Hired","Rejected")</f>
        <v>Rejected</v>
      </c>
      <c r="P1148" s="6">
        <v>0</v>
      </c>
    </row>
    <row r="1149" spans="1:16" x14ac:dyDescent="0.25">
      <c r="A1149" s="4" t="str">
        <f t="shared" si="17"/>
        <v>C1148</v>
      </c>
      <c r="B1149" s="4">
        <v>48</v>
      </c>
      <c r="C1149" s="5" t="str">
        <f>IF(recruitment_data3[[#This Row],[Gender]]=1,"Female","Male")</f>
        <v>Male</v>
      </c>
      <c r="D1149" s="5">
        <v>0</v>
      </c>
      <c r="E1149" s="5" t="str">
        <f>_xlfn.SWITCH(recruitment_data3[[#This Row],[EducationLevel]], 1,"Bachelor Type 1", 2,"Bachelor Type 2", 3,"Masters", 4,"PhD")</f>
        <v>Bachelor Type 2</v>
      </c>
      <c r="F1149" s="5">
        <v>2</v>
      </c>
      <c r="G1149" s="5">
        <v>5</v>
      </c>
      <c r="H1149" s="5">
        <v>2</v>
      </c>
      <c r="I1149" s="5">
        <v>24.566089705253418</v>
      </c>
      <c r="J1149" s="5">
        <v>55</v>
      </c>
      <c r="K1149" s="5">
        <v>60</v>
      </c>
      <c r="L1149" s="5">
        <v>84</v>
      </c>
      <c r="M1149" s="5" t="str">
        <f>_xlfn.SWITCH(recruitment_data3[[#This Row],[RecruitmentStrategy]], 1,"Aggressive", 2,"Moderate", 3,"Conservative")</f>
        <v>Aggressive</v>
      </c>
      <c r="N1149" s="5">
        <v>1</v>
      </c>
      <c r="O1149" s="5" t="str">
        <f>IF(recruitment_data3[[#This Row],[HiringDecision]]=1,"Hired","Rejected")</f>
        <v>Hired</v>
      </c>
      <c r="P1149" s="6">
        <v>1</v>
      </c>
    </row>
    <row r="1150" spans="1:16" x14ac:dyDescent="0.25">
      <c r="A1150" s="4" t="str">
        <f t="shared" si="17"/>
        <v>C1149</v>
      </c>
      <c r="B1150" s="4">
        <v>37</v>
      </c>
      <c r="C1150" s="5" t="str">
        <f>IF(recruitment_data3[[#This Row],[Gender]]=1,"Female","Male")</f>
        <v>Male</v>
      </c>
      <c r="D1150" s="5">
        <v>0</v>
      </c>
      <c r="E1150" s="5" t="str">
        <f>_xlfn.SWITCH(recruitment_data3[[#This Row],[EducationLevel]], 1,"Bachelor Type 1", 2,"Bachelor Type 2", 3,"Masters", 4,"PhD")</f>
        <v>Bachelor Type 1</v>
      </c>
      <c r="F1150" s="5">
        <v>1</v>
      </c>
      <c r="G1150" s="5">
        <v>14</v>
      </c>
      <c r="H1150" s="5">
        <v>2</v>
      </c>
      <c r="I1150" s="5">
        <v>50.05488122567548</v>
      </c>
      <c r="J1150" s="5">
        <v>46</v>
      </c>
      <c r="K1150" s="5">
        <v>50</v>
      </c>
      <c r="L1150" s="5">
        <v>88</v>
      </c>
      <c r="M1150" s="5" t="str">
        <f>_xlfn.SWITCH(recruitment_data3[[#This Row],[RecruitmentStrategy]], 1,"Aggressive", 2,"Moderate", 3,"Conservative")</f>
        <v>Aggressive</v>
      </c>
      <c r="N1150" s="5">
        <v>1</v>
      </c>
      <c r="O1150" s="5" t="str">
        <f>IF(recruitment_data3[[#This Row],[HiringDecision]]=1,"Hired","Rejected")</f>
        <v>Hired</v>
      </c>
      <c r="P1150" s="6">
        <v>1</v>
      </c>
    </row>
    <row r="1151" spans="1:16" x14ac:dyDescent="0.25">
      <c r="A1151" s="4" t="str">
        <f t="shared" si="17"/>
        <v>C1150</v>
      </c>
      <c r="B1151" s="4">
        <v>48</v>
      </c>
      <c r="C1151" s="5" t="str">
        <f>IF(recruitment_data3[[#This Row],[Gender]]=1,"Female","Male")</f>
        <v>Female</v>
      </c>
      <c r="D1151" s="5">
        <v>1</v>
      </c>
      <c r="E1151" s="5" t="str">
        <f>_xlfn.SWITCH(recruitment_data3[[#This Row],[EducationLevel]], 1,"Bachelor Type 1", 2,"Bachelor Type 2", 3,"Masters", 4,"PhD")</f>
        <v>Bachelor Type 1</v>
      </c>
      <c r="F1151" s="5">
        <v>1</v>
      </c>
      <c r="G1151" s="5">
        <v>5</v>
      </c>
      <c r="H1151" s="5">
        <v>4</v>
      </c>
      <c r="I1151" s="5">
        <v>38.018914847050986</v>
      </c>
      <c r="J1151" s="5">
        <v>89</v>
      </c>
      <c r="K1151" s="5">
        <v>9</v>
      </c>
      <c r="L1151" s="5">
        <v>59</v>
      </c>
      <c r="M1151" s="5" t="str">
        <f>_xlfn.SWITCH(recruitment_data3[[#This Row],[RecruitmentStrategy]], 1,"Aggressive", 2,"Moderate", 3,"Conservative")</f>
        <v>Aggressive</v>
      </c>
      <c r="N1151" s="5">
        <v>1</v>
      </c>
      <c r="O1151" s="5" t="str">
        <f>IF(recruitment_data3[[#This Row],[HiringDecision]]=1,"Hired","Rejected")</f>
        <v>Rejected</v>
      </c>
      <c r="P1151" s="6">
        <v>0</v>
      </c>
    </row>
    <row r="1152" spans="1:16" x14ac:dyDescent="0.25">
      <c r="A1152" s="4" t="str">
        <f t="shared" si="17"/>
        <v>C1151</v>
      </c>
      <c r="B1152" s="4">
        <v>45</v>
      </c>
      <c r="C1152" s="5" t="str">
        <f>IF(recruitment_data3[[#This Row],[Gender]]=1,"Female","Male")</f>
        <v>Male</v>
      </c>
      <c r="D1152" s="5">
        <v>0</v>
      </c>
      <c r="E1152" s="5" t="str">
        <f>_xlfn.SWITCH(recruitment_data3[[#This Row],[EducationLevel]], 1,"Bachelor Type 1", 2,"Bachelor Type 2", 3,"Masters", 4,"PhD")</f>
        <v>Bachelor Type 2</v>
      </c>
      <c r="F1152" s="5">
        <v>2</v>
      </c>
      <c r="G1152" s="5">
        <v>7</v>
      </c>
      <c r="H1152" s="5">
        <v>5</v>
      </c>
      <c r="I1152" s="5">
        <v>6.9003013309687438</v>
      </c>
      <c r="J1152" s="5">
        <v>9</v>
      </c>
      <c r="K1152" s="5">
        <v>5</v>
      </c>
      <c r="L1152" s="5">
        <v>56</v>
      </c>
      <c r="M1152" s="5" t="str">
        <f>_xlfn.SWITCH(recruitment_data3[[#This Row],[RecruitmentStrategy]], 1,"Aggressive", 2,"Moderate", 3,"Conservative")</f>
        <v>Moderate</v>
      </c>
      <c r="N1152" s="5">
        <v>2</v>
      </c>
      <c r="O1152" s="5" t="str">
        <f>IF(recruitment_data3[[#This Row],[HiringDecision]]=1,"Hired","Rejected")</f>
        <v>Rejected</v>
      </c>
      <c r="P1152" s="6">
        <v>0</v>
      </c>
    </row>
    <row r="1153" spans="1:16" x14ac:dyDescent="0.25">
      <c r="A1153" s="4" t="str">
        <f t="shared" si="17"/>
        <v>C1152</v>
      </c>
      <c r="B1153" s="4">
        <v>38</v>
      </c>
      <c r="C1153" s="5" t="str">
        <f>IF(recruitment_data3[[#This Row],[Gender]]=1,"Female","Male")</f>
        <v>Female</v>
      </c>
      <c r="D1153" s="5">
        <v>1</v>
      </c>
      <c r="E1153" s="5" t="str">
        <f>_xlfn.SWITCH(recruitment_data3[[#This Row],[EducationLevel]], 1,"Bachelor Type 1", 2,"Bachelor Type 2", 3,"Masters", 4,"PhD")</f>
        <v>Masters</v>
      </c>
      <c r="F1153" s="5">
        <v>3</v>
      </c>
      <c r="G1153" s="5">
        <v>11</v>
      </c>
      <c r="H1153" s="5">
        <v>2</v>
      </c>
      <c r="I1153" s="5">
        <v>38.826958361312037</v>
      </c>
      <c r="J1153" s="5">
        <v>77</v>
      </c>
      <c r="K1153" s="5">
        <v>61</v>
      </c>
      <c r="L1153" s="5">
        <v>22</v>
      </c>
      <c r="M1153" s="5" t="str">
        <f>_xlfn.SWITCH(recruitment_data3[[#This Row],[RecruitmentStrategy]], 1,"Aggressive", 2,"Moderate", 3,"Conservative")</f>
        <v>Moderate</v>
      </c>
      <c r="N1153" s="5">
        <v>2</v>
      </c>
      <c r="O1153" s="5" t="str">
        <f>IF(recruitment_data3[[#This Row],[HiringDecision]]=1,"Hired","Rejected")</f>
        <v>Hired</v>
      </c>
      <c r="P1153" s="6">
        <v>1</v>
      </c>
    </row>
    <row r="1154" spans="1:16" x14ac:dyDescent="0.25">
      <c r="A1154" s="4" t="str">
        <f t="shared" ref="A1154:A1217" si="18">"C"&amp;TEXT(ROW()-1,"0000")</f>
        <v>C1153</v>
      </c>
      <c r="B1154" s="4">
        <v>38</v>
      </c>
      <c r="C1154" s="5" t="str">
        <f>IF(recruitment_data3[[#This Row],[Gender]]=1,"Female","Male")</f>
        <v>Female</v>
      </c>
      <c r="D1154" s="5">
        <v>1</v>
      </c>
      <c r="E1154" s="5" t="str">
        <f>_xlfn.SWITCH(recruitment_data3[[#This Row],[EducationLevel]], 1,"Bachelor Type 1", 2,"Bachelor Type 2", 3,"Masters", 4,"PhD")</f>
        <v>Masters</v>
      </c>
      <c r="F1154" s="5">
        <v>3</v>
      </c>
      <c r="G1154" s="5">
        <v>4</v>
      </c>
      <c r="H1154" s="5">
        <v>1</v>
      </c>
      <c r="I1154" s="5">
        <v>5.7624466986434744</v>
      </c>
      <c r="J1154" s="5">
        <v>48</v>
      </c>
      <c r="K1154" s="5">
        <v>4</v>
      </c>
      <c r="L1154" s="5">
        <v>21</v>
      </c>
      <c r="M1154" s="5" t="str">
        <f>_xlfn.SWITCH(recruitment_data3[[#This Row],[RecruitmentStrategy]], 1,"Aggressive", 2,"Moderate", 3,"Conservative")</f>
        <v>Conservative</v>
      </c>
      <c r="N1154" s="5">
        <v>3</v>
      </c>
      <c r="O1154" s="5" t="str">
        <f>IF(recruitment_data3[[#This Row],[HiringDecision]]=1,"Hired","Rejected")</f>
        <v>Rejected</v>
      </c>
      <c r="P1154" s="6">
        <v>0</v>
      </c>
    </row>
    <row r="1155" spans="1:16" x14ac:dyDescent="0.25">
      <c r="A1155" s="4" t="str">
        <f t="shared" si="18"/>
        <v>C1154</v>
      </c>
      <c r="B1155" s="4">
        <v>40</v>
      </c>
      <c r="C1155" s="5" t="str">
        <f>IF(recruitment_data3[[#This Row],[Gender]]=1,"Female","Male")</f>
        <v>Male</v>
      </c>
      <c r="D1155" s="5">
        <v>0</v>
      </c>
      <c r="E1155" s="5" t="str">
        <f>_xlfn.SWITCH(recruitment_data3[[#This Row],[EducationLevel]], 1,"Bachelor Type 1", 2,"Bachelor Type 2", 3,"Masters", 4,"PhD")</f>
        <v>Bachelor Type 2</v>
      </c>
      <c r="F1155" s="5">
        <v>2</v>
      </c>
      <c r="G1155" s="5">
        <v>13</v>
      </c>
      <c r="H1155" s="5">
        <v>1</v>
      </c>
      <c r="I1155" s="5">
        <v>2.3735281256492424</v>
      </c>
      <c r="J1155" s="5">
        <v>40</v>
      </c>
      <c r="K1155" s="5">
        <v>69</v>
      </c>
      <c r="L1155" s="5">
        <v>67</v>
      </c>
      <c r="M1155" s="5" t="str">
        <f>_xlfn.SWITCH(recruitment_data3[[#This Row],[RecruitmentStrategy]], 1,"Aggressive", 2,"Moderate", 3,"Conservative")</f>
        <v>Moderate</v>
      </c>
      <c r="N1155" s="5">
        <v>2</v>
      </c>
      <c r="O1155" s="5" t="str">
        <f>IF(recruitment_data3[[#This Row],[HiringDecision]]=1,"Hired","Rejected")</f>
        <v>Rejected</v>
      </c>
      <c r="P1155" s="6">
        <v>0</v>
      </c>
    </row>
    <row r="1156" spans="1:16" x14ac:dyDescent="0.25">
      <c r="A1156" s="4" t="str">
        <f t="shared" si="18"/>
        <v>C1155</v>
      </c>
      <c r="B1156" s="4">
        <v>24</v>
      </c>
      <c r="C1156" s="5" t="str">
        <f>IF(recruitment_data3[[#This Row],[Gender]]=1,"Female","Male")</f>
        <v>Female</v>
      </c>
      <c r="D1156" s="5">
        <v>1</v>
      </c>
      <c r="E1156" s="5" t="str">
        <f>_xlfn.SWITCH(recruitment_data3[[#This Row],[EducationLevel]], 1,"Bachelor Type 1", 2,"Bachelor Type 2", 3,"Masters", 4,"PhD")</f>
        <v>Bachelor Type 1</v>
      </c>
      <c r="F1156" s="5">
        <v>1</v>
      </c>
      <c r="G1156" s="5">
        <v>2</v>
      </c>
      <c r="H1156" s="5">
        <v>5</v>
      </c>
      <c r="I1156" s="5">
        <v>21.181294763494854</v>
      </c>
      <c r="J1156" s="5">
        <v>82</v>
      </c>
      <c r="K1156" s="5">
        <v>62</v>
      </c>
      <c r="L1156" s="5">
        <v>33</v>
      </c>
      <c r="M1156" s="5" t="str">
        <f>_xlfn.SWITCH(recruitment_data3[[#This Row],[RecruitmentStrategy]], 1,"Aggressive", 2,"Moderate", 3,"Conservative")</f>
        <v>Aggressive</v>
      </c>
      <c r="N1156" s="5">
        <v>1</v>
      </c>
      <c r="O1156" s="5" t="str">
        <f>IF(recruitment_data3[[#This Row],[HiringDecision]]=1,"Hired","Rejected")</f>
        <v>Hired</v>
      </c>
      <c r="P1156" s="6">
        <v>1</v>
      </c>
    </row>
    <row r="1157" spans="1:16" x14ac:dyDescent="0.25">
      <c r="A1157" s="4" t="str">
        <f t="shared" si="18"/>
        <v>C1156</v>
      </c>
      <c r="B1157" s="4">
        <v>37</v>
      </c>
      <c r="C1157" s="5" t="str">
        <f>IF(recruitment_data3[[#This Row],[Gender]]=1,"Female","Male")</f>
        <v>Female</v>
      </c>
      <c r="D1157" s="5">
        <v>1</v>
      </c>
      <c r="E1157" s="5" t="str">
        <f>_xlfn.SWITCH(recruitment_data3[[#This Row],[EducationLevel]], 1,"Bachelor Type 1", 2,"Bachelor Type 2", 3,"Masters", 4,"PhD")</f>
        <v>Bachelor Type 2</v>
      </c>
      <c r="F1157" s="5">
        <v>2</v>
      </c>
      <c r="G1157" s="5">
        <v>11</v>
      </c>
      <c r="H1157" s="5">
        <v>5</v>
      </c>
      <c r="I1157" s="5">
        <v>50.678908640960934</v>
      </c>
      <c r="J1157" s="5">
        <v>29</v>
      </c>
      <c r="K1157" s="5">
        <v>55</v>
      </c>
      <c r="L1157" s="5">
        <v>69</v>
      </c>
      <c r="M1157" s="5" t="str">
        <f>_xlfn.SWITCH(recruitment_data3[[#This Row],[RecruitmentStrategy]], 1,"Aggressive", 2,"Moderate", 3,"Conservative")</f>
        <v>Moderate</v>
      </c>
      <c r="N1157" s="5">
        <v>2</v>
      </c>
      <c r="O1157" s="5" t="str">
        <f>IF(recruitment_data3[[#This Row],[HiringDecision]]=1,"Hired","Rejected")</f>
        <v>Rejected</v>
      </c>
      <c r="P1157" s="6">
        <v>0</v>
      </c>
    </row>
    <row r="1158" spans="1:16" x14ac:dyDescent="0.25">
      <c r="A1158" s="4" t="str">
        <f t="shared" si="18"/>
        <v>C1157</v>
      </c>
      <c r="B1158" s="4">
        <v>47</v>
      </c>
      <c r="C1158" s="5" t="str">
        <f>IF(recruitment_data3[[#This Row],[Gender]]=1,"Female","Male")</f>
        <v>Female</v>
      </c>
      <c r="D1158" s="5">
        <v>1</v>
      </c>
      <c r="E1158" s="5" t="str">
        <f>_xlfn.SWITCH(recruitment_data3[[#This Row],[EducationLevel]], 1,"Bachelor Type 1", 2,"Bachelor Type 2", 3,"Masters", 4,"PhD")</f>
        <v>Bachelor Type 2</v>
      </c>
      <c r="F1158" s="5">
        <v>2</v>
      </c>
      <c r="G1158" s="5">
        <v>2</v>
      </c>
      <c r="H1158" s="5">
        <v>4</v>
      </c>
      <c r="I1158" s="5">
        <v>9.7441968097431317</v>
      </c>
      <c r="J1158" s="5">
        <v>4</v>
      </c>
      <c r="K1158" s="5">
        <v>58</v>
      </c>
      <c r="L1158" s="5">
        <v>27</v>
      </c>
      <c r="M1158" s="5" t="str">
        <f>_xlfn.SWITCH(recruitment_data3[[#This Row],[RecruitmentStrategy]], 1,"Aggressive", 2,"Moderate", 3,"Conservative")</f>
        <v>Conservative</v>
      </c>
      <c r="N1158" s="5">
        <v>3</v>
      </c>
      <c r="O1158" s="5" t="str">
        <f>IF(recruitment_data3[[#This Row],[HiringDecision]]=1,"Hired","Rejected")</f>
        <v>Rejected</v>
      </c>
      <c r="P1158" s="6">
        <v>0</v>
      </c>
    </row>
    <row r="1159" spans="1:16" x14ac:dyDescent="0.25">
      <c r="A1159" s="4" t="str">
        <f t="shared" si="18"/>
        <v>C1158</v>
      </c>
      <c r="B1159" s="4">
        <v>29</v>
      </c>
      <c r="C1159" s="5" t="str">
        <f>IF(recruitment_data3[[#This Row],[Gender]]=1,"Female","Male")</f>
        <v>Female</v>
      </c>
      <c r="D1159" s="5">
        <v>1</v>
      </c>
      <c r="E1159" s="5" t="str">
        <f>_xlfn.SWITCH(recruitment_data3[[#This Row],[EducationLevel]], 1,"Bachelor Type 1", 2,"Bachelor Type 2", 3,"Masters", 4,"PhD")</f>
        <v>PhD</v>
      </c>
      <c r="F1159" s="5">
        <v>4</v>
      </c>
      <c r="G1159" s="5">
        <v>12</v>
      </c>
      <c r="H1159" s="5">
        <v>3</v>
      </c>
      <c r="I1159" s="5">
        <v>34.632217176339502</v>
      </c>
      <c r="J1159" s="5">
        <v>94</v>
      </c>
      <c r="K1159" s="5">
        <v>62</v>
      </c>
      <c r="L1159" s="5">
        <v>94</v>
      </c>
      <c r="M1159" s="5" t="str">
        <f>_xlfn.SWITCH(recruitment_data3[[#This Row],[RecruitmentStrategy]], 1,"Aggressive", 2,"Moderate", 3,"Conservative")</f>
        <v>Moderate</v>
      </c>
      <c r="N1159" s="5">
        <v>2</v>
      </c>
      <c r="O1159" s="5" t="str">
        <f>IF(recruitment_data3[[#This Row],[HiringDecision]]=1,"Hired","Rejected")</f>
        <v>Hired</v>
      </c>
      <c r="P1159" s="6">
        <v>1</v>
      </c>
    </row>
    <row r="1160" spans="1:16" x14ac:dyDescent="0.25">
      <c r="A1160" s="4" t="str">
        <f t="shared" si="18"/>
        <v>C1159</v>
      </c>
      <c r="B1160" s="4">
        <v>48</v>
      </c>
      <c r="C1160" s="5" t="str">
        <f>IF(recruitment_data3[[#This Row],[Gender]]=1,"Female","Male")</f>
        <v>Male</v>
      </c>
      <c r="D1160" s="5">
        <v>0</v>
      </c>
      <c r="E1160" s="5" t="str">
        <f>_xlfn.SWITCH(recruitment_data3[[#This Row],[EducationLevel]], 1,"Bachelor Type 1", 2,"Bachelor Type 2", 3,"Masters", 4,"PhD")</f>
        <v>Masters</v>
      </c>
      <c r="F1160" s="5">
        <v>3</v>
      </c>
      <c r="G1160" s="5">
        <v>5</v>
      </c>
      <c r="H1160" s="5">
        <v>1</v>
      </c>
      <c r="I1160" s="5">
        <v>9.6698033103059675</v>
      </c>
      <c r="J1160" s="5">
        <v>70</v>
      </c>
      <c r="K1160" s="5">
        <v>88</v>
      </c>
      <c r="L1160" s="5">
        <v>98</v>
      </c>
      <c r="M1160" s="5" t="str">
        <f>_xlfn.SWITCH(recruitment_data3[[#This Row],[RecruitmentStrategy]], 1,"Aggressive", 2,"Moderate", 3,"Conservative")</f>
        <v>Moderate</v>
      </c>
      <c r="N1160" s="5">
        <v>2</v>
      </c>
      <c r="O1160" s="5" t="str">
        <f>IF(recruitment_data3[[#This Row],[HiringDecision]]=1,"Hired","Rejected")</f>
        <v>Rejected</v>
      </c>
      <c r="P1160" s="6">
        <v>0</v>
      </c>
    </row>
    <row r="1161" spans="1:16" x14ac:dyDescent="0.25">
      <c r="A1161" s="4" t="str">
        <f t="shared" si="18"/>
        <v>C1160</v>
      </c>
      <c r="B1161" s="4">
        <v>41</v>
      </c>
      <c r="C1161" s="5" t="str">
        <f>IF(recruitment_data3[[#This Row],[Gender]]=1,"Female","Male")</f>
        <v>Female</v>
      </c>
      <c r="D1161" s="5">
        <v>1</v>
      </c>
      <c r="E1161" s="5" t="str">
        <f>_xlfn.SWITCH(recruitment_data3[[#This Row],[EducationLevel]], 1,"Bachelor Type 1", 2,"Bachelor Type 2", 3,"Masters", 4,"PhD")</f>
        <v>Masters</v>
      </c>
      <c r="F1161" s="5">
        <v>3</v>
      </c>
      <c r="G1161" s="5">
        <v>1</v>
      </c>
      <c r="H1161" s="5">
        <v>5</v>
      </c>
      <c r="I1161" s="5">
        <v>37.239348747919301</v>
      </c>
      <c r="J1161" s="5">
        <v>82</v>
      </c>
      <c r="K1161" s="5">
        <v>58</v>
      </c>
      <c r="L1161" s="5">
        <v>38</v>
      </c>
      <c r="M1161" s="5" t="str">
        <f>_xlfn.SWITCH(recruitment_data3[[#This Row],[RecruitmentStrategy]], 1,"Aggressive", 2,"Moderate", 3,"Conservative")</f>
        <v>Conservative</v>
      </c>
      <c r="N1161" s="5">
        <v>3</v>
      </c>
      <c r="O1161" s="5" t="str">
        <f>IF(recruitment_data3[[#This Row],[HiringDecision]]=1,"Hired","Rejected")</f>
        <v>Rejected</v>
      </c>
      <c r="P1161" s="6">
        <v>0</v>
      </c>
    </row>
    <row r="1162" spans="1:16" x14ac:dyDescent="0.25">
      <c r="A1162" s="4" t="str">
        <f t="shared" si="18"/>
        <v>C1161</v>
      </c>
      <c r="B1162" s="4">
        <v>40</v>
      </c>
      <c r="C1162" s="5" t="str">
        <f>IF(recruitment_data3[[#This Row],[Gender]]=1,"Female","Male")</f>
        <v>Female</v>
      </c>
      <c r="D1162" s="5">
        <v>1</v>
      </c>
      <c r="E1162" s="5" t="str">
        <f>_xlfn.SWITCH(recruitment_data3[[#This Row],[EducationLevel]], 1,"Bachelor Type 1", 2,"Bachelor Type 2", 3,"Masters", 4,"PhD")</f>
        <v>PhD</v>
      </c>
      <c r="F1162" s="5">
        <v>4</v>
      </c>
      <c r="G1162" s="5">
        <v>15</v>
      </c>
      <c r="H1162" s="5">
        <v>1</v>
      </c>
      <c r="I1162" s="5">
        <v>26.267683411891305</v>
      </c>
      <c r="J1162" s="5">
        <v>30</v>
      </c>
      <c r="K1162" s="5">
        <v>50</v>
      </c>
      <c r="L1162" s="5">
        <v>41</v>
      </c>
      <c r="M1162" s="5" t="str">
        <f>_xlfn.SWITCH(recruitment_data3[[#This Row],[RecruitmentStrategy]], 1,"Aggressive", 2,"Moderate", 3,"Conservative")</f>
        <v>Moderate</v>
      </c>
      <c r="N1162" s="5">
        <v>2</v>
      </c>
      <c r="O1162" s="5" t="str">
        <f>IF(recruitment_data3[[#This Row],[HiringDecision]]=1,"Hired","Rejected")</f>
        <v>Rejected</v>
      </c>
      <c r="P1162" s="6">
        <v>0</v>
      </c>
    </row>
    <row r="1163" spans="1:16" x14ac:dyDescent="0.25">
      <c r="A1163" s="4" t="str">
        <f t="shared" si="18"/>
        <v>C1162</v>
      </c>
      <c r="B1163" s="4">
        <v>25</v>
      </c>
      <c r="C1163" s="5" t="str">
        <f>IF(recruitment_data3[[#This Row],[Gender]]=1,"Female","Male")</f>
        <v>Female</v>
      </c>
      <c r="D1163" s="5">
        <v>1</v>
      </c>
      <c r="E1163" s="5" t="str">
        <f>_xlfn.SWITCH(recruitment_data3[[#This Row],[EducationLevel]], 1,"Bachelor Type 1", 2,"Bachelor Type 2", 3,"Masters", 4,"PhD")</f>
        <v>Bachelor Type 1</v>
      </c>
      <c r="F1163" s="5">
        <v>1</v>
      </c>
      <c r="G1163" s="5">
        <v>5</v>
      </c>
      <c r="H1163" s="5">
        <v>5</v>
      </c>
      <c r="I1163" s="5">
        <v>34.998585504468814</v>
      </c>
      <c r="J1163" s="5">
        <v>51</v>
      </c>
      <c r="K1163" s="5">
        <v>49</v>
      </c>
      <c r="L1163" s="5">
        <v>22</v>
      </c>
      <c r="M1163" s="5" t="str">
        <f>_xlfn.SWITCH(recruitment_data3[[#This Row],[RecruitmentStrategy]], 1,"Aggressive", 2,"Moderate", 3,"Conservative")</f>
        <v>Moderate</v>
      </c>
      <c r="N1163" s="5">
        <v>2</v>
      </c>
      <c r="O1163" s="5" t="str">
        <f>IF(recruitment_data3[[#This Row],[HiringDecision]]=1,"Hired","Rejected")</f>
        <v>Rejected</v>
      </c>
      <c r="P1163" s="6">
        <v>0</v>
      </c>
    </row>
    <row r="1164" spans="1:16" x14ac:dyDescent="0.25">
      <c r="A1164" s="4" t="str">
        <f t="shared" si="18"/>
        <v>C1163</v>
      </c>
      <c r="B1164" s="4">
        <v>20</v>
      </c>
      <c r="C1164" s="5" t="str">
        <f>IF(recruitment_data3[[#This Row],[Gender]]=1,"Female","Male")</f>
        <v>Male</v>
      </c>
      <c r="D1164" s="5">
        <v>0</v>
      </c>
      <c r="E1164" s="5" t="str">
        <f>_xlfn.SWITCH(recruitment_data3[[#This Row],[EducationLevel]], 1,"Bachelor Type 1", 2,"Bachelor Type 2", 3,"Masters", 4,"PhD")</f>
        <v>Masters</v>
      </c>
      <c r="F1164" s="5">
        <v>3</v>
      </c>
      <c r="G1164" s="5">
        <v>15</v>
      </c>
      <c r="H1164" s="5">
        <v>2</v>
      </c>
      <c r="I1164" s="5">
        <v>11.14365879571173</v>
      </c>
      <c r="J1164" s="5">
        <v>87</v>
      </c>
      <c r="K1164" s="5">
        <v>3</v>
      </c>
      <c r="L1164" s="5">
        <v>69</v>
      </c>
      <c r="M1164" s="5" t="str">
        <f>_xlfn.SWITCH(recruitment_data3[[#This Row],[RecruitmentStrategy]], 1,"Aggressive", 2,"Moderate", 3,"Conservative")</f>
        <v>Aggressive</v>
      </c>
      <c r="N1164" s="5">
        <v>1</v>
      </c>
      <c r="O1164" s="5" t="str">
        <f>IF(recruitment_data3[[#This Row],[HiringDecision]]=1,"Hired","Rejected")</f>
        <v>Hired</v>
      </c>
      <c r="P1164" s="6">
        <v>1</v>
      </c>
    </row>
    <row r="1165" spans="1:16" x14ac:dyDescent="0.25">
      <c r="A1165" s="4" t="str">
        <f t="shared" si="18"/>
        <v>C1164</v>
      </c>
      <c r="B1165" s="4">
        <v>24</v>
      </c>
      <c r="C1165" s="5" t="str">
        <f>IF(recruitment_data3[[#This Row],[Gender]]=1,"Female","Male")</f>
        <v>Female</v>
      </c>
      <c r="D1165" s="5">
        <v>1</v>
      </c>
      <c r="E1165" s="5" t="str">
        <f>_xlfn.SWITCH(recruitment_data3[[#This Row],[EducationLevel]], 1,"Bachelor Type 1", 2,"Bachelor Type 2", 3,"Masters", 4,"PhD")</f>
        <v>Bachelor Type 2</v>
      </c>
      <c r="F1165" s="5">
        <v>2</v>
      </c>
      <c r="G1165" s="5">
        <v>12</v>
      </c>
      <c r="H1165" s="5">
        <v>1</v>
      </c>
      <c r="I1165" s="5">
        <v>38.281416626025099</v>
      </c>
      <c r="J1165" s="5">
        <v>97</v>
      </c>
      <c r="K1165" s="5">
        <v>47</v>
      </c>
      <c r="L1165" s="5">
        <v>79</v>
      </c>
      <c r="M1165" s="5" t="str">
        <f>_xlfn.SWITCH(recruitment_data3[[#This Row],[RecruitmentStrategy]], 1,"Aggressive", 2,"Moderate", 3,"Conservative")</f>
        <v>Moderate</v>
      </c>
      <c r="N1165" s="5">
        <v>2</v>
      </c>
      <c r="O1165" s="5" t="str">
        <f>IF(recruitment_data3[[#This Row],[HiringDecision]]=1,"Hired","Rejected")</f>
        <v>Rejected</v>
      </c>
      <c r="P1165" s="6">
        <v>0</v>
      </c>
    </row>
    <row r="1166" spans="1:16" x14ac:dyDescent="0.25">
      <c r="A1166" s="4" t="str">
        <f t="shared" si="18"/>
        <v>C1165</v>
      </c>
      <c r="B1166" s="4">
        <v>28</v>
      </c>
      <c r="C1166" s="5" t="str">
        <f>IF(recruitment_data3[[#This Row],[Gender]]=1,"Female","Male")</f>
        <v>Male</v>
      </c>
      <c r="D1166" s="5">
        <v>0</v>
      </c>
      <c r="E1166" s="5" t="str">
        <f>_xlfn.SWITCH(recruitment_data3[[#This Row],[EducationLevel]], 1,"Bachelor Type 1", 2,"Bachelor Type 2", 3,"Masters", 4,"PhD")</f>
        <v>PhD</v>
      </c>
      <c r="F1166" s="5">
        <v>4</v>
      </c>
      <c r="G1166" s="5">
        <v>5</v>
      </c>
      <c r="H1166" s="5">
        <v>2</v>
      </c>
      <c r="I1166" s="5">
        <v>50.780952981135336</v>
      </c>
      <c r="J1166" s="5">
        <v>22</v>
      </c>
      <c r="K1166" s="5">
        <v>31</v>
      </c>
      <c r="L1166" s="5">
        <v>1</v>
      </c>
      <c r="M1166" s="5" t="str">
        <f>_xlfn.SWITCH(recruitment_data3[[#This Row],[RecruitmentStrategy]], 1,"Aggressive", 2,"Moderate", 3,"Conservative")</f>
        <v>Aggressive</v>
      </c>
      <c r="N1166" s="5">
        <v>1</v>
      </c>
      <c r="O1166" s="5" t="str">
        <f>IF(recruitment_data3[[#This Row],[HiringDecision]]=1,"Hired","Rejected")</f>
        <v>Rejected</v>
      </c>
      <c r="P1166" s="6">
        <v>0</v>
      </c>
    </row>
    <row r="1167" spans="1:16" x14ac:dyDescent="0.25">
      <c r="A1167" s="4" t="str">
        <f t="shared" si="18"/>
        <v>C1166</v>
      </c>
      <c r="B1167" s="4">
        <v>31</v>
      </c>
      <c r="C1167" s="5" t="str">
        <f>IF(recruitment_data3[[#This Row],[Gender]]=1,"Female","Male")</f>
        <v>Male</v>
      </c>
      <c r="D1167" s="5">
        <v>0</v>
      </c>
      <c r="E1167" s="5" t="str">
        <f>_xlfn.SWITCH(recruitment_data3[[#This Row],[EducationLevel]], 1,"Bachelor Type 1", 2,"Bachelor Type 2", 3,"Masters", 4,"PhD")</f>
        <v>Bachelor Type 2</v>
      </c>
      <c r="F1167" s="5">
        <v>2</v>
      </c>
      <c r="G1167" s="5">
        <v>7</v>
      </c>
      <c r="H1167" s="5">
        <v>1</v>
      </c>
      <c r="I1167" s="5">
        <v>34.282525031297986</v>
      </c>
      <c r="J1167" s="5">
        <v>47</v>
      </c>
      <c r="K1167" s="5">
        <v>50</v>
      </c>
      <c r="L1167" s="5">
        <v>23</v>
      </c>
      <c r="M1167" s="5" t="str">
        <f>_xlfn.SWITCH(recruitment_data3[[#This Row],[RecruitmentStrategy]], 1,"Aggressive", 2,"Moderate", 3,"Conservative")</f>
        <v>Moderate</v>
      </c>
      <c r="N1167" s="5">
        <v>2</v>
      </c>
      <c r="O1167" s="5" t="str">
        <f>IF(recruitment_data3[[#This Row],[HiringDecision]]=1,"Hired","Rejected")</f>
        <v>Rejected</v>
      </c>
      <c r="P1167" s="6">
        <v>0</v>
      </c>
    </row>
    <row r="1168" spans="1:16" x14ac:dyDescent="0.25">
      <c r="A1168" s="4" t="str">
        <f t="shared" si="18"/>
        <v>C1167</v>
      </c>
      <c r="B1168" s="4">
        <v>45</v>
      </c>
      <c r="C1168" s="5" t="str">
        <f>IF(recruitment_data3[[#This Row],[Gender]]=1,"Female","Male")</f>
        <v>Female</v>
      </c>
      <c r="D1168" s="5">
        <v>1</v>
      </c>
      <c r="E1168" s="5" t="str">
        <f>_xlfn.SWITCH(recruitment_data3[[#This Row],[EducationLevel]], 1,"Bachelor Type 1", 2,"Bachelor Type 2", 3,"Masters", 4,"PhD")</f>
        <v>Masters</v>
      </c>
      <c r="F1168" s="5">
        <v>3</v>
      </c>
      <c r="G1168" s="5">
        <v>6</v>
      </c>
      <c r="H1168" s="5">
        <v>3</v>
      </c>
      <c r="I1168" s="5">
        <v>25.673999903643885</v>
      </c>
      <c r="J1168" s="5">
        <v>39</v>
      </c>
      <c r="K1168" s="5">
        <v>51</v>
      </c>
      <c r="L1168" s="5">
        <v>16</v>
      </c>
      <c r="M1168" s="5" t="str">
        <f>_xlfn.SWITCH(recruitment_data3[[#This Row],[RecruitmentStrategy]], 1,"Aggressive", 2,"Moderate", 3,"Conservative")</f>
        <v>Aggressive</v>
      </c>
      <c r="N1168" s="5">
        <v>1</v>
      </c>
      <c r="O1168" s="5" t="str">
        <f>IF(recruitment_data3[[#This Row],[HiringDecision]]=1,"Hired","Rejected")</f>
        <v>Hired</v>
      </c>
      <c r="P1168" s="6">
        <v>1</v>
      </c>
    </row>
    <row r="1169" spans="1:16" x14ac:dyDescent="0.25">
      <c r="A1169" s="4" t="str">
        <f t="shared" si="18"/>
        <v>C1168</v>
      </c>
      <c r="B1169" s="4">
        <v>33</v>
      </c>
      <c r="C1169" s="5" t="str">
        <f>IF(recruitment_data3[[#This Row],[Gender]]=1,"Female","Male")</f>
        <v>Female</v>
      </c>
      <c r="D1169" s="5">
        <v>1</v>
      </c>
      <c r="E1169" s="5" t="str">
        <f>_xlfn.SWITCH(recruitment_data3[[#This Row],[EducationLevel]], 1,"Bachelor Type 1", 2,"Bachelor Type 2", 3,"Masters", 4,"PhD")</f>
        <v>Masters</v>
      </c>
      <c r="F1169" s="5">
        <v>3</v>
      </c>
      <c r="G1169" s="5">
        <v>7</v>
      </c>
      <c r="H1169" s="5">
        <v>4</v>
      </c>
      <c r="I1169" s="5">
        <v>47.158699430963239</v>
      </c>
      <c r="J1169" s="5">
        <v>5</v>
      </c>
      <c r="K1169" s="5">
        <v>98</v>
      </c>
      <c r="L1169" s="5">
        <v>64</v>
      </c>
      <c r="M1169" s="5" t="str">
        <f>_xlfn.SWITCH(recruitment_data3[[#This Row],[RecruitmentStrategy]], 1,"Aggressive", 2,"Moderate", 3,"Conservative")</f>
        <v>Conservative</v>
      </c>
      <c r="N1169" s="5">
        <v>3</v>
      </c>
      <c r="O1169" s="5" t="str">
        <f>IF(recruitment_data3[[#This Row],[HiringDecision]]=1,"Hired","Rejected")</f>
        <v>Hired</v>
      </c>
      <c r="P1169" s="6">
        <v>1</v>
      </c>
    </row>
    <row r="1170" spans="1:16" x14ac:dyDescent="0.25">
      <c r="A1170" s="4" t="str">
        <f t="shared" si="18"/>
        <v>C1169</v>
      </c>
      <c r="B1170" s="4">
        <v>21</v>
      </c>
      <c r="C1170" s="5" t="str">
        <f>IF(recruitment_data3[[#This Row],[Gender]]=1,"Female","Male")</f>
        <v>Male</v>
      </c>
      <c r="D1170" s="5">
        <v>0</v>
      </c>
      <c r="E1170" s="5" t="str">
        <f>_xlfn.SWITCH(recruitment_data3[[#This Row],[EducationLevel]], 1,"Bachelor Type 1", 2,"Bachelor Type 2", 3,"Masters", 4,"PhD")</f>
        <v>Bachelor Type 1</v>
      </c>
      <c r="F1170" s="5">
        <v>1</v>
      </c>
      <c r="G1170" s="5">
        <v>13</v>
      </c>
      <c r="H1170" s="5">
        <v>2</v>
      </c>
      <c r="I1170" s="5">
        <v>1.792592111593815</v>
      </c>
      <c r="J1170" s="5">
        <v>37</v>
      </c>
      <c r="K1170" s="5">
        <v>73</v>
      </c>
      <c r="L1170" s="5">
        <v>69</v>
      </c>
      <c r="M1170" s="5" t="str">
        <f>_xlfn.SWITCH(recruitment_data3[[#This Row],[RecruitmentStrategy]], 1,"Aggressive", 2,"Moderate", 3,"Conservative")</f>
        <v>Conservative</v>
      </c>
      <c r="N1170" s="5">
        <v>3</v>
      </c>
      <c r="O1170" s="5" t="str">
        <f>IF(recruitment_data3[[#This Row],[HiringDecision]]=1,"Hired","Rejected")</f>
        <v>Rejected</v>
      </c>
      <c r="P1170" s="6">
        <v>0</v>
      </c>
    </row>
    <row r="1171" spans="1:16" x14ac:dyDescent="0.25">
      <c r="A1171" s="4" t="str">
        <f t="shared" si="18"/>
        <v>C1170</v>
      </c>
      <c r="B1171" s="4">
        <v>36</v>
      </c>
      <c r="C1171" s="5" t="str">
        <f>IF(recruitment_data3[[#This Row],[Gender]]=1,"Female","Male")</f>
        <v>Female</v>
      </c>
      <c r="D1171" s="5">
        <v>1</v>
      </c>
      <c r="E1171" s="5" t="str">
        <f>_xlfn.SWITCH(recruitment_data3[[#This Row],[EducationLevel]], 1,"Bachelor Type 1", 2,"Bachelor Type 2", 3,"Masters", 4,"PhD")</f>
        <v>Bachelor Type 2</v>
      </c>
      <c r="F1171" s="5">
        <v>2</v>
      </c>
      <c r="G1171" s="5">
        <v>8</v>
      </c>
      <c r="H1171" s="5">
        <v>5</v>
      </c>
      <c r="I1171" s="5">
        <v>37.496175964291055</v>
      </c>
      <c r="J1171" s="5">
        <v>40</v>
      </c>
      <c r="K1171" s="5">
        <v>33</v>
      </c>
      <c r="L1171" s="5">
        <v>68</v>
      </c>
      <c r="M1171" s="5" t="str">
        <f>_xlfn.SWITCH(recruitment_data3[[#This Row],[RecruitmentStrategy]], 1,"Aggressive", 2,"Moderate", 3,"Conservative")</f>
        <v>Moderate</v>
      </c>
      <c r="N1171" s="5">
        <v>2</v>
      </c>
      <c r="O1171" s="5" t="str">
        <f>IF(recruitment_data3[[#This Row],[HiringDecision]]=1,"Hired","Rejected")</f>
        <v>Rejected</v>
      </c>
      <c r="P1171" s="6">
        <v>0</v>
      </c>
    </row>
    <row r="1172" spans="1:16" x14ac:dyDescent="0.25">
      <c r="A1172" s="4" t="str">
        <f t="shared" si="18"/>
        <v>C1171</v>
      </c>
      <c r="B1172" s="4">
        <v>33</v>
      </c>
      <c r="C1172" s="5" t="str">
        <f>IF(recruitment_data3[[#This Row],[Gender]]=1,"Female","Male")</f>
        <v>Male</v>
      </c>
      <c r="D1172" s="5">
        <v>0</v>
      </c>
      <c r="E1172" s="5" t="str">
        <f>_xlfn.SWITCH(recruitment_data3[[#This Row],[EducationLevel]], 1,"Bachelor Type 1", 2,"Bachelor Type 2", 3,"Masters", 4,"PhD")</f>
        <v>Masters</v>
      </c>
      <c r="F1172" s="5">
        <v>3</v>
      </c>
      <c r="G1172" s="5">
        <v>5</v>
      </c>
      <c r="H1172" s="5">
        <v>3</v>
      </c>
      <c r="I1172" s="5">
        <v>45.437325840690647</v>
      </c>
      <c r="J1172" s="5">
        <v>99</v>
      </c>
      <c r="K1172" s="5">
        <v>35</v>
      </c>
      <c r="L1172" s="5">
        <v>59</v>
      </c>
      <c r="M1172" s="5" t="str">
        <f>_xlfn.SWITCH(recruitment_data3[[#This Row],[RecruitmentStrategy]], 1,"Aggressive", 2,"Moderate", 3,"Conservative")</f>
        <v>Aggressive</v>
      </c>
      <c r="N1172" s="5">
        <v>1</v>
      </c>
      <c r="O1172" s="5" t="str">
        <f>IF(recruitment_data3[[#This Row],[HiringDecision]]=1,"Hired","Rejected")</f>
        <v>Hired</v>
      </c>
      <c r="P1172" s="6">
        <v>1</v>
      </c>
    </row>
    <row r="1173" spans="1:16" x14ac:dyDescent="0.25">
      <c r="A1173" s="4" t="str">
        <f t="shared" si="18"/>
        <v>C1172</v>
      </c>
      <c r="B1173" s="4">
        <v>45</v>
      </c>
      <c r="C1173" s="5" t="str">
        <f>IF(recruitment_data3[[#This Row],[Gender]]=1,"Female","Male")</f>
        <v>Male</v>
      </c>
      <c r="D1173" s="5">
        <v>0</v>
      </c>
      <c r="E1173" s="5" t="str">
        <f>_xlfn.SWITCH(recruitment_data3[[#This Row],[EducationLevel]], 1,"Bachelor Type 1", 2,"Bachelor Type 2", 3,"Masters", 4,"PhD")</f>
        <v>Bachelor Type 2</v>
      </c>
      <c r="F1173" s="5">
        <v>2</v>
      </c>
      <c r="G1173" s="5">
        <v>13</v>
      </c>
      <c r="H1173" s="5">
        <v>1</v>
      </c>
      <c r="I1173" s="5">
        <v>4.0837291810478726</v>
      </c>
      <c r="J1173" s="5">
        <v>26</v>
      </c>
      <c r="K1173" s="5">
        <v>69</v>
      </c>
      <c r="L1173" s="5">
        <v>49</v>
      </c>
      <c r="M1173" s="5" t="str">
        <f>_xlfn.SWITCH(recruitment_data3[[#This Row],[RecruitmentStrategy]], 1,"Aggressive", 2,"Moderate", 3,"Conservative")</f>
        <v>Aggressive</v>
      </c>
      <c r="N1173" s="5">
        <v>1</v>
      </c>
      <c r="O1173" s="5" t="str">
        <f>IF(recruitment_data3[[#This Row],[HiringDecision]]=1,"Hired","Rejected")</f>
        <v>Hired</v>
      </c>
      <c r="P1173" s="6">
        <v>1</v>
      </c>
    </row>
    <row r="1174" spans="1:16" x14ac:dyDescent="0.25">
      <c r="A1174" s="4" t="str">
        <f t="shared" si="18"/>
        <v>C1173</v>
      </c>
      <c r="B1174" s="4">
        <v>32</v>
      </c>
      <c r="C1174" s="5" t="str">
        <f>IF(recruitment_data3[[#This Row],[Gender]]=1,"Female","Male")</f>
        <v>Female</v>
      </c>
      <c r="D1174" s="5">
        <v>1</v>
      </c>
      <c r="E1174" s="5" t="str">
        <f>_xlfn.SWITCH(recruitment_data3[[#This Row],[EducationLevel]], 1,"Bachelor Type 1", 2,"Bachelor Type 2", 3,"Masters", 4,"PhD")</f>
        <v>Bachelor Type 2</v>
      </c>
      <c r="F1174" s="5">
        <v>2</v>
      </c>
      <c r="G1174" s="5">
        <v>15</v>
      </c>
      <c r="H1174" s="5">
        <v>2</v>
      </c>
      <c r="I1174" s="5">
        <v>23.503208520787908</v>
      </c>
      <c r="J1174" s="5">
        <v>74</v>
      </c>
      <c r="K1174" s="5">
        <v>42</v>
      </c>
      <c r="L1174" s="5">
        <v>92</v>
      </c>
      <c r="M1174" s="5" t="str">
        <f>_xlfn.SWITCH(recruitment_data3[[#This Row],[RecruitmentStrategy]], 1,"Aggressive", 2,"Moderate", 3,"Conservative")</f>
        <v>Moderate</v>
      </c>
      <c r="N1174" s="5">
        <v>2</v>
      </c>
      <c r="O1174" s="5" t="str">
        <f>IF(recruitment_data3[[#This Row],[HiringDecision]]=1,"Hired","Rejected")</f>
        <v>Rejected</v>
      </c>
      <c r="P1174" s="6">
        <v>0</v>
      </c>
    </row>
    <row r="1175" spans="1:16" x14ac:dyDescent="0.25">
      <c r="A1175" s="4" t="str">
        <f t="shared" si="18"/>
        <v>C1174</v>
      </c>
      <c r="B1175" s="4">
        <v>46</v>
      </c>
      <c r="C1175" s="5" t="str">
        <f>IF(recruitment_data3[[#This Row],[Gender]]=1,"Female","Male")</f>
        <v>Female</v>
      </c>
      <c r="D1175" s="5">
        <v>1</v>
      </c>
      <c r="E1175" s="5" t="str">
        <f>_xlfn.SWITCH(recruitment_data3[[#This Row],[EducationLevel]], 1,"Bachelor Type 1", 2,"Bachelor Type 2", 3,"Masters", 4,"PhD")</f>
        <v>Bachelor Type 2</v>
      </c>
      <c r="F1175" s="5">
        <v>2</v>
      </c>
      <c r="G1175" s="5">
        <v>2</v>
      </c>
      <c r="H1175" s="5">
        <v>1</v>
      </c>
      <c r="I1175" s="5">
        <v>11.235972697499946</v>
      </c>
      <c r="J1175" s="5">
        <v>68</v>
      </c>
      <c r="K1175" s="5">
        <v>15</v>
      </c>
      <c r="L1175" s="5">
        <v>11</v>
      </c>
      <c r="M1175" s="5" t="str">
        <f>_xlfn.SWITCH(recruitment_data3[[#This Row],[RecruitmentStrategy]], 1,"Aggressive", 2,"Moderate", 3,"Conservative")</f>
        <v>Moderate</v>
      </c>
      <c r="N1175" s="5">
        <v>2</v>
      </c>
      <c r="O1175" s="5" t="str">
        <f>IF(recruitment_data3[[#This Row],[HiringDecision]]=1,"Hired","Rejected")</f>
        <v>Rejected</v>
      </c>
      <c r="P1175" s="6">
        <v>0</v>
      </c>
    </row>
    <row r="1176" spans="1:16" x14ac:dyDescent="0.25">
      <c r="A1176" s="4" t="str">
        <f t="shared" si="18"/>
        <v>C1175</v>
      </c>
      <c r="B1176" s="4">
        <v>28</v>
      </c>
      <c r="C1176" s="5" t="str">
        <f>IF(recruitment_data3[[#This Row],[Gender]]=1,"Female","Male")</f>
        <v>Male</v>
      </c>
      <c r="D1176" s="5">
        <v>0</v>
      </c>
      <c r="E1176" s="5" t="str">
        <f>_xlfn.SWITCH(recruitment_data3[[#This Row],[EducationLevel]], 1,"Bachelor Type 1", 2,"Bachelor Type 2", 3,"Masters", 4,"PhD")</f>
        <v>Bachelor Type 1</v>
      </c>
      <c r="F1176" s="5">
        <v>1</v>
      </c>
      <c r="G1176" s="5">
        <v>9</v>
      </c>
      <c r="H1176" s="5">
        <v>1</v>
      </c>
      <c r="I1176" s="5">
        <v>29.325908279391506</v>
      </c>
      <c r="J1176" s="5">
        <v>56</v>
      </c>
      <c r="K1176" s="5">
        <v>58</v>
      </c>
      <c r="L1176" s="5">
        <v>46</v>
      </c>
      <c r="M1176" s="5" t="str">
        <f>_xlfn.SWITCH(recruitment_data3[[#This Row],[RecruitmentStrategy]], 1,"Aggressive", 2,"Moderate", 3,"Conservative")</f>
        <v>Moderate</v>
      </c>
      <c r="N1176" s="5">
        <v>2</v>
      </c>
      <c r="O1176" s="5" t="str">
        <f>IF(recruitment_data3[[#This Row],[HiringDecision]]=1,"Hired","Rejected")</f>
        <v>Rejected</v>
      </c>
      <c r="P1176" s="6">
        <v>0</v>
      </c>
    </row>
    <row r="1177" spans="1:16" x14ac:dyDescent="0.25">
      <c r="A1177" s="4" t="str">
        <f t="shared" si="18"/>
        <v>C1176</v>
      </c>
      <c r="B1177" s="4">
        <v>45</v>
      </c>
      <c r="C1177" s="5" t="str">
        <f>IF(recruitment_data3[[#This Row],[Gender]]=1,"Female","Male")</f>
        <v>Male</v>
      </c>
      <c r="D1177" s="5">
        <v>0</v>
      </c>
      <c r="E1177" s="5" t="str">
        <f>_xlfn.SWITCH(recruitment_data3[[#This Row],[EducationLevel]], 1,"Bachelor Type 1", 2,"Bachelor Type 2", 3,"Masters", 4,"PhD")</f>
        <v>Masters</v>
      </c>
      <c r="F1177" s="5">
        <v>3</v>
      </c>
      <c r="G1177" s="5">
        <v>2</v>
      </c>
      <c r="H1177" s="5">
        <v>1</v>
      </c>
      <c r="I1177" s="5">
        <v>33.477147930183023</v>
      </c>
      <c r="J1177" s="5">
        <v>16</v>
      </c>
      <c r="K1177" s="5">
        <v>52</v>
      </c>
      <c r="L1177" s="5">
        <v>66</v>
      </c>
      <c r="M1177" s="5" t="str">
        <f>_xlfn.SWITCH(recruitment_data3[[#This Row],[RecruitmentStrategy]], 1,"Aggressive", 2,"Moderate", 3,"Conservative")</f>
        <v>Moderate</v>
      </c>
      <c r="N1177" s="5">
        <v>2</v>
      </c>
      <c r="O1177" s="5" t="str">
        <f>IF(recruitment_data3[[#This Row],[HiringDecision]]=1,"Hired","Rejected")</f>
        <v>Rejected</v>
      </c>
      <c r="P1177" s="6">
        <v>0</v>
      </c>
    </row>
    <row r="1178" spans="1:16" x14ac:dyDescent="0.25">
      <c r="A1178" s="4" t="str">
        <f t="shared" si="18"/>
        <v>C1177</v>
      </c>
      <c r="B1178" s="4">
        <v>44</v>
      </c>
      <c r="C1178" s="5" t="str">
        <f>IF(recruitment_data3[[#This Row],[Gender]]=1,"Female","Male")</f>
        <v>Male</v>
      </c>
      <c r="D1178" s="5">
        <v>0</v>
      </c>
      <c r="E1178" s="5" t="str">
        <f>_xlfn.SWITCH(recruitment_data3[[#This Row],[EducationLevel]], 1,"Bachelor Type 1", 2,"Bachelor Type 2", 3,"Masters", 4,"PhD")</f>
        <v>Bachelor Type 2</v>
      </c>
      <c r="F1178" s="5">
        <v>2</v>
      </c>
      <c r="G1178" s="5">
        <v>15</v>
      </c>
      <c r="H1178" s="5">
        <v>4</v>
      </c>
      <c r="I1178" s="5">
        <v>16.131159146437753</v>
      </c>
      <c r="J1178" s="5">
        <v>70</v>
      </c>
      <c r="K1178" s="5">
        <v>18</v>
      </c>
      <c r="L1178" s="5">
        <v>64</v>
      </c>
      <c r="M1178" s="5" t="str">
        <f>_xlfn.SWITCH(recruitment_data3[[#This Row],[RecruitmentStrategy]], 1,"Aggressive", 2,"Moderate", 3,"Conservative")</f>
        <v>Moderate</v>
      </c>
      <c r="N1178" s="5">
        <v>2</v>
      </c>
      <c r="O1178" s="5" t="str">
        <f>IF(recruitment_data3[[#This Row],[HiringDecision]]=1,"Hired","Rejected")</f>
        <v>Rejected</v>
      </c>
      <c r="P1178" s="6">
        <v>0</v>
      </c>
    </row>
    <row r="1179" spans="1:16" x14ac:dyDescent="0.25">
      <c r="A1179" s="4" t="str">
        <f t="shared" si="18"/>
        <v>C1178</v>
      </c>
      <c r="B1179" s="4">
        <v>34</v>
      </c>
      <c r="C1179" s="5" t="str">
        <f>IF(recruitment_data3[[#This Row],[Gender]]=1,"Female","Male")</f>
        <v>Male</v>
      </c>
      <c r="D1179" s="5">
        <v>0</v>
      </c>
      <c r="E1179" s="5" t="str">
        <f>_xlfn.SWITCH(recruitment_data3[[#This Row],[EducationLevel]], 1,"Bachelor Type 1", 2,"Bachelor Type 2", 3,"Masters", 4,"PhD")</f>
        <v>Bachelor Type 1</v>
      </c>
      <c r="F1179" s="5">
        <v>1</v>
      </c>
      <c r="G1179" s="5">
        <v>10</v>
      </c>
      <c r="H1179" s="5">
        <v>4</v>
      </c>
      <c r="I1179" s="5">
        <v>23.999083483905043</v>
      </c>
      <c r="J1179" s="5">
        <v>90</v>
      </c>
      <c r="K1179" s="5">
        <v>97</v>
      </c>
      <c r="L1179" s="5">
        <v>26</v>
      </c>
      <c r="M1179" s="5" t="str">
        <f>_xlfn.SWITCH(recruitment_data3[[#This Row],[RecruitmentStrategy]], 1,"Aggressive", 2,"Moderate", 3,"Conservative")</f>
        <v>Moderate</v>
      </c>
      <c r="N1179" s="5">
        <v>2</v>
      </c>
      <c r="O1179" s="5" t="str">
        <f>IF(recruitment_data3[[#This Row],[HiringDecision]]=1,"Hired","Rejected")</f>
        <v>Rejected</v>
      </c>
      <c r="P1179" s="6">
        <v>0</v>
      </c>
    </row>
    <row r="1180" spans="1:16" x14ac:dyDescent="0.25">
      <c r="A1180" s="4" t="str">
        <f t="shared" si="18"/>
        <v>C1179</v>
      </c>
      <c r="B1180" s="4">
        <v>44</v>
      </c>
      <c r="C1180" s="5" t="str">
        <f>IF(recruitment_data3[[#This Row],[Gender]]=1,"Female","Male")</f>
        <v>Female</v>
      </c>
      <c r="D1180" s="5">
        <v>1</v>
      </c>
      <c r="E1180" s="5" t="str">
        <f>_xlfn.SWITCH(recruitment_data3[[#This Row],[EducationLevel]], 1,"Bachelor Type 1", 2,"Bachelor Type 2", 3,"Masters", 4,"PhD")</f>
        <v>Bachelor Type 2</v>
      </c>
      <c r="F1180" s="5">
        <v>2</v>
      </c>
      <c r="G1180" s="5">
        <v>11</v>
      </c>
      <c r="H1180" s="5">
        <v>5</v>
      </c>
      <c r="I1180" s="5">
        <v>14.966974263827975</v>
      </c>
      <c r="J1180" s="5">
        <v>46</v>
      </c>
      <c r="K1180" s="5">
        <v>88</v>
      </c>
      <c r="L1180" s="5">
        <v>47</v>
      </c>
      <c r="M1180" s="5" t="str">
        <f>_xlfn.SWITCH(recruitment_data3[[#This Row],[RecruitmentStrategy]], 1,"Aggressive", 2,"Moderate", 3,"Conservative")</f>
        <v>Moderate</v>
      </c>
      <c r="N1180" s="5">
        <v>2</v>
      </c>
      <c r="O1180" s="5" t="str">
        <f>IF(recruitment_data3[[#This Row],[HiringDecision]]=1,"Hired","Rejected")</f>
        <v>Rejected</v>
      </c>
      <c r="P1180" s="6">
        <v>0</v>
      </c>
    </row>
    <row r="1181" spans="1:16" x14ac:dyDescent="0.25">
      <c r="A1181" s="4" t="str">
        <f t="shared" si="18"/>
        <v>C1180</v>
      </c>
      <c r="B1181" s="4">
        <v>41</v>
      </c>
      <c r="C1181" s="5" t="str">
        <f>IF(recruitment_data3[[#This Row],[Gender]]=1,"Female","Male")</f>
        <v>Female</v>
      </c>
      <c r="D1181" s="5">
        <v>1</v>
      </c>
      <c r="E1181" s="5" t="str">
        <f>_xlfn.SWITCH(recruitment_data3[[#This Row],[EducationLevel]], 1,"Bachelor Type 1", 2,"Bachelor Type 2", 3,"Masters", 4,"PhD")</f>
        <v>Bachelor Type 2</v>
      </c>
      <c r="F1181" s="5">
        <v>2</v>
      </c>
      <c r="G1181" s="5">
        <v>0</v>
      </c>
      <c r="H1181" s="5">
        <v>2</v>
      </c>
      <c r="I1181" s="5">
        <v>19.469558222755687</v>
      </c>
      <c r="J1181" s="5">
        <v>78</v>
      </c>
      <c r="K1181" s="5">
        <v>94</v>
      </c>
      <c r="L1181" s="5">
        <v>87</v>
      </c>
      <c r="M1181" s="5" t="str">
        <f>_xlfn.SWITCH(recruitment_data3[[#This Row],[RecruitmentStrategy]], 1,"Aggressive", 2,"Moderate", 3,"Conservative")</f>
        <v>Moderate</v>
      </c>
      <c r="N1181" s="5">
        <v>2</v>
      </c>
      <c r="O1181" s="5" t="str">
        <f>IF(recruitment_data3[[#This Row],[HiringDecision]]=1,"Hired","Rejected")</f>
        <v>Rejected</v>
      </c>
      <c r="P1181" s="6">
        <v>0</v>
      </c>
    </row>
    <row r="1182" spans="1:16" x14ac:dyDescent="0.25">
      <c r="A1182" s="4" t="str">
        <f t="shared" si="18"/>
        <v>C1181</v>
      </c>
      <c r="B1182" s="4">
        <v>34</v>
      </c>
      <c r="C1182" s="5" t="str">
        <f>IF(recruitment_data3[[#This Row],[Gender]]=1,"Female","Male")</f>
        <v>Female</v>
      </c>
      <c r="D1182" s="5">
        <v>1</v>
      </c>
      <c r="E1182" s="5" t="str">
        <f>_xlfn.SWITCH(recruitment_data3[[#This Row],[EducationLevel]], 1,"Bachelor Type 1", 2,"Bachelor Type 2", 3,"Masters", 4,"PhD")</f>
        <v>Bachelor Type 1</v>
      </c>
      <c r="F1182" s="5">
        <v>1</v>
      </c>
      <c r="G1182" s="5">
        <v>10</v>
      </c>
      <c r="H1182" s="5">
        <v>3</v>
      </c>
      <c r="I1182" s="5">
        <v>8.97699783442118</v>
      </c>
      <c r="J1182" s="5">
        <v>12</v>
      </c>
      <c r="K1182" s="5">
        <v>40</v>
      </c>
      <c r="L1182" s="5">
        <v>61</v>
      </c>
      <c r="M1182" s="5" t="str">
        <f>_xlfn.SWITCH(recruitment_data3[[#This Row],[RecruitmentStrategy]], 1,"Aggressive", 2,"Moderate", 3,"Conservative")</f>
        <v>Moderate</v>
      </c>
      <c r="N1182" s="5">
        <v>2</v>
      </c>
      <c r="O1182" s="5" t="str">
        <f>IF(recruitment_data3[[#This Row],[HiringDecision]]=1,"Hired","Rejected")</f>
        <v>Rejected</v>
      </c>
      <c r="P1182" s="6">
        <v>0</v>
      </c>
    </row>
    <row r="1183" spans="1:16" x14ac:dyDescent="0.25">
      <c r="A1183" s="4" t="str">
        <f t="shared" si="18"/>
        <v>C1182</v>
      </c>
      <c r="B1183" s="4">
        <v>43</v>
      </c>
      <c r="C1183" s="5" t="str">
        <f>IF(recruitment_data3[[#This Row],[Gender]]=1,"Female","Male")</f>
        <v>Female</v>
      </c>
      <c r="D1183" s="5">
        <v>1</v>
      </c>
      <c r="E1183" s="5" t="str">
        <f>_xlfn.SWITCH(recruitment_data3[[#This Row],[EducationLevel]], 1,"Bachelor Type 1", 2,"Bachelor Type 2", 3,"Masters", 4,"PhD")</f>
        <v>Bachelor Type 2</v>
      </c>
      <c r="F1183" s="5">
        <v>2</v>
      </c>
      <c r="G1183" s="5">
        <v>14</v>
      </c>
      <c r="H1183" s="5">
        <v>3</v>
      </c>
      <c r="I1183" s="5">
        <v>45.277972179281569</v>
      </c>
      <c r="J1183" s="5">
        <v>10</v>
      </c>
      <c r="K1183" s="5">
        <v>80</v>
      </c>
      <c r="L1183" s="5">
        <v>43</v>
      </c>
      <c r="M1183" s="5" t="str">
        <f>_xlfn.SWITCH(recruitment_data3[[#This Row],[RecruitmentStrategy]], 1,"Aggressive", 2,"Moderate", 3,"Conservative")</f>
        <v>Aggressive</v>
      </c>
      <c r="N1183" s="5">
        <v>1</v>
      </c>
      <c r="O1183" s="5" t="str">
        <f>IF(recruitment_data3[[#This Row],[HiringDecision]]=1,"Hired","Rejected")</f>
        <v>Hired</v>
      </c>
      <c r="P1183" s="6">
        <v>1</v>
      </c>
    </row>
    <row r="1184" spans="1:16" x14ac:dyDescent="0.25">
      <c r="A1184" s="4" t="str">
        <f t="shared" si="18"/>
        <v>C1183</v>
      </c>
      <c r="B1184" s="4">
        <v>49</v>
      </c>
      <c r="C1184" s="5" t="str">
        <f>IF(recruitment_data3[[#This Row],[Gender]]=1,"Female","Male")</f>
        <v>Female</v>
      </c>
      <c r="D1184" s="5">
        <v>1</v>
      </c>
      <c r="E1184" s="5" t="str">
        <f>_xlfn.SWITCH(recruitment_data3[[#This Row],[EducationLevel]], 1,"Bachelor Type 1", 2,"Bachelor Type 2", 3,"Masters", 4,"PhD")</f>
        <v>Bachelor Type 2</v>
      </c>
      <c r="F1184" s="5">
        <v>2</v>
      </c>
      <c r="G1184" s="5">
        <v>12</v>
      </c>
      <c r="H1184" s="5">
        <v>3</v>
      </c>
      <c r="I1184" s="5">
        <v>1.5005205279568214</v>
      </c>
      <c r="J1184" s="5">
        <v>89</v>
      </c>
      <c r="K1184" s="5">
        <v>46</v>
      </c>
      <c r="L1184" s="5">
        <v>18</v>
      </c>
      <c r="M1184" s="5" t="str">
        <f>_xlfn.SWITCH(recruitment_data3[[#This Row],[RecruitmentStrategy]], 1,"Aggressive", 2,"Moderate", 3,"Conservative")</f>
        <v>Aggressive</v>
      </c>
      <c r="N1184" s="5">
        <v>1</v>
      </c>
      <c r="O1184" s="5" t="str">
        <f>IF(recruitment_data3[[#This Row],[HiringDecision]]=1,"Hired","Rejected")</f>
        <v>Hired</v>
      </c>
      <c r="P1184" s="6">
        <v>1</v>
      </c>
    </row>
    <row r="1185" spans="1:16" x14ac:dyDescent="0.25">
      <c r="A1185" s="4" t="str">
        <f t="shared" si="18"/>
        <v>C1184</v>
      </c>
      <c r="B1185" s="4">
        <v>30</v>
      </c>
      <c r="C1185" s="5" t="str">
        <f>IF(recruitment_data3[[#This Row],[Gender]]=1,"Female","Male")</f>
        <v>Male</v>
      </c>
      <c r="D1185" s="5">
        <v>0</v>
      </c>
      <c r="E1185" s="5" t="str">
        <f>_xlfn.SWITCH(recruitment_data3[[#This Row],[EducationLevel]], 1,"Bachelor Type 1", 2,"Bachelor Type 2", 3,"Masters", 4,"PhD")</f>
        <v>Bachelor Type 2</v>
      </c>
      <c r="F1185" s="5">
        <v>2</v>
      </c>
      <c r="G1185" s="5">
        <v>14</v>
      </c>
      <c r="H1185" s="5">
        <v>1</v>
      </c>
      <c r="I1185" s="5">
        <v>45.120459322189426</v>
      </c>
      <c r="J1185" s="5">
        <v>85</v>
      </c>
      <c r="K1185" s="5">
        <v>93</v>
      </c>
      <c r="L1185" s="5">
        <v>58</v>
      </c>
      <c r="M1185" s="5" t="str">
        <f>_xlfn.SWITCH(recruitment_data3[[#This Row],[RecruitmentStrategy]], 1,"Aggressive", 2,"Moderate", 3,"Conservative")</f>
        <v>Moderate</v>
      </c>
      <c r="N1185" s="5">
        <v>2</v>
      </c>
      <c r="O1185" s="5" t="str">
        <f>IF(recruitment_data3[[#This Row],[HiringDecision]]=1,"Hired","Rejected")</f>
        <v>Rejected</v>
      </c>
      <c r="P1185" s="6">
        <v>0</v>
      </c>
    </row>
    <row r="1186" spans="1:16" x14ac:dyDescent="0.25">
      <c r="A1186" s="4" t="str">
        <f t="shared" si="18"/>
        <v>C1185</v>
      </c>
      <c r="B1186" s="4">
        <v>50</v>
      </c>
      <c r="C1186" s="5" t="str">
        <f>IF(recruitment_data3[[#This Row],[Gender]]=1,"Female","Male")</f>
        <v>Female</v>
      </c>
      <c r="D1186" s="5">
        <v>1</v>
      </c>
      <c r="E1186" s="5" t="str">
        <f>_xlfn.SWITCH(recruitment_data3[[#This Row],[EducationLevel]], 1,"Bachelor Type 1", 2,"Bachelor Type 2", 3,"Masters", 4,"PhD")</f>
        <v>Masters</v>
      </c>
      <c r="F1186" s="5">
        <v>3</v>
      </c>
      <c r="G1186" s="5">
        <v>4</v>
      </c>
      <c r="H1186" s="5">
        <v>4</v>
      </c>
      <c r="I1186" s="5">
        <v>29.583943917486927</v>
      </c>
      <c r="J1186" s="5">
        <v>91</v>
      </c>
      <c r="K1186" s="5">
        <v>53</v>
      </c>
      <c r="L1186" s="5">
        <v>7</v>
      </c>
      <c r="M1186" s="5" t="str">
        <f>_xlfn.SWITCH(recruitment_data3[[#This Row],[RecruitmentStrategy]], 1,"Aggressive", 2,"Moderate", 3,"Conservative")</f>
        <v>Aggressive</v>
      </c>
      <c r="N1186" s="5">
        <v>1</v>
      </c>
      <c r="O1186" s="5" t="str">
        <f>IF(recruitment_data3[[#This Row],[HiringDecision]]=1,"Hired","Rejected")</f>
        <v>Hired</v>
      </c>
      <c r="P1186" s="6">
        <v>1</v>
      </c>
    </row>
    <row r="1187" spans="1:16" x14ac:dyDescent="0.25">
      <c r="A1187" s="4" t="str">
        <f t="shared" si="18"/>
        <v>C1186</v>
      </c>
      <c r="B1187" s="4">
        <v>35</v>
      </c>
      <c r="C1187" s="5" t="str">
        <f>IF(recruitment_data3[[#This Row],[Gender]]=1,"Female","Male")</f>
        <v>Female</v>
      </c>
      <c r="D1187" s="5">
        <v>1</v>
      </c>
      <c r="E1187" s="5" t="str">
        <f>_xlfn.SWITCH(recruitment_data3[[#This Row],[EducationLevel]], 1,"Bachelor Type 1", 2,"Bachelor Type 2", 3,"Masters", 4,"PhD")</f>
        <v>Bachelor Type 2</v>
      </c>
      <c r="F1187" s="5">
        <v>2</v>
      </c>
      <c r="G1187" s="5">
        <v>13</v>
      </c>
      <c r="H1187" s="5">
        <v>2</v>
      </c>
      <c r="I1187" s="5">
        <v>17.582892208850875</v>
      </c>
      <c r="J1187" s="5">
        <v>23</v>
      </c>
      <c r="K1187" s="5">
        <v>54</v>
      </c>
      <c r="L1187" s="5">
        <v>54</v>
      </c>
      <c r="M1187" s="5" t="str">
        <f>_xlfn.SWITCH(recruitment_data3[[#This Row],[RecruitmentStrategy]], 1,"Aggressive", 2,"Moderate", 3,"Conservative")</f>
        <v>Moderate</v>
      </c>
      <c r="N1187" s="5">
        <v>2</v>
      </c>
      <c r="O1187" s="5" t="str">
        <f>IF(recruitment_data3[[#This Row],[HiringDecision]]=1,"Hired","Rejected")</f>
        <v>Rejected</v>
      </c>
      <c r="P1187" s="6">
        <v>0</v>
      </c>
    </row>
    <row r="1188" spans="1:16" x14ac:dyDescent="0.25">
      <c r="A1188" s="4" t="str">
        <f t="shared" si="18"/>
        <v>C1187</v>
      </c>
      <c r="B1188" s="4">
        <v>48</v>
      </c>
      <c r="C1188" s="5" t="str">
        <f>IF(recruitment_data3[[#This Row],[Gender]]=1,"Female","Male")</f>
        <v>Female</v>
      </c>
      <c r="D1188" s="5">
        <v>1</v>
      </c>
      <c r="E1188" s="5" t="str">
        <f>_xlfn.SWITCH(recruitment_data3[[#This Row],[EducationLevel]], 1,"Bachelor Type 1", 2,"Bachelor Type 2", 3,"Masters", 4,"PhD")</f>
        <v>Bachelor Type 2</v>
      </c>
      <c r="F1188" s="5">
        <v>2</v>
      </c>
      <c r="G1188" s="5">
        <v>3</v>
      </c>
      <c r="H1188" s="5">
        <v>1</v>
      </c>
      <c r="I1188" s="5">
        <v>37.152856273016489</v>
      </c>
      <c r="J1188" s="5">
        <v>92</v>
      </c>
      <c r="K1188" s="5">
        <v>94</v>
      </c>
      <c r="L1188" s="5">
        <v>46</v>
      </c>
      <c r="M1188" s="5" t="str">
        <f>_xlfn.SWITCH(recruitment_data3[[#This Row],[RecruitmentStrategy]], 1,"Aggressive", 2,"Moderate", 3,"Conservative")</f>
        <v>Moderate</v>
      </c>
      <c r="N1188" s="5">
        <v>2</v>
      </c>
      <c r="O1188" s="5" t="str">
        <f>IF(recruitment_data3[[#This Row],[HiringDecision]]=1,"Hired","Rejected")</f>
        <v>Rejected</v>
      </c>
      <c r="P1188" s="6">
        <v>0</v>
      </c>
    </row>
    <row r="1189" spans="1:16" x14ac:dyDescent="0.25">
      <c r="A1189" s="4" t="str">
        <f t="shared" si="18"/>
        <v>C1188</v>
      </c>
      <c r="B1189" s="4">
        <v>36</v>
      </c>
      <c r="C1189" s="5" t="str">
        <f>IF(recruitment_data3[[#This Row],[Gender]]=1,"Female","Male")</f>
        <v>Female</v>
      </c>
      <c r="D1189" s="5">
        <v>1</v>
      </c>
      <c r="E1189" s="5" t="str">
        <f>_xlfn.SWITCH(recruitment_data3[[#This Row],[EducationLevel]], 1,"Bachelor Type 1", 2,"Bachelor Type 2", 3,"Masters", 4,"PhD")</f>
        <v>Bachelor Type 2</v>
      </c>
      <c r="F1189" s="5">
        <v>2</v>
      </c>
      <c r="G1189" s="5">
        <v>8</v>
      </c>
      <c r="H1189" s="5">
        <v>4</v>
      </c>
      <c r="I1189" s="5">
        <v>26.387607593133215</v>
      </c>
      <c r="J1189" s="5">
        <v>72</v>
      </c>
      <c r="K1189" s="5">
        <v>18</v>
      </c>
      <c r="L1189" s="5">
        <v>1</v>
      </c>
      <c r="M1189" s="5" t="str">
        <f>_xlfn.SWITCH(recruitment_data3[[#This Row],[RecruitmentStrategy]], 1,"Aggressive", 2,"Moderate", 3,"Conservative")</f>
        <v>Conservative</v>
      </c>
      <c r="N1189" s="5">
        <v>3</v>
      </c>
      <c r="O1189" s="5" t="str">
        <f>IF(recruitment_data3[[#This Row],[HiringDecision]]=1,"Hired","Rejected")</f>
        <v>Rejected</v>
      </c>
      <c r="P1189" s="6">
        <v>0</v>
      </c>
    </row>
    <row r="1190" spans="1:16" x14ac:dyDescent="0.25">
      <c r="A1190" s="4" t="str">
        <f t="shared" si="18"/>
        <v>C1189</v>
      </c>
      <c r="B1190" s="4">
        <v>45</v>
      </c>
      <c r="C1190" s="5" t="str">
        <f>IF(recruitment_data3[[#This Row],[Gender]]=1,"Female","Male")</f>
        <v>Female</v>
      </c>
      <c r="D1190" s="5">
        <v>1</v>
      </c>
      <c r="E1190" s="5" t="str">
        <f>_xlfn.SWITCH(recruitment_data3[[#This Row],[EducationLevel]], 1,"Bachelor Type 1", 2,"Bachelor Type 2", 3,"Masters", 4,"PhD")</f>
        <v>Bachelor Type 2</v>
      </c>
      <c r="F1190" s="5">
        <v>2</v>
      </c>
      <c r="G1190" s="5">
        <v>14</v>
      </c>
      <c r="H1190" s="5">
        <v>4</v>
      </c>
      <c r="I1190" s="5">
        <v>25.955432905380327</v>
      </c>
      <c r="J1190" s="5">
        <v>3</v>
      </c>
      <c r="K1190" s="5">
        <v>61</v>
      </c>
      <c r="L1190" s="5">
        <v>93</v>
      </c>
      <c r="M1190" s="5" t="str">
        <f>_xlfn.SWITCH(recruitment_data3[[#This Row],[RecruitmentStrategy]], 1,"Aggressive", 2,"Moderate", 3,"Conservative")</f>
        <v>Moderate</v>
      </c>
      <c r="N1190" s="5">
        <v>2</v>
      </c>
      <c r="O1190" s="5" t="str">
        <f>IF(recruitment_data3[[#This Row],[HiringDecision]]=1,"Hired","Rejected")</f>
        <v>Rejected</v>
      </c>
      <c r="P1190" s="6">
        <v>0</v>
      </c>
    </row>
    <row r="1191" spans="1:16" x14ac:dyDescent="0.25">
      <c r="A1191" s="4" t="str">
        <f t="shared" si="18"/>
        <v>C1190</v>
      </c>
      <c r="B1191" s="4">
        <v>23</v>
      </c>
      <c r="C1191" s="5" t="str">
        <f>IF(recruitment_data3[[#This Row],[Gender]]=1,"Female","Male")</f>
        <v>Male</v>
      </c>
      <c r="D1191" s="5">
        <v>0</v>
      </c>
      <c r="E1191" s="5" t="str">
        <f>_xlfn.SWITCH(recruitment_data3[[#This Row],[EducationLevel]], 1,"Bachelor Type 1", 2,"Bachelor Type 2", 3,"Masters", 4,"PhD")</f>
        <v>Bachelor Type 2</v>
      </c>
      <c r="F1191" s="5">
        <v>2</v>
      </c>
      <c r="G1191" s="5">
        <v>8</v>
      </c>
      <c r="H1191" s="5">
        <v>2</v>
      </c>
      <c r="I1191" s="5">
        <v>6.5071141459483215</v>
      </c>
      <c r="J1191" s="5">
        <v>45</v>
      </c>
      <c r="K1191" s="5">
        <v>98</v>
      </c>
      <c r="L1191" s="5">
        <v>93</v>
      </c>
      <c r="M1191" s="5" t="str">
        <f>_xlfn.SWITCH(recruitment_data3[[#This Row],[RecruitmentStrategy]], 1,"Aggressive", 2,"Moderate", 3,"Conservative")</f>
        <v>Aggressive</v>
      </c>
      <c r="N1191" s="5">
        <v>1</v>
      </c>
      <c r="O1191" s="5" t="str">
        <f>IF(recruitment_data3[[#This Row],[HiringDecision]]=1,"Hired","Rejected")</f>
        <v>Hired</v>
      </c>
      <c r="P1191" s="6">
        <v>1</v>
      </c>
    </row>
    <row r="1192" spans="1:16" x14ac:dyDescent="0.25">
      <c r="A1192" s="4" t="str">
        <f t="shared" si="18"/>
        <v>C1191</v>
      </c>
      <c r="B1192" s="4">
        <v>20</v>
      </c>
      <c r="C1192" s="5" t="str">
        <f>IF(recruitment_data3[[#This Row],[Gender]]=1,"Female","Male")</f>
        <v>Male</v>
      </c>
      <c r="D1192" s="5">
        <v>0</v>
      </c>
      <c r="E1192" s="5" t="str">
        <f>_xlfn.SWITCH(recruitment_data3[[#This Row],[EducationLevel]], 1,"Bachelor Type 1", 2,"Bachelor Type 2", 3,"Masters", 4,"PhD")</f>
        <v>Bachelor Type 2</v>
      </c>
      <c r="F1192" s="5">
        <v>2</v>
      </c>
      <c r="G1192" s="5">
        <v>14</v>
      </c>
      <c r="H1192" s="5">
        <v>2</v>
      </c>
      <c r="I1192" s="5">
        <v>20.475801297270433</v>
      </c>
      <c r="J1192" s="5">
        <v>17</v>
      </c>
      <c r="K1192" s="5">
        <v>92</v>
      </c>
      <c r="L1192" s="5">
        <v>38</v>
      </c>
      <c r="M1192" s="5" t="str">
        <f>_xlfn.SWITCH(recruitment_data3[[#This Row],[RecruitmentStrategy]], 1,"Aggressive", 2,"Moderate", 3,"Conservative")</f>
        <v>Aggressive</v>
      </c>
      <c r="N1192" s="5">
        <v>1</v>
      </c>
      <c r="O1192" s="5" t="str">
        <f>IF(recruitment_data3[[#This Row],[HiringDecision]]=1,"Hired","Rejected")</f>
        <v>Hired</v>
      </c>
      <c r="P1192" s="6">
        <v>1</v>
      </c>
    </row>
    <row r="1193" spans="1:16" x14ac:dyDescent="0.25">
      <c r="A1193" s="4" t="str">
        <f t="shared" si="18"/>
        <v>C1192</v>
      </c>
      <c r="B1193" s="4">
        <v>27</v>
      </c>
      <c r="C1193" s="5" t="str">
        <f>IF(recruitment_data3[[#This Row],[Gender]]=1,"Female","Male")</f>
        <v>Male</v>
      </c>
      <c r="D1193" s="5">
        <v>0</v>
      </c>
      <c r="E1193" s="5" t="str">
        <f>_xlfn.SWITCH(recruitment_data3[[#This Row],[EducationLevel]], 1,"Bachelor Type 1", 2,"Bachelor Type 2", 3,"Masters", 4,"PhD")</f>
        <v>Masters</v>
      </c>
      <c r="F1193" s="5">
        <v>3</v>
      </c>
      <c r="G1193" s="5">
        <v>13</v>
      </c>
      <c r="H1193" s="5">
        <v>2</v>
      </c>
      <c r="I1193" s="5">
        <v>13.053217292836832</v>
      </c>
      <c r="J1193" s="5">
        <v>42</v>
      </c>
      <c r="K1193" s="5">
        <v>58</v>
      </c>
      <c r="L1193" s="5">
        <v>44</v>
      </c>
      <c r="M1193" s="5" t="str">
        <f>_xlfn.SWITCH(recruitment_data3[[#This Row],[RecruitmentStrategy]], 1,"Aggressive", 2,"Moderate", 3,"Conservative")</f>
        <v>Conservative</v>
      </c>
      <c r="N1193" s="5">
        <v>3</v>
      </c>
      <c r="O1193" s="5" t="str">
        <f>IF(recruitment_data3[[#This Row],[HiringDecision]]=1,"Hired","Rejected")</f>
        <v>Rejected</v>
      </c>
      <c r="P1193" s="6">
        <v>0</v>
      </c>
    </row>
    <row r="1194" spans="1:16" x14ac:dyDescent="0.25">
      <c r="A1194" s="4" t="str">
        <f t="shared" si="18"/>
        <v>C1193</v>
      </c>
      <c r="B1194" s="4">
        <v>36</v>
      </c>
      <c r="C1194" s="5" t="str">
        <f>IF(recruitment_data3[[#This Row],[Gender]]=1,"Female","Male")</f>
        <v>Female</v>
      </c>
      <c r="D1194" s="5">
        <v>1</v>
      </c>
      <c r="E1194" s="5" t="str">
        <f>_xlfn.SWITCH(recruitment_data3[[#This Row],[EducationLevel]], 1,"Bachelor Type 1", 2,"Bachelor Type 2", 3,"Masters", 4,"PhD")</f>
        <v>Bachelor Type 2</v>
      </c>
      <c r="F1194" s="5">
        <v>2</v>
      </c>
      <c r="G1194" s="5">
        <v>4</v>
      </c>
      <c r="H1194" s="5">
        <v>1</v>
      </c>
      <c r="I1194" s="5">
        <v>1.7847952798139823</v>
      </c>
      <c r="J1194" s="5">
        <v>79</v>
      </c>
      <c r="K1194" s="5">
        <v>64</v>
      </c>
      <c r="L1194" s="5">
        <v>31</v>
      </c>
      <c r="M1194" s="5" t="str">
        <f>_xlfn.SWITCH(recruitment_data3[[#This Row],[RecruitmentStrategy]], 1,"Aggressive", 2,"Moderate", 3,"Conservative")</f>
        <v>Aggressive</v>
      </c>
      <c r="N1194" s="5">
        <v>1</v>
      </c>
      <c r="O1194" s="5" t="str">
        <f>IF(recruitment_data3[[#This Row],[HiringDecision]]=1,"Hired","Rejected")</f>
        <v>Hired</v>
      </c>
      <c r="P1194" s="6">
        <v>1</v>
      </c>
    </row>
    <row r="1195" spans="1:16" x14ac:dyDescent="0.25">
      <c r="A1195" s="4" t="str">
        <f t="shared" si="18"/>
        <v>C1194</v>
      </c>
      <c r="B1195" s="4">
        <v>22</v>
      </c>
      <c r="C1195" s="5" t="str">
        <f>IF(recruitment_data3[[#This Row],[Gender]]=1,"Female","Male")</f>
        <v>Male</v>
      </c>
      <c r="D1195" s="5">
        <v>0</v>
      </c>
      <c r="E1195" s="5" t="str">
        <f>_xlfn.SWITCH(recruitment_data3[[#This Row],[EducationLevel]], 1,"Bachelor Type 1", 2,"Bachelor Type 2", 3,"Masters", 4,"PhD")</f>
        <v>Bachelor Type 2</v>
      </c>
      <c r="F1195" s="5">
        <v>2</v>
      </c>
      <c r="G1195" s="5">
        <v>9</v>
      </c>
      <c r="H1195" s="5">
        <v>5</v>
      </c>
      <c r="I1195" s="5">
        <v>19.004981539105664</v>
      </c>
      <c r="J1195" s="5">
        <v>32</v>
      </c>
      <c r="K1195" s="5">
        <v>67</v>
      </c>
      <c r="L1195" s="5">
        <v>64</v>
      </c>
      <c r="M1195" s="5" t="str">
        <f>_xlfn.SWITCH(recruitment_data3[[#This Row],[RecruitmentStrategy]], 1,"Aggressive", 2,"Moderate", 3,"Conservative")</f>
        <v>Moderate</v>
      </c>
      <c r="N1195" s="5">
        <v>2</v>
      </c>
      <c r="O1195" s="5" t="str">
        <f>IF(recruitment_data3[[#This Row],[HiringDecision]]=1,"Hired","Rejected")</f>
        <v>Rejected</v>
      </c>
      <c r="P1195" s="6">
        <v>0</v>
      </c>
    </row>
    <row r="1196" spans="1:16" x14ac:dyDescent="0.25">
      <c r="A1196" s="4" t="str">
        <f t="shared" si="18"/>
        <v>C1195</v>
      </c>
      <c r="B1196" s="4">
        <v>48</v>
      </c>
      <c r="C1196" s="5" t="str">
        <f>IF(recruitment_data3[[#This Row],[Gender]]=1,"Female","Male")</f>
        <v>Male</v>
      </c>
      <c r="D1196" s="5">
        <v>0</v>
      </c>
      <c r="E1196" s="5" t="str">
        <f>_xlfn.SWITCH(recruitment_data3[[#This Row],[EducationLevel]], 1,"Bachelor Type 1", 2,"Bachelor Type 2", 3,"Masters", 4,"PhD")</f>
        <v>Masters</v>
      </c>
      <c r="F1196" s="5">
        <v>3</v>
      </c>
      <c r="G1196" s="5">
        <v>3</v>
      </c>
      <c r="H1196" s="5">
        <v>2</v>
      </c>
      <c r="I1196" s="5">
        <v>5.4911064712802373</v>
      </c>
      <c r="J1196" s="5">
        <v>92</v>
      </c>
      <c r="K1196" s="5">
        <v>27</v>
      </c>
      <c r="L1196" s="5">
        <v>37</v>
      </c>
      <c r="M1196" s="5" t="str">
        <f>_xlfn.SWITCH(recruitment_data3[[#This Row],[RecruitmentStrategy]], 1,"Aggressive", 2,"Moderate", 3,"Conservative")</f>
        <v>Moderate</v>
      </c>
      <c r="N1196" s="5">
        <v>2</v>
      </c>
      <c r="O1196" s="5" t="str">
        <f>IF(recruitment_data3[[#This Row],[HiringDecision]]=1,"Hired","Rejected")</f>
        <v>Rejected</v>
      </c>
      <c r="P1196" s="6">
        <v>0</v>
      </c>
    </row>
    <row r="1197" spans="1:16" x14ac:dyDescent="0.25">
      <c r="A1197" s="4" t="str">
        <f t="shared" si="18"/>
        <v>C1196</v>
      </c>
      <c r="B1197" s="4">
        <v>39</v>
      </c>
      <c r="C1197" s="5" t="str">
        <f>IF(recruitment_data3[[#This Row],[Gender]]=1,"Female","Male")</f>
        <v>Female</v>
      </c>
      <c r="D1197" s="5">
        <v>1</v>
      </c>
      <c r="E1197" s="5" t="str">
        <f>_xlfn.SWITCH(recruitment_data3[[#This Row],[EducationLevel]], 1,"Bachelor Type 1", 2,"Bachelor Type 2", 3,"Masters", 4,"PhD")</f>
        <v>Bachelor Type 2</v>
      </c>
      <c r="F1197" s="5">
        <v>2</v>
      </c>
      <c r="G1197" s="5">
        <v>6</v>
      </c>
      <c r="H1197" s="5">
        <v>5</v>
      </c>
      <c r="I1197" s="5">
        <v>13.841501886259261</v>
      </c>
      <c r="J1197" s="5">
        <v>9</v>
      </c>
      <c r="K1197" s="5">
        <v>17</v>
      </c>
      <c r="L1197" s="5">
        <v>76</v>
      </c>
      <c r="M1197" s="5" t="str">
        <f>_xlfn.SWITCH(recruitment_data3[[#This Row],[RecruitmentStrategy]], 1,"Aggressive", 2,"Moderate", 3,"Conservative")</f>
        <v>Moderate</v>
      </c>
      <c r="N1197" s="5">
        <v>2</v>
      </c>
      <c r="O1197" s="5" t="str">
        <f>IF(recruitment_data3[[#This Row],[HiringDecision]]=1,"Hired","Rejected")</f>
        <v>Rejected</v>
      </c>
      <c r="P1197" s="6">
        <v>0</v>
      </c>
    </row>
    <row r="1198" spans="1:16" x14ac:dyDescent="0.25">
      <c r="A1198" s="4" t="str">
        <f t="shared" si="18"/>
        <v>C1197</v>
      </c>
      <c r="B1198" s="4">
        <v>34</v>
      </c>
      <c r="C1198" s="5" t="str">
        <f>IF(recruitment_data3[[#This Row],[Gender]]=1,"Female","Male")</f>
        <v>Female</v>
      </c>
      <c r="D1198" s="5">
        <v>1</v>
      </c>
      <c r="E1198" s="5" t="str">
        <f>_xlfn.SWITCH(recruitment_data3[[#This Row],[EducationLevel]], 1,"Bachelor Type 1", 2,"Bachelor Type 2", 3,"Masters", 4,"PhD")</f>
        <v>Bachelor Type 2</v>
      </c>
      <c r="F1198" s="5">
        <v>2</v>
      </c>
      <c r="G1198" s="5">
        <v>14</v>
      </c>
      <c r="H1198" s="5">
        <v>1</v>
      </c>
      <c r="I1198" s="5">
        <v>5.6258310591547227</v>
      </c>
      <c r="J1198" s="5">
        <v>72</v>
      </c>
      <c r="K1198" s="5">
        <v>25</v>
      </c>
      <c r="L1198" s="5">
        <v>10</v>
      </c>
      <c r="M1198" s="5" t="str">
        <f>_xlfn.SWITCH(recruitment_data3[[#This Row],[RecruitmentStrategy]], 1,"Aggressive", 2,"Moderate", 3,"Conservative")</f>
        <v>Moderate</v>
      </c>
      <c r="N1198" s="5">
        <v>2</v>
      </c>
      <c r="O1198" s="5" t="str">
        <f>IF(recruitment_data3[[#This Row],[HiringDecision]]=1,"Hired","Rejected")</f>
        <v>Rejected</v>
      </c>
      <c r="P1198" s="6">
        <v>0</v>
      </c>
    </row>
    <row r="1199" spans="1:16" x14ac:dyDescent="0.25">
      <c r="A1199" s="4" t="str">
        <f t="shared" si="18"/>
        <v>C1198</v>
      </c>
      <c r="B1199" s="4">
        <v>34</v>
      </c>
      <c r="C1199" s="5" t="str">
        <f>IF(recruitment_data3[[#This Row],[Gender]]=1,"Female","Male")</f>
        <v>Female</v>
      </c>
      <c r="D1199" s="5">
        <v>1</v>
      </c>
      <c r="E1199" s="5" t="str">
        <f>_xlfn.SWITCH(recruitment_data3[[#This Row],[EducationLevel]], 1,"Bachelor Type 1", 2,"Bachelor Type 2", 3,"Masters", 4,"PhD")</f>
        <v>Bachelor Type 2</v>
      </c>
      <c r="F1199" s="5">
        <v>2</v>
      </c>
      <c r="G1199" s="5">
        <v>5</v>
      </c>
      <c r="H1199" s="5">
        <v>5</v>
      </c>
      <c r="I1199" s="5">
        <v>6.0470812778199425</v>
      </c>
      <c r="J1199" s="5">
        <v>58</v>
      </c>
      <c r="K1199" s="5">
        <v>18</v>
      </c>
      <c r="L1199" s="5">
        <v>9</v>
      </c>
      <c r="M1199" s="5" t="str">
        <f>_xlfn.SWITCH(recruitment_data3[[#This Row],[RecruitmentStrategy]], 1,"Aggressive", 2,"Moderate", 3,"Conservative")</f>
        <v>Moderate</v>
      </c>
      <c r="N1199" s="5">
        <v>2</v>
      </c>
      <c r="O1199" s="5" t="str">
        <f>IF(recruitment_data3[[#This Row],[HiringDecision]]=1,"Hired","Rejected")</f>
        <v>Rejected</v>
      </c>
      <c r="P1199" s="6">
        <v>0</v>
      </c>
    </row>
    <row r="1200" spans="1:16" x14ac:dyDescent="0.25">
      <c r="A1200" s="4" t="str">
        <f t="shared" si="18"/>
        <v>C1199</v>
      </c>
      <c r="B1200" s="4">
        <v>50</v>
      </c>
      <c r="C1200" s="5" t="str">
        <f>IF(recruitment_data3[[#This Row],[Gender]]=1,"Female","Male")</f>
        <v>Male</v>
      </c>
      <c r="D1200" s="5">
        <v>0</v>
      </c>
      <c r="E1200" s="5" t="str">
        <f>_xlfn.SWITCH(recruitment_data3[[#This Row],[EducationLevel]], 1,"Bachelor Type 1", 2,"Bachelor Type 2", 3,"Masters", 4,"PhD")</f>
        <v>Bachelor Type 1</v>
      </c>
      <c r="F1200" s="5">
        <v>1</v>
      </c>
      <c r="G1200" s="5">
        <v>3</v>
      </c>
      <c r="H1200" s="5">
        <v>3</v>
      </c>
      <c r="I1200" s="5">
        <v>10.950564720759413</v>
      </c>
      <c r="J1200" s="5">
        <v>30</v>
      </c>
      <c r="K1200" s="5">
        <v>54</v>
      </c>
      <c r="L1200" s="5">
        <v>58</v>
      </c>
      <c r="M1200" s="5" t="str">
        <f>_xlfn.SWITCH(recruitment_data3[[#This Row],[RecruitmentStrategy]], 1,"Aggressive", 2,"Moderate", 3,"Conservative")</f>
        <v>Conservative</v>
      </c>
      <c r="N1200" s="5">
        <v>3</v>
      </c>
      <c r="O1200" s="5" t="str">
        <f>IF(recruitment_data3[[#This Row],[HiringDecision]]=1,"Hired","Rejected")</f>
        <v>Rejected</v>
      </c>
      <c r="P1200" s="6">
        <v>0</v>
      </c>
    </row>
    <row r="1201" spans="1:16" x14ac:dyDescent="0.25">
      <c r="A1201" s="4" t="str">
        <f t="shared" si="18"/>
        <v>C1200</v>
      </c>
      <c r="B1201" s="4">
        <v>43</v>
      </c>
      <c r="C1201" s="5" t="str">
        <f>IF(recruitment_data3[[#This Row],[Gender]]=1,"Female","Male")</f>
        <v>Male</v>
      </c>
      <c r="D1201" s="5">
        <v>0</v>
      </c>
      <c r="E1201" s="5" t="str">
        <f>_xlfn.SWITCH(recruitment_data3[[#This Row],[EducationLevel]], 1,"Bachelor Type 1", 2,"Bachelor Type 2", 3,"Masters", 4,"PhD")</f>
        <v>Masters</v>
      </c>
      <c r="F1201" s="5">
        <v>3</v>
      </c>
      <c r="G1201" s="5">
        <v>12</v>
      </c>
      <c r="H1201" s="5">
        <v>5</v>
      </c>
      <c r="I1201" s="5">
        <v>50.992462224320008</v>
      </c>
      <c r="J1201" s="5">
        <v>27</v>
      </c>
      <c r="K1201" s="5">
        <v>56</v>
      </c>
      <c r="L1201" s="5">
        <v>89</v>
      </c>
      <c r="M1201" s="5" t="str">
        <f>_xlfn.SWITCH(recruitment_data3[[#This Row],[RecruitmentStrategy]], 1,"Aggressive", 2,"Moderate", 3,"Conservative")</f>
        <v>Aggressive</v>
      </c>
      <c r="N1201" s="5">
        <v>1</v>
      </c>
      <c r="O1201" s="5" t="str">
        <f>IF(recruitment_data3[[#This Row],[HiringDecision]]=1,"Hired","Rejected")</f>
        <v>Hired</v>
      </c>
      <c r="P1201" s="6">
        <v>1</v>
      </c>
    </row>
    <row r="1202" spans="1:16" x14ac:dyDescent="0.25">
      <c r="A1202" s="4" t="str">
        <f t="shared" si="18"/>
        <v>C1201</v>
      </c>
      <c r="B1202" s="4">
        <v>41</v>
      </c>
      <c r="C1202" s="5" t="str">
        <f>IF(recruitment_data3[[#This Row],[Gender]]=1,"Female","Male")</f>
        <v>Female</v>
      </c>
      <c r="D1202" s="5">
        <v>1</v>
      </c>
      <c r="E1202" s="5" t="str">
        <f>_xlfn.SWITCH(recruitment_data3[[#This Row],[EducationLevel]], 1,"Bachelor Type 1", 2,"Bachelor Type 2", 3,"Masters", 4,"PhD")</f>
        <v>Masters</v>
      </c>
      <c r="F1202" s="5">
        <v>3</v>
      </c>
      <c r="G1202" s="5">
        <v>12</v>
      </c>
      <c r="H1202" s="5">
        <v>2</v>
      </c>
      <c r="I1202" s="5">
        <v>1.1092071428624386</v>
      </c>
      <c r="J1202" s="5">
        <v>59</v>
      </c>
      <c r="K1202" s="5">
        <v>5</v>
      </c>
      <c r="L1202" s="5">
        <v>54</v>
      </c>
      <c r="M1202" s="5" t="str">
        <f>_xlfn.SWITCH(recruitment_data3[[#This Row],[RecruitmentStrategy]], 1,"Aggressive", 2,"Moderate", 3,"Conservative")</f>
        <v>Conservative</v>
      </c>
      <c r="N1202" s="5">
        <v>3</v>
      </c>
      <c r="O1202" s="5" t="str">
        <f>IF(recruitment_data3[[#This Row],[HiringDecision]]=1,"Hired","Rejected")</f>
        <v>Rejected</v>
      </c>
      <c r="P1202" s="6">
        <v>0</v>
      </c>
    </row>
    <row r="1203" spans="1:16" x14ac:dyDescent="0.25">
      <c r="A1203" s="4" t="str">
        <f t="shared" si="18"/>
        <v>C1202</v>
      </c>
      <c r="B1203" s="4">
        <v>33</v>
      </c>
      <c r="C1203" s="5" t="str">
        <f>IF(recruitment_data3[[#This Row],[Gender]]=1,"Female","Male")</f>
        <v>Female</v>
      </c>
      <c r="D1203" s="5">
        <v>1</v>
      </c>
      <c r="E1203" s="5" t="str">
        <f>_xlfn.SWITCH(recruitment_data3[[#This Row],[EducationLevel]], 1,"Bachelor Type 1", 2,"Bachelor Type 2", 3,"Masters", 4,"PhD")</f>
        <v>PhD</v>
      </c>
      <c r="F1203" s="5">
        <v>4</v>
      </c>
      <c r="G1203" s="5">
        <v>14</v>
      </c>
      <c r="H1203" s="5">
        <v>1</v>
      </c>
      <c r="I1203" s="5">
        <v>32.933631806020259</v>
      </c>
      <c r="J1203" s="5">
        <v>2</v>
      </c>
      <c r="K1203" s="5">
        <v>0</v>
      </c>
      <c r="L1203" s="5">
        <v>19</v>
      </c>
      <c r="M1203" s="5" t="str">
        <f>_xlfn.SWITCH(recruitment_data3[[#This Row],[RecruitmentStrategy]], 1,"Aggressive", 2,"Moderate", 3,"Conservative")</f>
        <v>Moderate</v>
      </c>
      <c r="N1203" s="5">
        <v>2</v>
      </c>
      <c r="O1203" s="5" t="str">
        <f>IF(recruitment_data3[[#This Row],[HiringDecision]]=1,"Hired","Rejected")</f>
        <v>Rejected</v>
      </c>
      <c r="P1203" s="6">
        <v>0</v>
      </c>
    </row>
    <row r="1204" spans="1:16" x14ac:dyDescent="0.25">
      <c r="A1204" s="4" t="str">
        <f t="shared" si="18"/>
        <v>C1203</v>
      </c>
      <c r="B1204" s="4">
        <v>45</v>
      </c>
      <c r="C1204" s="5" t="str">
        <f>IF(recruitment_data3[[#This Row],[Gender]]=1,"Female","Male")</f>
        <v>Male</v>
      </c>
      <c r="D1204" s="5">
        <v>0</v>
      </c>
      <c r="E1204" s="5" t="str">
        <f>_xlfn.SWITCH(recruitment_data3[[#This Row],[EducationLevel]], 1,"Bachelor Type 1", 2,"Bachelor Type 2", 3,"Masters", 4,"PhD")</f>
        <v>Bachelor Type 2</v>
      </c>
      <c r="F1204" s="5">
        <v>2</v>
      </c>
      <c r="G1204" s="5">
        <v>9</v>
      </c>
      <c r="H1204" s="5">
        <v>2</v>
      </c>
      <c r="I1204" s="5">
        <v>8.0621849013278677</v>
      </c>
      <c r="J1204" s="5">
        <v>54</v>
      </c>
      <c r="K1204" s="5">
        <v>7</v>
      </c>
      <c r="L1204" s="5">
        <v>80</v>
      </c>
      <c r="M1204" s="5" t="str">
        <f>_xlfn.SWITCH(recruitment_data3[[#This Row],[RecruitmentStrategy]], 1,"Aggressive", 2,"Moderate", 3,"Conservative")</f>
        <v>Conservative</v>
      </c>
      <c r="N1204" s="5">
        <v>3</v>
      </c>
      <c r="O1204" s="5" t="str">
        <f>IF(recruitment_data3[[#This Row],[HiringDecision]]=1,"Hired","Rejected")</f>
        <v>Rejected</v>
      </c>
      <c r="P1204" s="6">
        <v>0</v>
      </c>
    </row>
    <row r="1205" spans="1:16" x14ac:dyDescent="0.25">
      <c r="A1205" s="4" t="str">
        <f t="shared" si="18"/>
        <v>C1204</v>
      </c>
      <c r="B1205" s="4">
        <v>47</v>
      </c>
      <c r="C1205" s="5" t="str">
        <f>IF(recruitment_data3[[#This Row],[Gender]]=1,"Female","Male")</f>
        <v>Male</v>
      </c>
      <c r="D1205" s="5">
        <v>0</v>
      </c>
      <c r="E1205" s="5" t="str">
        <f>_xlfn.SWITCH(recruitment_data3[[#This Row],[EducationLevel]], 1,"Bachelor Type 1", 2,"Bachelor Type 2", 3,"Masters", 4,"PhD")</f>
        <v>Bachelor Type 2</v>
      </c>
      <c r="F1205" s="5">
        <v>2</v>
      </c>
      <c r="G1205" s="5">
        <v>1</v>
      </c>
      <c r="H1205" s="5">
        <v>3</v>
      </c>
      <c r="I1205" s="5">
        <v>47.031406835538789</v>
      </c>
      <c r="J1205" s="5">
        <v>13</v>
      </c>
      <c r="K1205" s="5">
        <v>96</v>
      </c>
      <c r="L1205" s="5">
        <v>16</v>
      </c>
      <c r="M1205" s="5" t="str">
        <f>_xlfn.SWITCH(recruitment_data3[[#This Row],[RecruitmentStrategy]], 1,"Aggressive", 2,"Moderate", 3,"Conservative")</f>
        <v>Aggressive</v>
      </c>
      <c r="N1205" s="5">
        <v>1</v>
      </c>
      <c r="O1205" s="5" t="str">
        <f>IF(recruitment_data3[[#This Row],[HiringDecision]]=1,"Hired","Rejected")</f>
        <v>Rejected</v>
      </c>
      <c r="P1205" s="6">
        <v>0</v>
      </c>
    </row>
    <row r="1206" spans="1:16" x14ac:dyDescent="0.25">
      <c r="A1206" s="4" t="str">
        <f t="shared" si="18"/>
        <v>C1205</v>
      </c>
      <c r="B1206" s="4">
        <v>42</v>
      </c>
      <c r="C1206" s="5" t="str">
        <f>IF(recruitment_data3[[#This Row],[Gender]]=1,"Female","Male")</f>
        <v>Female</v>
      </c>
      <c r="D1206" s="5">
        <v>1</v>
      </c>
      <c r="E1206" s="5" t="str">
        <f>_xlfn.SWITCH(recruitment_data3[[#This Row],[EducationLevel]], 1,"Bachelor Type 1", 2,"Bachelor Type 2", 3,"Masters", 4,"PhD")</f>
        <v>Bachelor Type 1</v>
      </c>
      <c r="F1206" s="5">
        <v>1</v>
      </c>
      <c r="G1206" s="5">
        <v>0</v>
      </c>
      <c r="H1206" s="5">
        <v>2</v>
      </c>
      <c r="I1206" s="5">
        <v>5.6816446666814615</v>
      </c>
      <c r="J1206" s="5">
        <v>57</v>
      </c>
      <c r="K1206" s="5">
        <v>50</v>
      </c>
      <c r="L1206" s="5">
        <v>67</v>
      </c>
      <c r="M1206" s="5" t="str">
        <f>_xlfn.SWITCH(recruitment_data3[[#This Row],[RecruitmentStrategy]], 1,"Aggressive", 2,"Moderate", 3,"Conservative")</f>
        <v>Aggressive</v>
      </c>
      <c r="N1206" s="5">
        <v>1</v>
      </c>
      <c r="O1206" s="5" t="str">
        <f>IF(recruitment_data3[[#This Row],[HiringDecision]]=1,"Hired","Rejected")</f>
        <v>Rejected</v>
      </c>
      <c r="P1206" s="6">
        <v>0</v>
      </c>
    </row>
    <row r="1207" spans="1:16" x14ac:dyDescent="0.25">
      <c r="A1207" s="4" t="str">
        <f t="shared" si="18"/>
        <v>C1206</v>
      </c>
      <c r="B1207" s="4">
        <v>33</v>
      </c>
      <c r="C1207" s="5" t="str">
        <f>IF(recruitment_data3[[#This Row],[Gender]]=1,"Female","Male")</f>
        <v>Female</v>
      </c>
      <c r="D1207" s="5">
        <v>1</v>
      </c>
      <c r="E1207" s="5" t="str">
        <f>_xlfn.SWITCH(recruitment_data3[[#This Row],[EducationLevel]], 1,"Bachelor Type 1", 2,"Bachelor Type 2", 3,"Masters", 4,"PhD")</f>
        <v>Bachelor Type 2</v>
      </c>
      <c r="F1207" s="5">
        <v>2</v>
      </c>
      <c r="G1207" s="5">
        <v>3</v>
      </c>
      <c r="H1207" s="5">
        <v>2</v>
      </c>
      <c r="I1207" s="5">
        <v>48.753159356311826</v>
      </c>
      <c r="J1207" s="5">
        <v>88</v>
      </c>
      <c r="K1207" s="5">
        <v>84</v>
      </c>
      <c r="L1207" s="5">
        <v>4</v>
      </c>
      <c r="M1207" s="5" t="str">
        <f>_xlfn.SWITCH(recruitment_data3[[#This Row],[RecruitmentStrategy]], 1,"Aggressive", 2,"Moderate", 3,"Conservative")</f>
        <v>Conservative</v>
      </c>
      <c r="N1207" s="5">
        <v>3</v>
      </c>
      <c r="O1207" s="5" t="str">
        <f>IF(recruitment_data3[[#This Row],[HiringDecision]]=1,"Hired","Rejected")</f>
        <v>Rejected</v>
      </c>
      <c r="P1207" s="6">
        <v>0</v>
      </c>
    </row>
    <row r="1208" spans="1:16" x14ac:dyDescent="0.25">
      <c r="A1208" s="4" t="str">
        <f t="shared" si="18"/>
        <v>C1207</v>
      </c>
      <c r="B1208" s="4">
        <v>43</v>
      </c>
      <c r="C1208" s="5" t="str">
        <f>IF(recruitment_data3[[#This Row],[Gender]]=1,"Female","Male")</f>
        <v>Male</v>
      </c>
      <c r="D1208" s="5">
        <v>0</v>
      </c>
      <c r="E1208" s="5" t="str">
        <f>_xlfn.SWITCH(recruitment_data3[[#This Row],[EducationLevel]], 1,"Bachelor Type 1", 2,"Bachelor Type 2", 3,"Masters", 4,"PhD")</f>
        <v>Bachelor Type 2</v>
      </c>
      <c r="F1208" s="5">
        <v>2</v>
      </c>
      <c r="G1208" s="5">
        <v>3</v>
      </c>
      <c r="H1208" s="5">
        <v>2</v>
      </c>
      <c r="I1208" s="5">
        <v>31.546319374173898</v>
      </c>
      <c r="J1208" s="5">
        <v>14</v>
      </c>
      <c r="K1208" s="5">
        <v>87</v>
      </c>
      <c r="L1208" s="5">
        <v>59</v>
      </c>
      <c r="M1208" s="5" t="str">
        <f>_xlfn.SWITCH(recruitment_data3[[#This Row],[RecruitmentStrategy]], 1,"Aggressive", 2,"Moderate", 3,"Conservative")</f>
        <v>Conservative</v>
      </c>
      <c r="N1208" s="5">
        <v>3</v>
      </c>
      <c r="O1208" s="5" t="str">
        <f>IF(recruitment_data3[[#This Row],[HiringDecision]]=1,"Hired","Rejected")</f>
        <v>Rejected</v>
      </c>
      <c r="P1208" s="6">
        <v>0</v>
      </c>
    </row>
    <row r="1209" spans="1:16" x14ac:dyDescent="0.25">
      <c r="A1209" s="4" t="str">
        <f t="shared" si="18"/>
        <v>C1208</v>
      </c>
      <c r="B1209" s="4">
        <v>21</v>
      </c>
      <c r="C1209" s="5" t="str">
        <f>IF(recruitment_data3[[#This Row],[Gender]]=1,"Female","Male")</f>
        <v>Female</v>
      </c>
      <c r="D1209" s="5">
        <v>1</v>
      </c>
      <c r="E1209" s="5" t="str">
        <f>_xlfn.SWITCH(recruitment_data3[[#This Row],[EducationLevel]], 1,"Bachelor Type 1", 2,"Bachelor Type 2", 3,"Masters", 4,"PhD")</f>
        <v>PhD</v>
      </c>
      <c r="F1209" s="5">
        <v>4</v>
      </c>
      <c r="G1209" s="5">
        <v>12</v>
      </c>
      <c r="H1209" s="5">
        <v>4</v>
      </c>
      <c r="I1209" s="5">
        <v>1.0634038457745123</v>
      </c>
      <c r="J1209" s="5">
        <v>1</v>
      </c>
      <c r="K1209" s="5">
        <v>24</v>
      </c>
      <c r="L1209" s="5">
        <v>22</v>
      </c>
      <c r="M1209" s="5" t="str">
        <f>_xlfn.SWITCH(recruitment_data3[[#This Row],[RecruitmentStrategy]], 1,"Aggressive", 2,"Moderate", 3,"Conservative")</f>
        <v>Moderate</v>
      </c>
      <c r="N1209" s="5">
        <v>2</v>
      </c>
      <c r="O1209" s="5" t="str">
        <f>IF(recruitment_data3[[#This Row],[HiringDecision]]=1,"Hired","Rejected")</f>
        <v>Rejected</v>
      </c>
      <c r="P1209" s="6">
        <v>0</v>
      </c>
    </row>
    <row r="1210" spans="1:16" x14ac:dyDescent="0.25">
      <c r="A1210" s="4" t="str">
        <f t="shared" si="18"/>
        <v>C1209</v>
      </c>
      <c r="B1210" s="4">
        <v>32</v>
      </c>
      <c r="C1210" s="5" t="str">
        <f>IF(recruitment_data3[[#This Row],[Gender]]=1,"Female","Male")</f>
        <v>Male</v>
      </c>
      <c r="D1210" s="5">
        <v>0</v>
      </c>
      <c r="E1210" s="5" t="str">
        <f>_xlfn.SWITCH(recruitment_data3[[#This Row],[EducationLevel]], 1,"Bachelor Type 1", 2,"Bachelor Type 2", 3,"Masters", 4,"PhD")</f>
        <v>Bachelor Type 2</v>
      </c>
      <c r="F1210" s="5">
        <v>2</v>
      </c>
      <c r="G1210" s="5">
        <v>0</v>
      </c>
      <c r="H1210" s="5">
        <v>3</v>
      </c>
      <c r="I1210" s="5">
        <v>45.7003598958403</v>
      </c>
      <c r="J1210" s="5">
        <v>23</v>
      </c>
      <c r="K1210" s="5">
        <v>46</v>
      </c>
      <c r="L1210" s="5">
        <v>45</v>
      </c>
      <c r="M1210" s="5" t="str">
        <f>_xlfn.SWITCH(recruitment_data3[[#This Row],[RecruitmentStrategy]], 1,"Aggressive", 2,"Moderate", 3,"Conservative")</f>
        <v>Moderate</v>
      </c>
      <c r="N1210" s="5">
        <v>2</v>
      </c>
      <c r="O1210" s="5" t="str">
        <f>IF(recruitment_data3[[#This Row],[HiringDecision]]=1,"Hired","Rejected")</f>
        <v>Rejected</v>
      </c>
      <c r="P1210" s="6">
        <v>0</v>
      </c>
    </row>
    <row r="1211" spans="1:16" x14ac:dyDescent="0.25">
      <c r="A1211" s="4" t="str">
        <f t="shared" si="18"/>
        <v>C1210</v>
      </c>
      <c r="B1211" s="4">
        <v>45</v>
      </c>
      <c r="C1211" s="5" t="str">
        <f>IF(recruitment_data3[[#This Row],[Gender]]=1,"Female","Male")</f>
        <v>Male</v>
      </c>
      <c r="D1211" s="5">
        <v>0</v>
      </c>
      <c r="E1211" s="5" t="str">
        <f>_xlfn.SWITCH(recruitment_data3[[#This Row],[EducationLevel]], 1,"Bachelor Type 1", 2,"Bachelor Type 2", 3,"Masters", 4,"PhD")</f>
        <v>Bachelor Type 2</v>
      </c>
      <c r="F1211" s="5">
        <v>2</v>
      </c>
      <c r="G1211" s="5">
        <v>5</v>
      </c>
      <c r="H1211" s="5">
        <v>2</v>
      </c>
      <c r="I1211" s="5">
        <v>27.085590068345915</v>
      </c>
      <c r="J1211" s="5">
        <v>77</v>
      </c>
      <c r="K1211" s="5">
        <v>54</v>
      </c>
      <c r="L1211" s="5">
        <v>51</v>
      </c>
      <c r="M1211" s="5" t="str">
        <f>_xlfn.SWITCH(recruitment_data3[[#This Row],[RecruitmentStrategy]], 1,"Aggressive", 2,"Moderate", 3,"Conservative")</f>
        <v>Conservative</v>
      </c>
      <c r="N1211" s="5">
        <v>3</v>
      </c>
      <c r="O1211" s="5" t="str">
        <f>IF(recruitment_data3[[#This Row],[HiringDecision]]=1,"Hired","Rejected")</f>
        <v>Rejected</v>
      </c>
      <c r="P1211" s="6">
        <v>0</v>
      </c>
    </row>
    <row r="1212" spans="1:16" x14ac:dyDescent="0.25">
      <c r="A1212" s="4" t="str">
        <f t="shared" si="18"/>
        <v>C1211</v>
      </c>
      <c r="B1212" s="4">
        <v>33</v>
      </c>
      <c r="C1212" s="5" t="str">
        <f>IF(recruitment_data3[[#This Row],[Gender]]=1,"Female","Male")</f>
        <v>Male</v>
      </c>
      <c r="D1212" s="5">
        <v>0</v>
      </c>
      <c r="E1212" s="5" t="str">
        <f>_xlfn.SWITCH(recruitment_data3[[#This Row],[EducationLevel]], 1,"Bachelor Type 1", 2,"Bachelor Type 2", 3,"Masters", 4,"PhD")</f>
        <v>Bachelor Type 2</v>
      </c>
      <c r="F1212" s="5">
        <v>2</v>
      </c>
      <c r="G1212" s="5">
        <v>3</v>
      </c>
      <c r="H1212" s="5">
        <v>2</v>
      </c>
      <c r="I1212" s="5">
        <v>14.133486766524227</v>
      </c>
      <c r="J1212" s="5">
        <v>63</v>
      </c>
      <c r="K1212" s="5">
        <v>63</v>
      </c>
      <c r="L1212" s="5">
        <v>9</v>
      </c>
      <c r="M1212" s="5" t="str">
        <f>_xlfn.SWITCH(recruitment_data3[[#This Row],[RecruitmentStrategy]], 1,"Aggressive", 2,"Moderate", 3,"Conservative")</f>
        <v>Aggressive</v>
      </c>
      <c r="N1212" s="5">
        <v>1</v>
      </c>
      <c r="O1212" s="5" t="str">
        <f>IF(recruitment_data3[[#This Row],[HiringDecision]]=1,"Hired","Rejected")</f>
        <v>Rejected</v>
      </c>
      <c r="P1212" s="6">
        <v>0</v>
      </c>
    </row>
    <row r="1213" spans="1:16" x14ac:dyDescent="0.25">
      <c r="A1213" s="4" t="str">
        <f t="shared" si="18"/>
        <v>C1212</v>
      </c>
      <c r="B1213" s="4">
        <v>46</v>
      </c>
      <c r="C1213" s="5" t="str">
        <f>IF(recruitment_data3[[#This Row],[Gender]]=1,"Female","Male")</f>
        <v>Male</v>
      </c>
      <c r="D1213" s="5">
        <v>0</v>
      </c>
      <c r="E1213" s="5" t="str">
        <f>_xlfn.SWITCH(recruitment_data3[[#This Row],[EducationLevel]], 1,"Bachelor Type 1", 2,"Bachelor Type 2", 3,"Masters", 4,"PhD")</f>
        <v>Bachelor Type 2</v>
      </c>
      <c r="F1213" s="5">
        <v>2</v>
      </c>
      <c r="G1213" s="5">
        <v>0</v>
      </c>
      <c r="H1213" s="5">
        <v>2</v>
      </c>
      <c r="I1213" s="5">
        <v>39.363958875781506</v>
      </c>
      <c r="J1213" s="5">
        <v>70</v>
      </c>
      <c r="K1213" s="5">
        <v>82</v>
      </c>
      <c r="L1213" s="5">
        <v>45</v>
      </c>
      <c r="M1213" s="5" t="str">
        <f>_xlfn.SWITCH(recruitment_data3[[#This Row],[RecruitmentStrategy]], 1,"Aggressive", 2,"Moderate", 3,"Conservative")</f>
        <v>Moderate</v>
      </c>
      <c r="N1213" s="5">
        <v>2</v>
      </c>
      <c r="O1213" s="5" t="str">
        <f>IF(recruitment_data3[[#This Row],[HiringDecision]]=1,"Hired","Rejected")</f>
        <v>Rejected</v>
      </c>
      <c r="P1213" s="6">
        <v>0</v>
      </c>
    </row>
    <row r="1214" spans="1:16" x14ac:dyDescent="0.25">
      <c r="A1214" s="4" t="str">
        <f t="shared" si="18"/>
        <v>C1213</v>
      </c>
      <c r="B1214" s="4">
        <v>43</v>
      </c>
      <c r="C1214" s="5" t="str">
        <f>IF(recruitment_data3[[#This Row],[Gender]]=1,"Female","Male")</f>
        <v>Female</v>
      </c>
      <c r="D1214" s="5">
        <v>1</v>
      </c>
      <c r="E1214" s="5" t="str">
        <f>_xlfn.SWITCH(recruitment_data3[[#This Row],[EducationLevel]], 1,"Bachelor Type 1", 2,"Bachelor Type 2", 3,"Masters", 4,"PhD")</f>
        <v>Bachelor Type 2</v>
      </c>
      <c r="F1214" s="5">
        <v>2</v>
      </c>
      <c r="G1214" s="5">
        <v>0</v>
      </c>
      <c r="H1214" s="5">
        <v>1</v>
      </c>
      <c r="I1214" s="5">
        <v>47.333277694343501</v>
      </c>
      <c r="J1214" s="5">
        <v>99</v>
      </c>
      <c r="K1214" s="5">
        <v>92</v>
      </c>
      <c r="L1214" s="5">
        <v>27</v>
      </c>
      <c r="M1214" s="5" t="str">
        <f>_xlfn.SWITCH(recruitment_data3[[#This Row],[RecruitmentStrategy]], 1,"Aggressive", 2,"Moderate", 3,"Conservative")</f>
        <v>Conservative</v>
      </c>
      <c r="N1214" s="5">
        <v>3</v>
      </c>
      <c r="O1214" s="5" t="str">
        <f>IF(recruitment_data3[[#This Row],[HiringDecision]]=1,"Hired","Rejected")</f>
        <v>Rejected</v>
      </c>
      <c r="P1214" s="6">
        <v>0</v>
      </c>
    </row>
    <row r="1215" spans="1:16" x14ac:dyDescent="0.25">
      <c r="A1215" s="4" t="str">
        <f t="shared" si="18"/>
        <v>C1214</v>
      </c>
      <c r="B1215" s="4">
        <v>38</v>
      </c>
      <c r="C1215" s="5" t="str">
        <f>IF(recruitment_data3[[#This Row],[Gender]]=1,"Female","Male")</f>
        <v>Female</v>
      </c>
      <c r="D1215" s="5">
        <v>1</v>
      </c>
      <c r="E1215" s="5" t="str">
        <f>_xlfn.SWITCH(recruitment_data3[[#This Row],[EducationLevel]], 1,"Bachelor Type 1", 2,"Bachelor Type 2", 3,"Masters", 4,"PhD")</f>
        <v>Masters</v>
      </c>
      <c r="F1215" s="5">
        <v>3</v>
      </c>
      <c r="G1215" s="5">
        <v>14</v>
      </c>
      <c r="H1215" s="5">
        <v>4</v>
      </c>
      <c r="I1215" s="5">
        <v>25.184541157339694</v>
      </c>
      <c r="J1215" s="5">
        <v>23</v>
      </c>
      <c r="K1215" s="5">
        <v>9</v>
      </c>
      <c r="L1215" s="5">
        <v>96</v>
      </c>
      <c r="M1215" s="5" t="str">
        <f>_xlfn.SWITCH(recruitment_data3[[#This Row],[RecruitmentStrategy]], 1,"Aggressive", 2,"Moderate", 3,"Conservative")</f>
        <v>Moderate</v>
      </c>
      <c r="N1215" s="5">
        <v>2</v>
      </c>
      <c r="O1215" s="5" t="str">
        <f>IF(recruitment_data3[[#This Row],[HiringDecision]]=1,"Hired","Rejected")</f>
        <v>Rejected</v>
      </c>
      <c r="P1215" s="6">
        <v>0</v>
      </c>
    </row>
    <row r="1216" spans="1:16" x14ac:dyDescent="0.25">
      <c r="A1216" s="4" t="str">
        <f t="shared" si="18"/>
        <v>C1215</v>
      </c>
      <c r="B1216" s="4">
        <v>26</v>
      </c>
      <c r="C1216" s="5" t="str">
        <f>IF(recruitment_data3[[#This Row],[Gender]]=1,"Female","Male")</f>
        <v>Male</v>
      </c>
      <c r="D1216" s="5">
        <v>0</v>
      </c>
      <c r="E1216" s="5" t="str">
        <f>_xlfn.SWITCH(recruitment_data3[[#This Row],[EducationLevel]], 1,"Bachelor Type 1", 2,"Bachelor Type 2", 3,"Masters", 4,"PhD")</f>
        <v>Bachelor Type 2</v>
      </c>
      <c r="F1216" s="5">
        <v>2</v>
      </c>
      <c r="G1216" s="5">
        <v>12</v>
      </c>
      <c r="H1216" s="5">
        <v>1</v>
      </c>
      <c r="I1216" s="5">
        <v>16.777673722155544</v>
      </c>
      <c r="J1216" s="5">
        <v>26</v>
      </c>
      <c r="K1216" s="5">
        <v>55</v>
      </c>
      <c r="L1216" s="5">
        <v>42</v>
      </c>
      <c r="M1216" s="5" t="str">
        <f>_xlfn.SWITCH(recruitment_data3[[#This Row],[RecruitmentStrategy]], 1,"Aggressive", 2,"Moderate", 3,"Conservative")</f>
        <v>Moderate</v>
      </c>
      <c r="N1216" s="5">
        <v>2</v>
      </c>
      <c r="O1216" s="5" t="str">
        <f>IF(recruitment_data3[[#This Row],[HiringDecision]]=1,"Hired","Rejected")</f>
        <v>Rejected</v>
      </c>
      <c r="P1216" s="6">
        <v>0</v>
      </c>
    </row>
    <row r="1217" spans="1:16" x14ac:dyDescent="0.25">
      <c r="A1217" s="4" t="str">
        <f t="shared" si="18"/>
        <v>C1216</v>
      </c>
      <c r="B1217" s="4">
        <v>22</v>
      </c>
      <c r="C1217" s="5" t="str">
        <f>IF(recruitment_data3[[#This Row],[Gender]]=1,"Female","Male")</f>
        <v>Male</v>
      </c>
      <c r="D1217" s="5">
        <v>0</v>
      </c>
      <c r="E1217" s="5" t="str">
        <f>_xlfn.SWITCH(recruitment_data3[[#This Row],[EducationLevel]], 1,"Bachelor Type 1", 2,"Bachelor Type 2", 3,"Masters", 4,"PhD")</f>
        <v>Masters</v>
      </c>
      <c r="F1217" s="5">
        <v>3</v>
      </c>
      <c r="G1217" s="5">
        <v>0</v>
      </c>
      <c r="H1217" s="5">
        <v>4</v>
      </c>
      <c r="I1217" s="5">
        <v>40.447256196746338</v>
      </c>
      <c r="J1217" s="5">
        <v>36</v>
      </c>
      <c r="K1217" s="5">
        <v>11</v>
      </c>
      <c r="L1217" s="5">
        <v>25</v>
      </c>
      <c r="M1217" s="5" t="str">
        <f>_xlfn.SWITCH(recruitment_data3[[#This Row],[RecruitmentStrategy]], 1,"Aggressive", 2,"Moderate", 3,"Conservative")</f>
        <v>Moderate</v>
      </c>
      <c r="N1217" s="5">
        <v>2</v>
      </c>
      <c r="O1217" s="5" t="str">
        <f>IF(recruitment_data3[[#This Row],[HiringDecision]]=1,"Hired","Rejected")</f>
        <v>Rejected</v>
      </c>
      <c r="P1217" s="6">
        <v>0</v>
      </c>
    </row>
    <row r="1218" spans="1:16" x14ac:dyDescent="0.25">
      <c r="A1218" s="4" t="str">
        <f t="shared" ref="A1218:A1281" si="19">"C"&amp;TEXT(ROW()-1,"0000")</f>
        <v>C1217</v>
      </c>
      <c r="B1218" s="4">
        <v>34</v>
      </c>
      <c r="C1218" s="5" t="str">
        <f>IF(recruitment_data3[[#This Row],[Gender]]=1,"Female","Male")</f>
        <v>Male</v>
      </c>
      <c r="D1218" s="5">
        <v>0</v>
      </c>
      <c r="E1218" s="5" t="str">
        <f>_xlfn.SWITCH(recruitment_data3[[#This Row],[EducationLevel]], 1,"Bachelor Type 1", 2,"Bachelor Type 2", 3,"Masters", 4,"PhD")</f>
        <v>Bachelor Type 2</v>
      </c>
      <c r="F1218" s="5">
        <v>2</v>
      </c>
      <c r="G1218" s="5">
        <v>7</v>
      </c>
      <c r="H1218" s="5">
        <v>2</v>
      </c>
      <c r="I1218" s="5">
        <v>35.089274889422732</v>
      </c>
      <c r="J1218" s="5">
        <v>93</v>
      </c>
      <c r="K1218" s="5">
        <v>32</v>
      </c>
      <c r="L1218" s="5">
        <v>54</v>
      </c>
      <c r="M1218" s="5" t="str">
        <f>_xlfn.SWITCH(recruitment_data3[[#This Row],[RecruitmentStrategy]], 1,"Aggressive", 2,"Moderate", 3,"Conservative")</f>
        <v>Moderate</v>
      </c>
      <c r="N1218" s="5">
        <v>2</v>
      </c>
      <c r="O1218" s="5" t="str">
        <f>IF(recruitment_data3[[#This Row],[HiringDecision]]=1,"Hired","Rejected")</f>
        <v>Rejected</v>
      </c>
      <c r="P1218" s="6">
        <v>0</v>
      </c>
    </row>
    <row r="1219" spans="1:16" x14ac:dyDescent="0.25">
      <c r="A1219" s="4" t="str">
        <f t="shared" si="19"/>
        <v>C1218</v>
      </c>
      <c r="B1219" s="4">
        <v>42</v>
      </c>
      <c r="C1219" s="5" t="str">
        <f>IF(recruitment_data3[[#This Row],[Gender]]=1,"Female","Male")</f>
        <v>Male</v>
      </c>
      <c r="D1219" s="5">
        <v>0</v>
      </c>
      <c r="E1219" s="5" t="str">
        <f>_xlfn.SWITCH(recruitment_data3[[#This Row],[EducationLevel]], 1,"Bachelor Type 1", 2,"Bachelor Type 2", 3,"Masters", 4,"PhD")</f>
        <v>Masters</v>
      </c>
      <c r="F1219" s="5">
        <v>3</v>
      </c>
      <c r="G1219" s="5">
        <v>9</v>
      </c>
      <c r="H1219" s="5">
        <v>3</v>
      </c>
      <c r="I1219" s="5">
        <v>45.43762418751362</v>
      </c>
      <c r="J1219" s="5">
        <v>90</v>
      </c>
      <c r="K1219" s="5">
        <v>70</v>
      </c>
      <c r="L1219" s="5">
        <v>47</v>
      </c>
      <c r="M1219" s="5" t="str">
        <f>_xlfn.SWITCH(recruitment_data3[[#This Row],[RecruitmentStrategy]], 1,"Aggressive", 2,"Moderate", 3,"Conservative")</f>
        <v>Aggressive</v>
      </c>
      <c r="N1219" s="5">
        <v>1</v>
      </c>
      <c r="O1219" s="5" t="str">
        <f>IF(recruitment_data3[[#This Row],[HiringDecision]]=1,"Hired","Rejected")</f>
        <v>Hired</v>
      </c>
      <c r="P1219" s="6">
        <v>1</v>
      </c>
    </row>
    <row r="1220" spans="1:16" x14ac:dyDescent="0.25">
      <c r="A1220" s="4" t="str">
        <f t="shared" si="19"/>
        <v>C1219</v>
      </c>
      <c r="B1220" s="4">
        <v>33</v>
      </c>
      <c r="C1220" s="5" t="str">
        <f>IF(recruitment_data3[[#This Row],[Gender]]=1,"Female","Male")</f>
        <v>Male</v>
      </c>
      <c r="D1220" s="5">
        <v>0</v>
      </c>
      <c r="E1220" s="5" t="str">
        <f>_xlfn.SWITCH(recruitment_data3[[#This Row],[EducationLevel]], 1,"Bachelor Type 1", 2,"Bachelor Type 2", 3,"Masters", 4,"PhD")</f>
        <v>Masters</v>
      </c>
      <c r="F1220" s="5">
        <v>3</v>
      </c>
      <c r="G1220" s="5">
        <v>7</v>
      </c>
      <c r="H1220" s="5">
        <v>5</v>
      </c>
      <c r="I1220" s="5">
        <v>35.625700638059648</v>
      </c>
      <c r="J1220" s="5">
        <v>38</v>
      </c>
      <c r="K1220" s="5">
        <v>16</v>
      </c>
      <c r="L1220" s="5">
        <v>28</v>
      </c>
      <c r="M1220" s="5" t="str">
        <f>_xlfn.SWITCH(recruitment_data3[[#This Row],[RecruitmentStrategy]], 1,"Aggressive", 2,"Moderate", 3,"Conservative")</f>
        <v>Conservative</v>
      </c>
      <c r="N1220" s="5">
        <v>3</v>
      </c>
      <c r="O1220" s="5" t="str">
        <f>IF(recruitment_data3[[#This Row],[HiringDecision]]=1,"Hired","Rejected")</f>
        <v>Rejected</v>
      </c>
      <c r="P1220" s="6">
        <v>0</v>
      </c>
    </row>
    <row r="1221" spans="1:16" x14ac:dyDescent="0.25">
      <c r="A1221" s="4" t="str">
        <f t="shared" si="19"/>
        <v>C1220</v>
      </c>
      <c r="B1221" s="4">
        <v>30</v>
      </c>
      <c r="C1221" s="5" t="str">
        <f>IF(recruitment_data3[[#This Row],[Gender]]=1,"Female","Male")</f>
        <v>Female</v>
      </c>
      <c r="D1221" s="5">
        <v>1</v>
      </c>
      <c r="E1221" s="5" t="str">
        <f>_xlfn.SWITCH(recruitment_data3[[#This Row],[EducationLevel]], 1,"Bachelor Type 1", 2,"Bachelor Type 2", 3,"Masters", 4,"PhD")</f>
        <v>Bachelor Type 2</v>
      </c>
      <c r="F1221" s="5">
        <v>2</v>
      </c>
      <c r="G1221" s="5">
        <v>1</v>
      </c>
      <c r="H1221" s="5">
        <v>5</v>
      </c>
      <c r="I1221" s="5">
        <v>13.176416944976815</v>
      </c>
      <c r="J1221" s="5">
        <v>62</v>
      </c>
      <c r="K1221" s="5">
        <v>60</v>
      </c>
      <c r="L1221" s="5">
        <v>26</v>
      </c>
      <c r="M1221" s="5" t="str">
        <f>_xlfn.SWITCH(recruitment_data3[[#This Row],[RecruitmentStrategy]], 1,"Aggressive", 2,"Moderate", 3,"Conservative")</f>
        <v>Moderate</v>
      </c>
      <c r="N1221" s="5">
        <v>2</v>
      </c>
      <c r="O1221" s="5" t="str">
        <f>IF(recruitment_data3[[#This Row],[HiringDecision]]=1,"Hired","Rejected")</f>
        <v>Rejected</v>
      </c>
      <c r="P1221" s="6">
        <v>0</v>
      </c>
    </row>
    <row r="1222" spans="1:16" x14ac:dyDescent="0.25">
      <c r="A1222" s="4" t="str">
        <f t="shared" si="19"/>
        <v>C1221</v>
      </c>
      <c r="B1222" s="4">
        <v>34</v>
      </c>
      <c r="C1222" s="5" t="str">
        <f>IF(recruitment_data3[[#This Row],[Gender]]=1,"Female","Male")</f>
        <v>Female</v>
      </c>
      <c r="D1222" s="5">
        <v>1</v>
      </c>
      <c r="E1222" s="5" t="str">
        <f>_xlfn.SWITCH(recruitment_data3[[#This Row],[EducationLevel]], 1,"Bachelor Type 1", 2,"Bachelor Type 2", 3,"Masters", 4,"PhD")</f>
        <v>Bachelor Type 2</v>
      </c>
      <c r="F1222" s="5">
        <v>2</v>
      </c>
      <c r="G1222" s="5">
        <v>10</v>
      </c>
      <c r="H1222" s="5">
        <v>2</v>
      </c>
      <c r="I1222" s="5">
        <v>47.582962487950951</v>
      </c>
      <c r="J1222" s="5">
        <v>78</v>
      </c>
      <c r="K1222" s="5">
        <v>9</v>
      </c>
      <c r="L1222" s="5">
        <v>17</v>
      </c>
      <c r="M1222" s="5" t="str">
        <f>_xlfn.SWITCH(recruitment_data3[[#This Row],[RecruitmentStrategy]], 1,"Aggressive", 2,"Moderate", 3,"Conservative")</f>
        <v>Conservative</v>
      </c>
      <c r="N1222" s="5">
        <v>3</v>
      </c>
      <c r="O1222" s="5" t="str">
        <f>IF(recruitment_data3[[#This Row],[HiringDecision]]=1,"Hired","Rejected")</f>
        <v>Rejected</v>
      </c>
      <c r="P1222" s="6">
        <v>0</v>
      </c>
    </row>
    <row r="1223" spans="1:16" x14ac:dyDescent="0.25">
      <c r="A1223" s="4" t="str">
        <f t="shared" si="19"/>
        <v>C1222</v>
      </c>
      <c r="B1223" s="4">
        <v>47</v>
      </c>
      <c r="C1223" s="5" t="str">
        <f>IF(recruitment_data3[[#This Row],[Gender]]=1,"Female","Male")</f>
        <v>Female</v>
      </c>
      <c r="D1223" s="5">
        <v>1</v>
      </c>
      <c r="E1223" s="5" t="str">
        <f>_xlfn.SWITCH(recruitment_data3[[#This Row],[EducationLevel]], 1,"Bachelor Type 1", 2,"Bachelor Type 2", 3,"Masters", 4,"PhD")</f>
        <v>PhD</v>
      </c>
      <c r="F1223" s="5">
        <v>4</v>
      </c>
      <c r="G1223" s="5">
        <v>12</v>
      </c>
      <c r="H1223" s="5">
        <v>1</v>
      </c>
      <c r="I1223" s="5">
        <v>6.2417873602995657</v>
      </c>
      <c r="J1223" s="5">
        <v>25</v>
      </c>
      <c r="K1223" s="5">
        <v>30</v>
      </c>
      <c r="L1223" s="5">
        <v>59</v>
      </c>
      <c r="M1223" s="5" t="str">
        <f>_xlfn.SWITCH(recruitment_data3[[#This Row],[RecruitmentStrategy]], 1,"Aggressive", 2,"Moderate", 3,"Conservative")</f>
        <v>Conservative</v>
      </c>
      <c r="N1223" s="5">
        <v>3</v>
      </c>
      <c r="O1223" s="5" t="str">
        <f>IF(recruitment_data3[[#This Row],[HiringDecision]]=1,"Hired","Rejected")</f>
        <v>Rejected</v>
      </c>
      <c r="P1223" s="6">
        <v>0</v>
      </c>
    </row>
    <row r="1224" spans="1:16" x14ac:dyDescent="0.25">
      <c r="A1224" s="4" t="str">
        <f t="shared" si="19"/>
        <v>C1223</v>
      </c>
      <c r="B1224" s="4">
        <v>32</v>
      </c>
      <c r="C1224" s="5" t="str">
        <f>IF(recruitment_data3[[#This Row],[Gender]]=1,"Female","Male")</f>
        <v>Female</v>
      </c>
      <c r="D1224" s="5">
        <v>1</v>
      </c>
      <c r="E1224" s="5" t="str">
        <f>_xlfn.SWITCH(recruitment_data3[[#This Row],[EducationLevel]], 1,"Bachelor Type 1", 2,"Bachelor Type 2", 3,"Masters", 4,"PhD")</f>
        <v>Bachelor Type 2</v>
      </c>
      <c r="F1224" s="5">
        <v>2</v>
      </c>
      <c r="G1224" s="5">
        <v>6</v>
      </c>
      <c r="H1224" s="5">
        <v>3</v>
      </c>
      <c r="I1224" s="5">
        <v>14.397137505342393</v>
      </c>
      <c r="J1224" s="5">
        <v>64</v>
      </c>
      <c r="K1224" s="5">
        <v>59</v>
      </c>
      <c r="L1224" s="5">
        <v>73</v>
      </c>
      <c r="M1224" s="5" t="str">
        <f>_xlfn.SWITCH(recruitment_data3[[#This Row],[RecruitmentStrategy]], 1,"Aggressive", 2,"Moderate", 3,"Conservative")</f>
        <v>Aggressive</v>
      </c>
      <c r="N1224" s="5">
        <v>1</v>
      </c>
      <c r="O1224" s="5" t="str">
        <f>IF(recruitment_data3[[#This Row],[HiringDecision]]=1,"Hired","Rejected")</f>
        <v>Hired</v>
      </c>
      <c r="P1224" s="6">
        <v>1</v>
      </c>
    </row>
    <row r="1225" spans="1:16" x14ac:dyDescent="0.25">
      <c r="A1225" s="4" t="str">
        <f t="shared" si="19"/>
        <v>C1224</v>
      </c>
      <c r="B1225" s="4">
        <v>37</v>
      </c>
      <c r="C1225" s="5" t="str">
        <f>IF(recruitment_data3[[#This Row],[Gender]]=1,"Female","Male")</f>
        <v>Male</v>
      </c>
      <c r="D1225" s="5">
        <v>0</v>
      </c>
      <c r="E1225" s="5" t="str">
        <f>_xlfn.SWITCH(recruitment_data3[[#This Row],[EducationLevel]], 1,"Bachelor Type 1", 2,"Bachelor Type 2", 3,"Masters", 4,"PhD")</f>
        <v>PhD</v>
      </c>
      <c r="F1225" s="5">
        <v>4</v>
      </c>
      <c r="G1225" s="5">
        <v>13</v>
      </c>
      <c r="H1225" s="5">
        <v>4</v>
      </c>
      <c r="I1225" s="5">
        <v>27.009730386194281</v>
      </c>
      <c r="J1225" s="5">
        <v>3</v>
      </c>
      <c r="K1225" s="5">
        <v>69</v>
      </c>
      <c r="L1225" s="5">
        <v>68</v>
      </c>
      <c r="M1225" s="5" t="str">
        <f>_xlfn.SWITCH(recruitment_data3[[#This Row],[RecruitmentStrategy]], 1,"Aggressive", 2,"Moderate", 3,"Conservative")</f>
        <v>Aggressive</v>
      </c>
      <c r="N1225" s="5">
        <v>1</v>
      </c>
      <c r="O1225" s="5" t="str">
        <f>IF(recruitment_data3[[#This Row],[HiringDecision]]=1,"Hired","Rejected")</f>
        <v>Hired</v>
      </c>
      <c r="P1225" s="6">
        <v>1</v>
      </c>
    </row>
    <row r="1226" spans="1:16" x14ac:dyDescent="0.25">
      <c r="A1226" s="4" t="str">
        <f t="shared" si="19"/>
        <v>C1225</v>
      </c>
      <c r="B1226" s="4">
        <v>45</v>
      </c>
      <c r="C1226" s="5" t="str">
        <f>IF(recruitment_data3[[#This Row],[Gender]]=1,"Female","Male")</f>
        <v>Male</v>
      </c>
      <c r="D1226" s="5">
        <v>0</v>
      </c>
      <c r="E1226" s="5" t="str">
        <f>_xlfn.SWITCH(recruitment_data3[[#This Row],[EducationLevel]], 1,"Bachelor Type 1", 2,"Bachelor Type 2", 3,"Masters", 4,"PhD")</f>
        <v>Bachelor Type 1</v>
      </c>
      <c r="F1226" s="5">
        <v>1</v>
      </c>
      <c r="G1226" s="5">
        <v>7</v>
      </c>
      <c r="H1226" s="5">
        <v>2</v>
      </c>
      <c r="I1226" s="5">
        <v>29.287101303545072</v>
      </c>
      <c r="J1226" s="5">
        <v>28</v>
      </c>
      <c r="K1226" s="5">
        <v>16</v>
      </c>
      <c r="L1226" s="5">
        <v>73</v>
      </c>
      <c r="M1226" s="5" t="str">
        <f>_xlfn.SWITCH(recruitment_data3[[#This Row],[RecruitmentStrategy]], 1,"Aggressive", 2,"Moderate", 3,"Conservative")</f>
        <v>Moderate</v>
      </c>
      <c r="N1226" s="5">
        <v>2</v>
      </c>
      <c r="O1226" s="5" t="str">
        <f>IF(recruitment_data3[[#This Row],[HiringDecision]]=1,"Hired","Rejected")</f>
        <v>Rejected</v>
      </c>
      <c r="P1226" s="6">
        <v>0</v>
      </c>
    </row>
    <row r="1227" spans="1:16" x14ac:dyDescent="0.25">
      <c r="A1227" s="4" t="str">
        <f t="shared" si="19"/>
        <v>C1226</v>
      </c>
      <c r="B1227" s="4">
        <v>25</v>
      </c>
      <c r="C1227" s="5" t="str">
        <f>IF(recruitment_data3[[#This Row],[Gender]]=1,"Female","Male")</f>
        <v>Male</v>
      </c>
      <c r="D1227" s="5">
        <v>0</v>
      </c>
      <c r="E1227" s="5" t="str">
        <f>_xlfn.SWITCH(recruitment_data3[[#This Row],[EducationLevel]], 1,"Bachelor Type 1", 2,"Bachelor Type 2", 3,"Masters", 4,"PhD")</f>
        <v>Bachelor Type 2</v>
      </c>
      <c r="F1227" s="5">
        <v>2</v>
      </c>
      <c r="G1227" s="5">
        <v>7</v>
      </c>
      <c r="H1227" s="5">
        <v>3</v>
      </c>
      <c r="I1227" s="5">
        <v>1.7655293313452716</v>
      </c>
      <c r="J1227" s="5">
        <v>0</v>
      </c>
      <c r="K1227" s="5">
        <v>49</v>
      </c>
      <c r="L1227" s="5">
        <v>20</v>
      </c>
      <c r="M1227" s="5" t="str">
        <f>_xlfn.SWITCH(recruitment_data3[[#This Row],[RecruitmentStrategy]], 1,"Aggressive", 2,"Moderate", 3,"Conservative")</f>
        <v>Moderate</v>
      </c>
      <c r="N1227" s="5">
        <v>2</v>
      </c>
      <c r="O1227" s="5" t="str">
        <f>IF(recruitment_data3[[#This Row],[HiringDecision]]=1,"Hired","Rejected")</f>
        <v>Rejected</v>
      </c>
      <c r="P1227" s="6">
        <v>0</v>
      </c>
    </row>
    <row r="1228" spans="1:16" x14ac:dyDescent="0.25">
      <c r="A1228" s="4" t="str">
        <f t="shared" si="19"/>
        <v>C1227</v>
      </c>
      <c r="B1228" s="4">
        <v>22</v>
      </c>
      <c r="C1228" s="5" t="str">
        <f>IF(recruitment_data3[[#This Row],[Gender]]=1,"Female","Male")</f>
        <v>Male</v>
      </c>
      <c r="D1228" s="5">
        <v>0</v>
      </c>
      <c r="E1228" s="5" t="str">
        <f>_xlfn.SWITCH(recruitment_data3[[#This Row],[EducationLevel]], 1,"Bachelor Type 1", 2,"Bachelor Type 2", 3,"Masters", 4,"PhD")</f>
        <v>Masters</v>
      </c>
      <c r="F1228" s="5">
        <v>3</v>
      </c>
      <c r="G1228" s="5">
        <v>10</v>
      </c>
      <c r="H1228" s="5">
        <v>3</v>
      </c>
      <c r="I1228" s="5">
        <v>40.028636291047</v>
      </c>
      <c r="J1228" s="5">
        <v>49</v>
      </c>
      <c r="K1228" s="5">
        <v>36</v>
      </c>
      <c r="L1228" s="5">
        <v>23</v>
      </c>
      <c r="M1228" s="5" t="str">
        <f>_xlfn.SWITCH(recruitment_data3[[#This Row],[RecruitmentStrategy]], 1,"Aggressive", 2,"Moderate", 3,"Conservative")</f>
        <v>Moderate</v>
      </c>
      <c r="N1228" s="5">
        <v>2</v>
      </c>
      <c r="O1228" s="5" t="str">
        <f>IF(recruitment_data3[[#This Row],[HiringDecision]]=1,"Hired","Rejected")</f>
        <v>Rejected</v>
      </c>
      <c r="P1228" s="6">
        <v>0</v>
      </c>
    </row>
    <row r="1229" spans="1:16" x14ac:dyDescent="0.25">
      <c r="A1229" s="4" t="str">
        <f t="shared" si="19"/>
        <v>C1228</v>
      </c>
      <c r="B1229" s="4">
        <v>38</v>
      </c>
      <c r="C1229" s="5" t="str">
        <f>IF(recruitment_data3[[#This Row],[Gender]]=1,"Female","Male")</f>
        <v>Male</v>
      </c>
      <c r="D1229" s="5">
        <v>0</v>
      </c>
      <c r="E1229" s="5" t="str">
        <f>_xlfn.SWITCH(recruitment_data3[[#This Row],[EducationLevel]], 1,"Bachelor Type 1", 2,"Bachelor Type 2", 3,"Masters", 4,"PhD")</f>
        <v>PhD</v>
      </c>
      <c r="F1229" s="5">
        <v>4</v>
      </c>
      <c r="G1229" s="5">
        <v>9</v>
      </c>
      <c r="H1229" s="5">
        <v>4</v>
      </c>
      <c r="I1229" s="5">
        <v>19.080365921269475</v>
      </c>
      <c r="J1229" s="5">
        <v>85</v>
      </c>
      <c r="K1229" s="5">
        <v>81</v>
      </c>
      <c r="L1229" s="5">
        <v>2</v>
      </c>
      <c r="M1229" s="5" t="str">
        <f>_xlfn.SWITCH(recruitment_data3[[#This Row],[RecruitmentStrategy]], 1,"Aggressive", 2,"Moderate", 3,"Conservative")</f>
        <v>Moderate</v>
      </c>
      <c r="N1229" s="5">
        <v>2</v>
      </c>
      <c r="O1229" s="5" t="str">
        <f>IF(recruitment_data3[[#This Row],[HiringDecision]]=1,"Hired","Rejected")</f>
        <v>Hired</v>
      </c>
      <c r="P1229" s="6">
        <v>1</v>
      </c>
    </row>
    <row r="1230" spans="1:16" x14ac:dyDescent="0.25">
      <c r="A1230" s="4" t="str">
        <f t="shared" si="19"/>
        <v>C1229</v>
      </c>
      <c r="B1230" s="4">
        <v>34</v>
      </c>
      <c r="C1230" s="5" t="str">
        <f>IF(recruitment_data3[[#This Row],[Gender]]=1,"Female","Male")</f>
        <v>Female</v>
      </c>
      <c r="D1230" s="5">
        <v>1</v>
      </c>
      <c r="E1230" s="5" t="str">
        <f>_xlfn.SWITCH(recruitment_data3[[#This Row],[EducationLevel]], 1,"Bachelor Type 1", 2,"Bachelor Type 2", 3,"Masters", 4,"PhD")</f>
        <v>Bachelor Type 2</v>
      </c>
      <c r="F1230" s="5">
        <v>2</v>
      </c>
      <c r="G1230" s="5">
        <v>14</v>
      </c>
      <c r="H1230" s="5">
        <v>3</v>
      </c>
      <c r="I1230" s="5">
        <v>21.320927050106892</v>
      </c>
      <c r="J1230" s="5">
        <v>10</v>
      </c>
      <c r="K1230" s="5">
        <v>61</v>
      </c>
      <c r="L1230" s="5">
        <v>94</v>
      </c>
      <c r="M1230" s="5" t="str">
        <f>_xlfn.SWITCH(recruitment_data3[[#This Row],[RecruitmentStrategy]], 1,"Aggressive", 2,"Moderate", 3,"Conservative")</f>
        <v>Moderate</v>
      </c>
      <c r="N1230" s="5">
        <v>2</v>
      </c>
      <c r="O1230" s="5" t="str">
        <f>IF(recruitment_data3[[#This Row],[HiringDecision]]=1,"Hired","Rejected")</f>
        <v>Rejected</v>
      </c>
      <c r="P1230" s="6">
        <v>0</v>
      </c>
    </row>
    <row r="1231" spans="1:16" x14ac:dyDescent="0.25">
      <c r="A1231" s="4" t="str">
        <f t="shared" si="19"/>
        <v>C1230</v>
      </c>
      <c r="B1231" s="4">
        <v>44</v>
      </c>
      <c r="C1231" s="5" t="str">
        <f>IF(recruitment_data3[[#This Row],[Gender]]=1,"Female","Male")</f>
        <v>Male</v>
      </c>
      <c r="D1231" s="5">
        <v>0</v>
      </c>
      <c r="E1231" s="5" t="str">
        <f>_xlfn.SWITCH(recruitment_data3[[#This Row],[EducationLevel]], 1,"Bachelor Type 1", 2,"Bachelor Type 2", 3,"Masters", 4,"PhD")</f>
        <v>Masters</v>
      </c>
      <c r="F1231" s="5">
        <v>3</v>
      </c>
      <c r="G1231" s="5">
        <v>10</v>
      </c>
      <c r="H1231" s="5">
        <v>1</v>
      </c>
      <c r="I1231" s="5">
        <v>41.468477221847287</v>
      </c>
      <c r="J1231" s="5">
        <v>73</v>
      </c>
      <c r="K1231" s="5">
        <v>89</v>
      </c>
      <c r="L1231" s="5">
        <v>61</v>
      </c>
      <c r="M1231" s="5" t="str">
        <f>_xlfn.SWITCH(recruitment_data3[[#This Row],[RecruitmentStrategy]], 1,"Aggressive", 2,"Moderate", 3,"Conservative")</f>
        <v>Aggressive</v>
      </c>
      <c r="N1231" s="5">
        <v>1</v>
      </c>
      <c r="O1231" s="5" t="str">
        <f>IF(recruitment_data3[[#This Row],[HiringDecision]]=1,"Hired","Rejected")</f>
        <v>Hired</v>
      </c>
      <c r="P1231" s="6">
        <v>1</v>
      </c>
    </row>
    <row r="1232" spans="1:16" x14ac:dyDescent="0.25">
      <c r="A1232" s="4" t="str">
        <f t="shared" si="19"/>
        <v>C1231</v>
      </c>
      <c r="B1232" s="4">
        <v>42</v>
      </c>
      <c r="C1232" s="5" t="str">
        <f>IF(recruitment_data3[[#This Row],[Gender]]=1,"Female","Male")</f>
        <v>Female</v>
      </c>
      <c r="D1232" s="5">
        <v>1</v>
      </c>
      <c r="E1232" s="5" t="str">
        <f>_xlfn.SWITCH(recruitment_data3[[#This Row],[EducationLevel]], 1,"Bachelor Type 1", 2,"Bachelor Type 2", 3,"Masters", 4,"PhD")</f>
        <v>Bachelor Type 2</v>
      </c>
      <c r="F1232" s="5">
        <v>2</v>
      </c>
      <c r="G1232" s="5">
        <v>12</v>
      </c>
      <c r="H1232" s="5">
        <v>1</v>
      </c>
      <c r="I1232" s="5">
        <v>19.964169586377228</v>
      </c>
      <c r="J1232" s="5">
        <v>58</v>
      </c>
      <c r="K1232" s="5">
        <v>79</v>
      </c>
      <c r="L1232" s="5">
        <v>100</v>
      </c>
      <c r="M1232" s="5" t="str">
        <f>_xlfn.SWITCH(recruitment_data3[[#This Row],[RecruitmentStrategy]], 1,"Aggressive", 2,"Moderate", 3,"Conservative")</f>
        <v>Moderate</v>
      </c>
      <c r="N1232" s="5">
        <v>2</v>
      </c>
      <c r="O1232" s="5" t="str">
        <f>IF(recruitment_data3[[#This Row],[HiringDecision]]=1,"Hired","Rejected")</f>
        <v>Rejected</v>
      </c>
      <c r="P1232" s="6">
        <v>0</v>
      </c>
    </row>
    <row r="1233" spans="1:16" x14ac:dyDescent="0.25">
      <c r="A1233" s="4" t="str">
        <f t="shared" si="19"/>
        <v>C1232</v>
      </c>
      <c r="B1233" s="4">
        <v>24</v>
      </c>
      <c r="C1233" s="5" t="str">
        <f>IF(recruitment_data3[[#This Row],[Gender]]=1,"Female","Male")</f>
        <v>Female</v>
      </c>
      <c r="D1233" s="5">
        <v>1</v>
      </c>
      <c r="E1233" s="5" t="str">
        <f>_xlfn.SWITCH(recruitment_data3[[#This Row],[EducationLevel]], 1,"Bachelor Type 1", 2,"Bachelor Type 2", 3,"Masters", 4,"PhD")</f>
        <v>Bachelor Type 1</v>
      </c>
      <c r="F1233" s="5">
        <v>1</v>
      </c>
      <c r="G1233" s="5">
        <v>6</v>
      </c>
      <c r="H1233" s="5">
        <v>1</v>
      </c>
      <c r="I1233" s="5">
        <v>3.3612438247377412</v>
      </c>
      <c r="J1233" s="5">
        <v>61</v>
      </c>
      <c r="K1233" s="5">
        <v>71</v>
      </c>
      <c r="L1233" s="5">
        <v>1</v>
      </c>
      <c r="M1233" s="5" t="str">
        <f>_xlfn.SWITCH(recruitment_data3[[#This Row],[RecruitmentStrategy]], 1,"Aggressive", 2,"Moderate", 3,"Conservative")</f>
        <v>Moderate</v>
      </c>
      <c r="N1233" s="5">
        <v>2</v>
      </c>
      <c r="O1233" s="5" t="str">
        <f>IF(recruitment_data3[[#This Row],[HiringDecision]]=1,"Hired","Rejected")</f>
        <v>Rejected</v>
      </c>
      <c r="P1233" s="6">
        <v>0</v>
      </c>
    </row>
    <row r="1234" spans="1:16" x14ac:dyDescent="0.25">
      <c r="A1234" s="4" t="str">
        <f t="shared" si="19"/>
        <v>C1233</v>
      </c>
      <c r="B1234" s="4">
        <v>47</v>
      </c>
      <c r="C1234" s="5" t="str">
        <f>IF(recruitment_data3[[#This Row],[Gender]]=1,"Female","Male")</f>
        <v>Female</v>
      </c>
      <c r="D1234" s="5">
        <v>1</v>
      </c>
      <c r="E1234" s="5" t="str">
        <f>_xlfn.SWITCH(recruitment_data3[[#This Row],[EducationLevel]], 1,"Bachelor Type 1", 2,"Bachelor Type 2", 3,"Masters", 4,"PhD")</f>
        <v>Bachelor Type 2</v>
      </c>
      <c r="F1234" s="5">
        <v>2</v>
      </c>
      <c r="G1234" s="5">
        <v>4</v>
      </c>
      <c r="H1234" s="5">
        <v>3</v>
      </c>
      <c r="I1234" s="5">
        <v>9.8219885235175148</v>
      </c>
      <c r="J1234" s="5">
        <v>80</v>
      </c>
      <c r="K1234" s="5">
        <v>87</v>
      </c>
      <c r="L1234" s="5">
        <v>65</v>
      </c>
      <c r="M1234" s="5" t="str">
        <f>_xlfn.SWITCH(recruitment_data3[[#This Row],[RecruitmentStrategy]], 1,"Aggressive", 2,"Moderate", 3,"Conservative")</f>
        <v>Moderate</v>
      </c>
      <c r="N1234" s="5">
        <v>2</v>
      </c>
      <c r="O1234" s="5" t="str">
        <f>IF(recruitment_data3[[#This Row],[HiringDecision]]=1,"Hired","Rejected")</f>
        <v>Rejected</v>
      </c>
      <c r="P1234" s="6">
        <v>0</v>
      </c>
    </row>
    <row r="1235" spans="1:16" x14ac:dyDescent="0.25">
      <c r="A1235" s="4" t="str">
        <f t="shared" si="19"/>
        <v>C1234</v>
      </c>
      <c r="B1235" s="4">
        <v>29</v>
      </c>
      <c r="C1235" s="5" t="str">
        <f>IF(recruitment_data3[[#This Row],[Gender]]=1,"Female","Male")</f>
        <v>Female</v>
      </c>
      <c r="D1235" s="5">
        <v>1</v>
      </c>
      <c r="E1235" s="5" t="str">
        <f>_xlfn.SWITCH(recruitment_data3[[#This Row],[EducationLevel]], 1,"Bachelor Type 1", 2,"Bachelor Type 2", 3,"Masters", 4,"PhD")</f>
        <v>Bachelor Type 2</v>
      </c>
      <c r="F1235" s="5">
        <v>2</v>
      </c>
      <c r="G1235" s="5">
        <v>0</v>
      </c>
      <c r="H1235" s="5">
        <v>1</v>
      </c>
      <c r="I1235" s="5">
        <v>48.795158619409115</v>
      </c>
      <c r="J1235" s="5">
        <v>35</v>
      </c>
      <c r="K1235" s="5">
        <v>76</v>
      </c>
      <c r="L1235" s="5">
        <v>41</v>
      </c>
      <c r="M1235" s="5" t="str">
        <f>_xlfn.SWITCH(recruitment_data3[[#This Row],[RecruitmentStrategy]], 1,"Aggressive", 2,"Moderate", 3,"Conservative")</f>
        <v>Aggressive</v>
      </c>
      <c r="N1235" s="5">
        <v>1</v>
      </c>
      <c r="O1235" s="5" t="str">
        <f>IF(recruitment_data3[[#This Row],[HiringDecision]]=1,"Hired","Rejected")</f>
        <v>Rejected</v>
      </c>
      <c r="P1235" s="6">
        <v>0</v>
      </c>
    </row>
    <row r="1236" spans="1:16" x14ac:dyDescent="0.25">
      <c r="A1236" s="4" t="str">
        <f t="shared" si="19"/>
        <v>C1235</v>
      </c>
      <c r="B1236" s="4">
        <v>26</v>
      </c>
      <c r="C1236" s="5" t="str">
        <f>IF(recruitment_data3[[#This Row],[Gender]]=1,"Female","Male")</f>
        <v>Male</v>
      </c>
      <c r="D1236" s="5">
        <v>0</v>
      </c>
      <c r="E1236" s="5" t="str">
        <f>_xlfn.SWITCH(recruitment_data3[[#This Row],[EducationLevel]], 1,"Bachelor Type 1", 2,"Bachelor Type 2", 3,"Masters", 4,"PhD")</f>
        <v>PhD</v>
      </c>
      <c r="F1236" s="5">
        <v>4</v>
      </c>
      <c r="G1236" s="5">
        <v>11</v>
      </c>
      <c r="H1236" s="5">
        <v>4</v>
      </c>
      <c r="I1236" s="5">
        <v>4.5202681201257082</v>
      </c>
      <c r="J1236" s="5">
        <v>55</v>
      </c>
      <c r="K1236" s="5">
        <v>28</v>
      </c>
      <c r="L1236" s="5">
        <v>33</v>
      </c>
      <c r="M1236" s="5" t="str">
        <f>_xlfn.SWITCH(recruitment_data3[[#This Row],[RecruitmentStrategy]], 1,"Aggressive", 2,"Moderate", 3,"Conservative")</f>
        <v>Moderate</v>
      </c>
      <c r="N1236" s="5">
        <v>2</v>
      </c>
      <c r="O1236" s="5" t="str">
        <f>IF(recruitment_data3[[#This Row],[HiringDecision]]=1,"Hired","Rejected")</f>
        <v>Rejected</v>
      </c>
      <c r="P1236" s="6">
        <v>0</v>
      </c>
    </row>
    <row r="1237" spans="1:16" x14ac:dyDescent="0.25">
      <c r="A1237" s="4" t="str">
        <f t="shared" si="19"/>
        <v>C1236</v>
      </c>
      <c r="B1237" s="4">
        <v>44</v>
      </c>
      <c r="C1237" s="5" t="str">
        <f>IF(recruitment_data3[[#This Row],[Gender]]=1,"Female","Male")</f>
        <v>Female</v>
      </c>
      <c r="D1237" s="5">
        <v>1</v>
      </c>
      <c r="E1237" s="5" t="str">
        <f>_xlfn.SWITCH(recruitment_data3[[#This Row],[EducationLevel]], 1,"Bachelor Type 1", 2,"Bachelor Type 2", 3,"Masters", 4,"PhD")</f>
        <v>Bachelor Type 2</v>
      </c>
      <c r="F1237" s="5">
        <v>2</v>
      </c>
      <c r="G1237" s="5">
        <v>8</v>
      </c>
      <c r="H1237" s="5">
        <v>3</v>
      </c>
      <c r="I1237" s="5">
        <v>18.746560048400813</v>
      </c>
      <c r="J1237" s="5">
        <v>89</v>
      </c>
      <c r="K1237" s="5">
        <v>31</v>
      </c>
      <c r="L1237" s="5">
        <v>41</v>
      </c>
      <c r="M1237" s="5" t="str">
        <f>_xlfn.SWITCH(recruitment_data3[[#This Row],[RecruitmentStrategy]], 1,"Aggressive", 2,"Moderate", 3,"Conservative")</f>
        <v>Aggressive</v>
      </c>
      <c r="N1237" s="5">
        <v>1</v>
      </c>
      <c r="O1237" s="5" t="str">
        <f>IF(recruitment_data3[[#This Row],[HiringDecision]]=1,"Hired","Rejected")</f>
        <v>Hired</v>
      </c>
      <c r="P1237" s="6">
        <v>1</v>
      </c>
    </row>
    <row r="1238" spans="1:16" x14ac:dyDescent="0.25">
      <c r="A1238" s="4" t="str">
        <f t="shared" si="19"/>
        <v>C1237</v>
      </c>
      <c r="B1238" s="4">
        <v>36</v>
      </c>
      <c r="C1238" s="5" t="str">
        <f>IF(recruitment_data3[[#This Row],[Gender]]=1,"Female","Male")</f>
        <v>Female</v>
      </c>
      <c r="D1238" s="5">
        <v>1</v>
      </c>
      <c r="E1238" s="5" t="str">
        <f>_xlfn.SWITCH(recruitment_data3[[#This Row],[EducationLevel]], 1,"Bachelor Type 1", 2,"Bachelor Type 2", 3,"Masters", 4,"PhD")</f>
        <v>Bachelor Type 2</v>
      </c>
      <c r="F1238" s="5">
        <v>2</v>
      </c>
      <c r="G1238" s="5">
        <v>12</v>
      </c>
      <c r="H1238" s="5">
        <v>5</v>
      </c>
      <c r="I1238" s="5">
        <v>26.158958352567229</v>
      </c>
      <c r="J1238" s="5">
        <v>20</v>
      </c>
      <c r="K1238" s="5">
        <v>87</v>
      </c>
      <c r="L1238" s="5">
        <v>19</v>
      </c>
      <c r="M1238" s="5" t="str">
        <f>_xlfn.SWITCH(recruitment_data3[[#This Row],[RecruitmentStrategy]], 1,"Aggressive", 2,"Moderate", 3,"Conservative")</f>
        <v>Moderate</v>
      </c>
      <c r="N1238" s="5">
        <v>2</v>
      </c>
      <c r="O1238" s="5" t="str">
        <f>IF(recruitment_data3[[#This Row],[HiringDecision]]=1,"Hired","Rejected")</f>
        <v>Rejected</v>
      </c>
      <c r="P1238" s="6">
        <v>0</v>
      </c>
    </row>
    <row r="1239" spans="1:16" x14ac:dyDescent="0.25">
      <c r="A1239" s="4" t="str">
        <f t="shared" si="19"/>
        <v>C1238</v>
      </c>
      <c r="B1239" s="4">
        <v>26</v>
      </c>
      <c r="C1239" s="5" t="str">
        <f>IF(recruitment_data3[[#This Row],[Gender]]=1,"Female","Male")</f>
        <v>Female</v>
      </c>
      <c r="D1239" s="5">
        <v>1</v>
      </c>
      <c r="E1239" s="5" t="str">
        <f>_xlfn.SWITCH(recruitment_data3[[#This Row],[EducationLevel]], 1,"Bachelor Type 1", 2,"Bachelor Type 2", 3,"Masters", 4,"PhD")</f>
        <v>Bachelor Type 1</v>
      </c>
      <c r="F1239" s="5">
        <v>1</v>
      </c>
      <c r="G1239" s="5">
        <v>15</v>
      </c>
      <c r="H1239" s="5">
        <v>3</v>
      </c>
      <c r="I1239" s="5">
        <v>25.664041366928004</v>
      </c>
      <c r="J1239" s="5">
        <v>12</v>
      </c>
      <c r="K1239" s="5">
        <v>79</v>
      </c>
      <c r="L1239" s="5">
        <v>96</v>
      </c>
      <c r="M1239" s="5" t="str">
        <f>_xlfn.SWITCH(recruitment_data3[[#This Row],[RecruitmentStrategy]], 1,"Aggressive", 2,"Moderate", 3,"Conservative")</f>
        <v>Moderate</v>
      </c>
      <c r="N1239" s="5">
        <v>2</v>
      </c>
      <c r="O1239" s="5" t="str">
        <f>IF(recruitment_data3[[#This Row],[HiringDecision]]=1,"Hired","Rejected")</f>
        <v>Rejected</v>
      </c>
      <c r="P1239" s="6">
        <v>0</v>
      </c>
    </row>
    <row r="1240" spans="1:16" x14ac:dyDescent="0.25">
      <c r="A1240" s="4" t="str">
        <f t="shared" si="19"/>
        <v>C1239</v>
      </c>
      <c r="B1240" s="4">
        <v>41</v>
      </c>
      <c r="C1240" s="5" t="str">
        <f>IF(recruitment_data3[[#This Row],[Gender]]=1,"Female","Male")</f>
        <v>Male</v>
      </c>
      <c r="D1240" s="5">
        <v>0</v>
      </c>
      <c r="E1240" s="5" t="str">
        <f>_xlfn.SWITCH(recruitment_data3[[#This Row],[EducationLevel]], 1,"Bachelor Type 1", 2,"Bachelor Type 2", 3,"Masters", 4,"PhD")</f>
        <v>Bachelor Type 2</v>
      </c>
      <c r="F1240" s="5">
        <v>2</v>
      </c>
      <c r="G1240" s="5">
        <v>6</v>
      </c>
      <c r="H1240" s="5">
        <v>4</v>
      </c>
      <c r="I1240" s="5">
        <v>1.1979971506071376</v>
      </c>
      <c r="J1240" s="5">
        <v>8</v>
      </c>
      <c r="K1240" s="5">
        <v>10</v>
      </c>
      <c r="L1240" s="5">
        <v>67</v>
      </c>
      <c r="M1240" s="5" t="str">
        <f>_xlfn.SWITCH(recruitment_data3[[#This Row],[RecruitmentStrategy]], 1,"Aggressive", 2,"Moderate", 3,"Conservative")</f>
        <v>Aggressive</v>
      </c>
      <c r="N1240" s="5">
        <v>1</v>
      </c>
      <c r="O1240" s="5" t="str">
        <f>IF(recruitment_data3[[#This Row],[HiringDecision]]=1,"Hired","Rejected")</f>
        <v>Hired</v>
      </c>
      <c r="P1240" s="6">
        <v>1</v>
      </c>
    </row>
    <row r="1241" spans="1:16" x14ac:dyDescent="0.25">
      <c r="A1241" s="4" t="str">
        <f t="shared" si="19"/>
        <v>C1240</v>
      </c>
      <c r="B1241" s="4">
        <v>45</v>
      </c>
      <c r="C1241" s="5" t="str">
        <f>IF(recruitment_data3[[#This Row],[Gender]]=1,"Female","Male")</f>
        <v>Male</v>
      </c>
      <c r="D1241" s="5">
        <v>0</v>
      </c>
      <c r="E1241" s="5" t="str">
        <f>_xlfn.SWITCH(recruitment_data3[[#This Row],[EducationLevel]], 1,"Bachelor Type 1", 2,"Bachelor Type 2", 3,"Masters", 4,"PhD")</f>
        <v>Bachelor Type 2</v>
      </c>
      <c r="F1241" s="5">
        <v>2</v>
      </c>
      <c r="G1241" s="5">
        <v>1</v>
      </c>
      <c r="H1241" s="5">
        <v>5</v>
      </c>
      <c r="I1241" s="5">
        <v>26.058136572874517</v>
      </c>
      <c r="J1241" s="5">
        <v>10</v>
      </c>
      <c r="K1241" s="5">
        <v>95</v>
      </c>
      <c r="L1241" s="5">
        <v>44</v>
      </c>
      <c r="M1241" s="5" t="str">
        <f>_xlfn.SWITCH(recruitment_data3[[#This Row],[RecruitmentStrategy]], 1,"Aggressive", 2,"Moderate", 3,"Conservative")</f>
        <v>Moderate</v>
      </c>
      <c r="N1241" s="5">
        <v>2</v>
      </c>
      <c r="O1241" s="5" t="str">
        <f>IF(recruitment_data3[[#This Row],[HiringDecision]]=1,"Hired","Rejected")</f>
        <v>Rejected</v>
      </c>
      <c r="P1241" s="6">
        <v>0</v>
      </c>
    </row>
    <row r="1242" spans="1:16" x14ac:dyDescent="0.25">
      <c r="A1242" s="4" t="str">
        <f t="shared" si="19"/>
        <v>C1241</v>
      </c>
      <c r="B1242" s="4">
        <v>49</v>
      </c>
      <c r="C1242" s="5" t="str">
        <f>IF(recruitment_data3[[#This Row],[Gender]]=1,"Female","Male")</f>
        <v>Male</v>
      </c>
      <c r="D1242" s="5">
        <v>0</v>
      </c>
      <c r="E1242" s="5" t="str">
        <f>_xlfn.SWITCH(recruitment_data3[[#This Row],[EducationLevel]], 1,"Bachelor Type 1", 2,"Bachelor Type 2", 3,"Masters", 4,"PhD")</f>
        <v>Masters</v>
      </c>
      <c r="F1242" s="5">
        <v>3</v>
      </c>
      <c r="G1242" s="5">
        <v>5</v>
      </c>
      <c r="H1242" s="5">
        <v>3</v>
      </c>
      <c r="I1242" s="5">
        <v>20.188622898870459</v>
      </c>
      <c r="J1242" s="5">
        <v>74</v>
      </c>
      <c r="K1242" s="5">
        <v>5</v>
      </c>
      <c r="L1242" s="5">
        <v>74</v>
      </c>
      <c r="M1242" s="5" t="str">
        <f>_xlfn.SWITCH(recruitment_data3[[#This Row],[RecruitmentStrategy]], 1,"Aggressive", 2,"Moderate", 3,"Conservative")</f>
        <v>Moderate</v>
      </c>
      <c r="N1242" s="5">
        <v>2</v>
      </c>
      <c r="O1242" s="5" t="str">
        <f>IF(recruitment_data3[[#This Row],[HiringDecision]]=1,"Hired","Rejected")</f>
        <v>Rejected</v>
      </c>
      <c r="P1242" s="6">
        <v>0</v>
      </c>
    </row>
    <row r="1243" spans="1:16" x14ac:dyDescent="0.25">
      <c r="A1243" s="4" t="str">
        <f t="shared" si="19"/>
        <v>C1242</v>
      </c>
      <c r="B1243" s="4">
        <v>31</v>
      </c>
      <c r="C1243" s="5" t="str">
        <f>IF(recruitment_data3[[#This Row],[Gender]]=1,"Female","Male")</f>
        <v>Female</v>
      </c>
      <c r="D1243" s="5">
        <v>1</v>
      </c>
      <c r="E1243" s="5" t="str">
        <f>_xlfn.SWITCH(recruitment_data3[[#This Row],[EducationLevel]], 1,"Bachelor Type 1", 2,"Bachelor Type 2", 3,"Masters", 4,"PhD")</f>
        <v>Bachelor Type 2</v>
      </c>
      <c r="F1243" s="5">
        <v>2</v>
      </c>
      <c r="G1243" s="5">
        <v>1</v>
      </c>
      <c r="H1243" s="5">
        <v>1</v>
      </c>
      <c r="I1243" s="5">
        <v>49.603966773727855</v>
      </c>
      <c r="J1243" s="5">
        <v>69</v>
      </c>
      <c r="K1243" s="5">
        <v>34</v>
      </c>
      <c r="L1243" s="5">
        <v>41</v>
      </c>
      <c r="M1243" s="5" t="str">
        <f>_xlfn.SWITCH(recruitment_data3[[#This Row],[RecruitmentStrategy]], 1,"Aggressive", 2,"Moderate", 3,"Conservative")</f>
        <v>Aggressive</v>
      </c>
      <c r="N1243" s="5">
        <v>1</v>
      </c>
      <c r="O1243" s="5" t="str">
        <f>IF(recruitment_data3[[#This Row],[HiringDecision]]=1,"Hired","Rejected")</f>
        <v>Rejected</v>
      </c>
      <c r="P1243" s="6">
        <v>0</v>
      </c>
    </row>
    <row r="1244" spans="1:16" x14ac:dyDescent="0.25">
      <c r="A1244" s="4" t="str">
        <f t="shared" si="19"/>
        <v>C1243</v>
      </c>
      <c r="B1244" s="4">
        <v>44</v>
      </c>
      <c r="C1244" s="5" t="str">
        <f>IF(recruitment_data3[[#This Row],[Gender]]=1,"Female","Male")</f>
        <v>Female</v>
      </c>
      <c r="D1244" s="5">
        <v>1</v>
      </c>
      <c r="E1244" s="5" t="str">
        <f>_xlfn.SWITCH(recruitment_data3[[#This Row],[EducationLevel]], 1,"Bachelor Type 1", 2,"Bachelor Type 2", 3,"Masters", 4,"PhD")</f>
        <v>PhD</v>
      </c>
      <c r="F1244" s="5">
        <v>4</v>
      </c>
      <c r="G1244" s="5">
        <v>14</v>
      </c>
      <c r="H1244" s="5">
        <v>2</v>
      </c>
      <c r="I1244" s="5">
        <v>8.9579541996914926</v>
      </c>
      <c r="J1244" s="5">
        <v>0</v>
      </c>
      <c r="K1244" s="5">
        <v>32</v>
      </c>
      <c r="L1244" s="5">
        <v>46</v>
      </c>
      <c r="M1244" s="5" t="str">
        <f>_xlfn.SWITCH(recruitment_data3[[#This Row],[RecruitmentStrategy]], 1,"Aggressive", 2,"Moderate", 3,"Conservative")</f>
        <v>Aggressive</v>
      </c>
      <c r="N1244" s="5">
        <v>1</v>
      </c>
      <c r="O1244" s="5" t="str">
        <f>IF(recruitment_data3[[#This Row],[HiringDecision]]=1,"Hired","Rejected")</f>
        <v>Hired</v>
      </c>
      <c r="P1244" s="6">
        <v>1</v>
      </c>
    </row>
    <row r="1245" spans="1:16" x14ac:dyDescent="0.25">
      <c r="A1245" s="4" t="str">
        <f t="shared" si="19"/>
        <v>C1244</v>
      </c>
      <c r="B1245" s="4">
        <v>36</v>
      </c>
      <c r="C1245" s="5" t="str">
        <f>IF(recruitment_data3[[#This Row],[Gender]]=1,"Female","Male")</f>
        <v>Male</v>
      </c>
      <c r="D1245" s="5">
        <v>0</v>
      </c>
      <c r="E1245" s="5" t="str">
        <f>_xlfn.SWITCH(recruitment_data3[[#This Row],[EducationLevel]], 1,"Bachelor Type 1", 2,"Bachelor Type 2", 3,"Masters", 4,"PhD")</f>
        <v>PhD</v>
      </c>
      <c r="F1245" s="5">
        <v>4</v>
      </c>
      <c r="G1245" s="5">
        <v>0</v>
      </c>
      <c r="H1245" s="5">
        <v>2</v>
      </c>
      <c r="I1245" s="5">
        <v>18.70770983797475</v>
      </c>
      <c r="J1245" s="5">
        <v>69</v>
      </c>
      <c r="K1245" s="5">
        <v>17</v>
      </c>
      <c r="L1245" s="5">
        <v>4</v>
      </c>
      <c r="M1245" s="5" t="str">
        <f>_xlfn.SWITCH(recruitment_data3[[#This Row],[RecruitmentStrategy]], 1,"Aggressive", 2,"Moderate", 3,"Conservative")</f>
        <v>Conservative</v>
      </c>
      <c r="N1245" s="5">
        <v>3</v>
      </c>
      <c r="O1245" s="5" t="str">
        <f>IF(recruitment_data3[[#This Row],[HiringDecision]]=1,"Hired","Rejected")</f>
        <v>Rejected</v>
      </c>
      <c r="P1245" s="6">
        <v>0</v>
      </c>
    </row>
    <row r="1246" spans="1:16" x14ac:dyDescent="0.25">
      <c r="A1246" s="4" t="str">
        <f t="shared" si="19"/>
        <v>C1245</v>
      </c>
      <c r="B1246" s="4">
        <v>32</v>
      </c>
      <c r="C1246" s="5" t="str">
        <f>IF(recruitment_data3[[#This Row],[Gender]]=1,"Female","Male")</f>
        <v>Female</v>
      </c>
      <c r="D1246" s="5">
        <v>1</v>
      </c>
      <c r="E1246" s="5" t="str">
        <f>_xlfn.SWITCH(recruitment_data3[[#This Row],[EducationLevel]], 1,"Bachelor Type 1", 2,"Bachelor Type 2", 3,"Masters", 4,"PhD")</f>
        <v>Bachelor Type 2</v>
      </c>
      <c r="F1246" s="5">
        <v>2</v>
      </c>
      <c r="G1246" s="5">
        <v>13</v>
      </c>
      <c r="H1246" s="5">
        <v>1</v>
      </c>
      <c r="I1246" s="5">
        <v>21.974074254490986</v>
      </c>
      <c r="J1246" s="5">
        <v>76</v>
      </c>
      <c r="K1246" s="5">
        <v>36</v>
      </c>
      <c r="L1246" s="5">
        <v>88</v>
      </c>
      <c r="M1246" s="5" t="str">
        <f>_xlfn.SWITCH(recruitment_data3[[#This Row],[RecruitmentStrategy]], 1,"Aggressive", 2,"Moderate", 3,"Conservative")</f>
        <v>Moderate</v>
      </c>
      <c r="N1246" s="5">
        <v>2</v>
      </c>
      <c r="O1246" s="5" t="str">
        <f>IF(recruitment_data3[[#This Row],[HiringDecision]]=1,"Hired","Rejected")</f>
        <v>Rejected</v>
      </c>
      <c r="P1246" s="6">
        <v>0</v>
      </c>
    </row>
    <row r="1247" spans="1:16" x14ac:dyDescent="0.25">
      <c r="A1247" s="4" t="str">
        <f t="shared" si="19"/>
        <v>C1246</v>
      </c>
      <c r="B1247" s="4">
        <v>39</v>
      </c>
      <c r="C1247" s="5" t="str">
        <f>IF(recruitment_data3[[#This Row],[Gender]]=1,"Female","Male")</f>
        <v>Male</v>
      </c>
      <c r="D1247" s="5">
        <v>0</v>
      </c>
      <c r="E1247" s="5" t="str">
        <f>_xlfn.SWITCH(recruitment_data3[[#This Row],[EducationLevel]], 1,"Bachelor Type 1", 2,"Bachelor Type 2", 3,"Masters", 4,"PhD")</f>
        <v>PhD</v>
      </c>
      <c r="F1247" s="5">
        <v>4</v>
      </c>
      <c r="G1247" s="5">
        <v>6</v>
      </c>
      <c r="H1247" s="5">
        <v>2</v>
      </c>
      <c r="I1247" s="5">
        <v>20.53467685504744</v>
      </c>
      <c r="J1247" s="5">
        <v>85</v>
      </c>
      <c r="K1247" s="5">
        <v>12</v>
      </c>
      <c r="L1247" s="5">
        <v>48</v>
      </c>
      <c r="M1247" s="5" t="str">
        <f>_xlfn.SWITCH(recruitment_data3[[#This Row],[RecruitmentStrategy]], 1,"Aggressive", 2,"Moderate", 3,"Conservative")</f>
        <v>Conservative</v>
      </c>
      <c r="N1247" s="5">
        <v>3</v>
      </c>
      <c r="O1247" s="5" t="str">
        <f>IF(recruitment_data3[[#This Row],[HiringDecision]]=1,"Hired","Rejected")</f>
        <v>Rejected</v>
      </c>
      <c r="P1247" s="6">
        <v>0</v>
      </c>
    </row>
    <row r="1248" spans="1:16" x14ac:dyDescent="0.25">
      <c r="A1248" s="4" t="str">
        <f t="shared" si="19"/>
        <v>C1247</v>
      </c>
      <c r="B1248" s="4">
        <v>44</v>
      </c>
      <c r="C1248" s="5" t="str">
        <f>IF(recruitment_data3[[#This Row],[Gender]]=1,"Female","Male")</f>
        <v>Male</v>
      </c>
      <c r="D1248" s="5">
        <v>0</v>
      </c>
      <c r="E1248" s="5" t="str">
        <f>_xlfn.SWITCH(recruitment_data3[[#This Row],[EducationLevel]], 1,"Bachelor Type 1", 2,"Bachelor Type 2", 3,"Masters", 4,"PhD")</f>
        <v>Masters</v>
      </c>
      <c r="F1248" s="5">
        <v>3</v>
      </c>
      <c r="G1248" s="5">
        <v>12</v>
      </c>
      <c r="H1248" s="5">
        <v>2</v>
      </c>
      <c r="I1248" s="5">
        <v>34.291541382593124</v>
      </c>
      <c r="J1248" s="5">
        <v>55</v>
      </c>
      <c r="K1248" s="5">
        <v>73</v>
      </c>
      <c r="L1248" s="5">
        <v>36</v>
      </c>
      <c r="M1248" s="5" t="str">
        <f>_xlfn.SWITCH(recruitment_data3[[#This Row],[RecruitmentStrategy]], 1,"Aggressive", 2,"Moderate", 3,"Conservative")</f>
        <v>Moderate</v>
      </c>
      <c r="N1248" s="5">
        <v>2</v>
      </c>
      <c r="O1248" s="5" t="str">
        <f>IF(recruitment_data3[[#This Row],[HiringDecision]]=1,"Hired","Rejected")</f>
        <v>Rejected</v>
      </c>
      <c r="P1248" s="6">
        <v>0</v>
      </c>
    </row>
    <row r="1249" spans="1:16" x14ac:dyDescent="0.25">
      <c r="A1249" s="4" t="str">
        <f t="shared" si="19"/>
        <v>C1248</v>
      </c>
      <c r="B1249" s="4">
        <v>23</v>
      </c>
      <c r="C1249" s="5" t="str">
        <f>IF(recruitment_data3[[#This Row],[Gender]]=1,"Female","Male")</f>
        <v>Female</v>
      </c>
      <c r="D1249" s="5">
        <v>1</v>
      </c>
      <c r="E1249" s="5" t="str">
        <f>_xlfn.SWITCH(recruitment_data3[[#This Row],[EducationLevel]], 1,"Bachelor Type 1", 2,"Bachelor Type 2", 3,"Masters", 4,"PhD")</f>
        <v>Bachelor Type 2</v>
      </c>
      <c r="F1249" s="5">
        <v>2</v>
      </c>
      <c r="G1249" s="5">
        <v>15</v>
      </c>
      <c r="H1249" s="5">
        <v>1</v>
      </c>
      <c r="I1249" s="5">
        <v>11.775642877388442</v>
      </c>
      <c r="J1249" s="5">
        <v>30</v>
      </c>
      <c r="K1249" s="5">
        <v>100</v>
      </c>
      <c r="L1249" s="5">
        <v>33</v>
      </c>
      <c r="M1249" s="5" t="str">
        <f>_xlfn.SWITCH(recruitment_data3[[#This Row],[RecruitmentStrategy]], 1,"Aggressive", 2,"Moderate", 3,"Conservative")</f>
        <v>Moderate</v>
      </c>
      <c r="N1249" s="5">
        <v>2</v>
      </c>
      <c r="O1249" s="5" t="str">
        <f>IF(recruitment_data3[[#This Row],[HiringDecision]]=1,"Hired","Rejected")</f>
        <v>Rejected</v>
      </c>
      <c r="P1249" s="6">
        <v>0</v>
      </c>
    </row>
    <row r="1250" spans="1:16" x14ac:dyDescent="0.25">
      <c r="A1250" s="4" t="str">
        <f t="shared" si="19"/>
        <v>C1249</v>
      </c>
      <c r="B1250" s="4">
        <v>29</v>
      </c>
      <c r="C1250" s="5" t="str">
        <f>IF(recruitment_data3[[#This Row],[Gender]]=1,"Female","Male")</f>
        <v>Female</v>
      </c>
      <c r="D1250" s="5">
        <v>1</v>
      </c>
      <c r="E1250" s="5" t="str">
        <f>_xlfn.SWITCH(recruitment_data3[[#This Row],[EducationLevel]], 1,"Bachelor Type 1", 2,"Bachelor Type 2", 3,"Masters", 4,"PhD")</f>
        <v>Bachelor Type 1</v>
      </c>
      <c r="F1250" s="5">
        <v>1</v>
      </c>
      <c r="G1250" s="5">
        <v>1</v>
      </c>
      <c r="H1250" s="5">
        <v>1</v>
      </c>
      <c r="I1250" s="5">
        <v>12.053577640699592</v>
      </c>
      <c r="J1250" s="5">
        <v>85</v>
      </c>
      <c r="K1250" s="5">
        <v>89</v>
      </c>
      <c r="L1250" s="5">
        <v>72</v>
      </c>
      <c r="M1250" s="5" t="str">
        <f>_xlfn.SWITCH(recruitment_data3[[#This Row],[RecruitmentStrategy]], 1,"Aggressive", 2,"Moderate", 3,"Conservative")</f>
        <v>Moderate</v>
      </c>
      <c r="N1250" s="5">
        <v>2</v>
      </c>
      <c r="O1250" s="5" t="str">
        <f>IF(recruitment_data3[[#This Row],[HiringDecision]]=1,"Hired","Rejected")</f>
        <v>Rejected</v>
      </c>
      <c r="P1250" s="6">
        <v>0</v>
      </c>
    </row>
    <row r="1251" spans="1:16" x14ac:dyDescent="0.25">
      <c r="A1251" s="4" t="str">
        <f t="shared" si="19"/>
        <v>C1250</v>
      </c>
      <c r="B1251" s="4">
        <v>22</v>
      </c>
      <c r="C1251" s="5" t="str">
        <f>IF(recruitment_data3[[#This Row],[Gender]]=1,"Female","Male")</f>
        <v>Female</v>
      </c>
      <c r="D1251" s="5">
        <v>1</v>
      </c>
      <c r="E1251" s="5" t="str">
        <f>_xlfn.SWITCH(recruitment_data3[[#This Row],[EducationLevel]], 1,"Bachelor Type 1", 2,"Bachelor Type 2", 3,"Masters", 4,"PhD")</f>
        <v>Bachelor Type 2</v>
      </c>
      <c r="F1251" s="5">
        <v>2</v>
      </c>
      <c r="G1251" s="5">
        <v>12</v>
      </c>
      <c r="H1251" s="5">
        <v>3</v>
      </c>
      <c r="I1251" s="5">
        <v>37.460547425042655</v>
      </c>
      <c r="J1251" s="5">
        <v>36</v>
      </c>
      <c r="K1251" s="5">
        <v>80</v>
      </c>
      <c r="L1251" s="5">
        <v>69</v>
      </c>
      <c r="M1251" s="5" t="str">
        <f>_xlfn.SWITCH(recruitment_data3[[#This Row],[RecruitmentStrategy]], 1,"Aggressive", 2,"Moderate", 3,"Conservative")</f>
        <v>Moderate</v>
      </c>
      <c r="N1251" s="5">
        <v>2</v>
      </c>
      <c r="O1251" s="5" t="str">
        <f>IF(recruitment_data3[[#This Row],[HiringDecision]]=1,"Hired","Rejected")</f>
        <v>Rejected</v>
      </c>
      <c r="P1251" s="6">
        <v>0</v>
      </c>
    </row>
    <row r="1252" spans="1:16" x14ac:dyDescent="0.25">
      <c r="A1252" s="4" t="str">
        <f t="shared" si="19"/>
        <v>C1251</v>
      </c>
      <c r="B1252" s="4">
        <v>28</v>
      </c>
      <c r="C1252" s="5" t="str">
        <f>IF(recruitment_data3[[#This Row],[Gender]]=1,"Female","Male")</f>
        <v>Female</v>
      </c>
      <c r="D1252" s="5">
        <v>1</v>
      </c>
      <c r="E1252" s="5" t="str">
        <f>_xlfn.SWITCH(recruitment_data3[[#This Row],[EducationLevel]], 1,"Bachelor Type 1", 2,"Bachelor Type 2", 3,"Masters", 4,"PhD")</f>
        <v>Bachelor Type 2</v>
      </c>
      <c r="F1252" s="5">
        <v>2</v>
      </c>
      <c r="G1252" s="5">
        <v>13</v>
      </c>
      <c r="H1252" s="5">
        <v>3</v>
      </c>
      <c r="I1252" s="5">
        <v>26.014525933908981</v>
      </c>
      <c r="J1252" s="5">
        <v>46</v>
      </c>
      <c r="K1252" s="5">
        <v>63</v>
      </c>
      <c r="L1252" s="5">
        <v>17</v>
      </c>
      <c r="M1252" s="5" t="str">
        <f>_xlfn.SWITCH(recruitment_data3[[#This Row],[RecruitmentStrategy]], 1,"Aggressive", 2,"Moderate", 3,"Conservative")</f>
        <v>Aggressive</v>
      </c>
      <c r="N1252" s="5">
        <v>1</v>
      </c>
      <c r="O1252" s="5" t="str">
        <f>IF(recruitment_data3[[#This Row],[HiringDecision]]=1,"Hired","Rejected")</f>
        <v>Hired</v>
      </c>
      <c r="P1252" s="6">
        <v>1</v>
      </c>
    </row>
    <row r="1253" spans="1:16" x14ac:dyDescent="0.25">
      <c r="A1253" s="4" t="str">
        <f t="shared" si="19"/>
        <v>C1252</v>
      </c>
      <c r="B1253" s="4">
        <v>32</v>
      </c>
      <c r="C1253" s="5" t="str">
        <f>IF(recruitment_data3[[#This Row],[Gender]]=1,"Female","Male")</f>
        <v>Male</v>
      </c>
      <c r="D1253" s="5">
        <v>0</v>
      </c>
      <c r="E1253" s="5" t="str">
        <f>_xlfn.SWITCH(recruitment_data3[[#This Row],[EducationLevel]], 1,"Bachelor Type 1", 2,"Bachelor Type 2", 3,"Masters", 4,"PhD")</f>
        <v>Masters</v>
      </c>
      <c r="F1253" s="5">
        <v>3</v>
      </c>
      <c r="G1253" s="5">
        <v>13</v>
      </c>
      <c r="H1253" s="5">
        <v>1</v>
      </c>
      <c r="I1253" s="5">
        <v>21.757783802865521</v>
      </c>
      <c r="J1253" s="5">
        <v>90</v>
      </c>
      <c r="K1253" s="5">
        <v>0</v>
      </c>
      <c r="L1253" s="5">
        <v>77</v>
      </c>
      <c r="M1253" s="5" t="str">
        <f>_xlfn.SWITCH(recruitment_data3[[#This Row],[RecruitmentStrategy]], 1,"Aggressive", 2,"Moderate", 3,"Conservative")</f>
        <v>Moderate</v>
      </c>
      <c r="N1253" s="5">
        <v>2</v>
      </c>
      <c r="O1253" s="5" t="str">
        <f>IF(recruitment_data3[[#This Row],[HiringDecision]]=1,"Hired","Rejected")</f>
        <v>Hired</v>
      </c>
      <c r="P1253" s="6">
        <v>1</v>
      </c>
    </row>
    <row r="1254" spans="1:16" x14ac:dyDescent="0.25">
      <c r="A1254" s="4" t="str">
        <f t="shared" si="19"/>
        <v>C1253</v>
      </c>
      <c r="B1254" s="4">
        <v>37</v>
      </c>
      <c r="C1254" s="5" t="str">
        <f>IF(recruitment_data3[[#This Row],[Gender]]=1,"Female","Male")</f>
        <v>Male</v>
      </c>
      <c r="D1254" s="5">
        <v>0</v>
      </c>
      <c r="E1254" s="5" t="str">
        <f>_xlfn.SWITCH(recruitment_data3[[#This Row],[EducationLevel]], 1,"Bachelor Type 1", 2,"Bachelor Type 2", 3,"Masters", 4,"PhD")</f>
        <v>Bachelor Type 2</v>
      </c>
      <c r="F1254" s="5">
        <v>2</v>
      </c>
      <c r="G1254" s="5">
        <v>1</v>
      </c>
      <c r="H1254" s="5">
        <v>4</v>
      </c>
      <c r="I1254" s="5">
        <v>9.4601525838625911</v>
      </c>
      <c r="J1254" s="5">
        <v>77</v>
      </c>
      <c r="K1254" s="5">
        <v>62</v>
      </c>
      <c r="L1254" s="5">
        <v>18</v>
      </c>
      <c r="M1254" s="5" t="str">
        <f>_xlfn.SWITCH(recruitment_data3[[#This Row],[RecruitmentStrategy]], 1,"Aggressive", 2,"Moderate", 3,"Conservative")</f>
        <v>Moderate</v>
      </c>
      <c r="N1254" s="5">
        <v>2</v>
      </c>
      <c r="O1254" s="5" t="str">
        <f>IF(recruitment_data3[[#This Row],[HiringDecision]]=1,"Hired","Rejected")</f>
        <v>Rejected</v>
      </c>
      <c r="P1254" s="6">
        <v>0</v>
      </c>
    </row>
    <row r="1255" spans="1:16" x14ac:dyDescent="0.25">
      <c r="A1255" s="4" t="str">
        <f t="shared" si="19"/>
        <v>C1254</v>
      </c>
      <c r="B1255" s="4">
        <v>34</v>
      </c>
      <c r="C1255" s="5" t="str">
        <f>IF(recruitment_data3[[#This Row],[Gender]]=1,"Female","Male")</f>
        <v>Male</v>
      </c>
      <c r="D1255" s="5">
        <v>0</v>
      </c>
      <c r="E1255" s="5" t="str">
        <f>_xlfn.SWITCH(recruitment_data3[[#This Row],[EducationLevel]], 1,"Bachelor Type 1", 2,"Bachelor Type 2", 3,"Masters", 4,"PhD")</f>
        <v>Masters</v>
      </c>
      <c r="F1255" s="5">
        <v>3</v>
      </c>
      <c r="G1255" s="5">
        <v>12</v>
      </c>
      <c r="H1255" s="5">
        <v>2</v>
      </c>
      <c r="I1255" s="5">
        <v>10.37636114560833</v>
      </c>
      <c r="J1255" s="5">
        <v>46</v>
      </c>
      <c r="K1255" s="5">
        <v>88</v>
      </c>
      <c r="L1255" s="5">
        <v>77</v>
      </c>
      <c r="M1255" s="5" t="str">
        <f>_xlfn.SWITCH(recruitment_data3[[#This Row],[RecruitmentStrategy]], 1,"Aggressive", 2,"Moderate", 3,"Conservative")</f>
        <v>Aggressive</v>
      </c>
      <c r="N1255" s="5">
        <v>1</v>
      </c>
      <c r="O1255" s="5" t="str">
        <f>IF(recruitment_data3[[#This Row],[HiringDecision]]=1,"Hired","Rejected")</f>
        <v>Hired</v>
      </c>
      <c r="P1255" s="6">
        <v>1</v>
      </c>
    </row>
    <row r="1256" spans="1:16" x14ac:dyDescent="0.25">
      <c r="A1256" s="4" t="str">
        <f t="shared" si="19"/>
        <v>C1255</v>
      </c>
      <c r="B1256" s="4">
        <v>23</v>
      </c>
      <c r="C1256" s="5" t="str">
        <f>IF(recruitment_data3[[#This Row],[Gender]]=1,"Female","Male")</f>
        <v>Male</v>
      </c>
      <c r="D1256" s="5">
        <v>0</v>
      </c>
      <c r="E1256" s="5" t="str">
        <f>_xlfn.SWITCH(recruitment_data3[[#This Row],[EducationLevel]], 1,"Bachelor Type 1", 2,"Bachelor Type 2", 3,"Masters", 4,"PhD")</f>
        <v>Bachelor Type 2</v>
      </c>
      <c r="F1256" s="5">
        <v>2</v>
      </c>
      <c r="G1256" s="5">
        <v>10</v>
      </c>
      <c r="H1256" s="5">
        <v>3</v>
      </c>
      <c r="I1256" s="5">
        <v>1.5275818407950272</v>
      </c>
      <c r="J1256" s="5">
        <v>68</v>
      </c>
      <c r="K1256" s="5">
        <v>33</v>
      </c>
      <c r="L1256" s="5">
        <v>39</v>
      </c>
      <c r="M1256" s="5" t="str">
        <f>_xlfn.SWITCH(recruitment_data3[[#This Row],[RecruitmentStrategy]], 1,"Aggressive", 2,"Moderate", 3,"Conservative")</f>
        <v>Aggressive</v>
      </c>
      <c r="N1256" s="5">
        <v>1</v>
      </c>
      <c r="O1256" s="5" t="str">
        <f>IF(recruitment_data3[[#This Row],[HiringDecision]]=1,"Hired","Rejected")</f>
        <v>Rejected</v>
      </c>
      <c r="P1256" s="6">
        <v>0</v>
      </c>
    </row>
    <row r="1257" spans="1:16" x14ac:dyDescent="0.25">
      <c r="A1257" s="4" t="str">
        <f t="shared" si="19"/>
        <v>C1256</v>
      </c>
      <c r="B1257" s="4">
        <v>34</v>
      </c>
      <c r="C1257" s="5" t="str">
        <f>IF(recruitment_data3[[#This Row],[Gender]]=1,"Female","Male")</f>
        <v>Male</v>
      </c>
      <c r="D1257" s="5">
        <v>0</v>
      </c>
      <c r="E1257" s="5" t="str">
        <f>_xlfn.SWITCH(recruitment_data3[[#This Row],[EducationLevel]], 1,"Bachelor Type 1", 2,"Bachelor Type 2", 3,"Masters", 4,"PhD")</f>
        <v>Bachelor Type 1</v>
      </c>
      <c r="F1257" s="5">
        <v>1</v>
      </c>
      <c r="G1257" s="5">
        <v>4</v>
      </c>
      <c r="H1257" s="5">
        <v>2</v>
      </c>
      <c r="I1257" s="5">
        <v>5.5713134430854616</v>
      </c>
      <c r="J1257" s="5">
        <v>57</v>
      </c>
      <c r="K1257" s="5">
        <v>9</v>
      </c>
      <c r="L1257" s="5">
        <v>16</v>
      </c>
      <c r="M1257" s="5" t="str">
        <f>_xlfn.SWITCH(recruitment_data3[[#This Row],[RecruitmentStrategy]], 1,"Aggressive", 2,"Moderate", 3,"Conservative")</f>
        <v>Aggressive</v>
      </c>
      <c r="N1257" s="5">
        <v>1</v>
      </c>
      <c r="O1257" s="5" t="str">
        <f>IF(recruitment_data3[[#This Row],[HiringDecision]]=1,"Hired","Rejected")</f>
        <v>Rejected</v>
      </c>
      <c r="P1257" s="6">
        <v>0</v>
      </c>
    </row>
    <row r="1258" spans="1:16" x14ac:dyDescent="0.25">
      <c r="A1258" s="4" t="str">
        <f t="shared" si="19"/>
        <v>C1257</v>
      </c>
      <c r="B1258" s="4">
        <v>41</v>
      </c>
      <c r="C1258" s="5" t="str">
        <f>IF(recruitment_data3[[#This Row],[Gender]]=1,"Female","Male")</f>
        <v>Female</v>
      </c>
      <c r="D1258" s="5">
        <v>1</v>
      </c>
      <c r="E1258" s="5" t="str">
        <f>_xlfn.SWITCH(recruitment_data3[[#This Row],[EducationLevel]], 1,"Bachelor Type 1", 2,"Bachelor Type 2", 3,"Masters", 4,"PhD")</f>
        <v>PhD</v>
      </c>
      <c r="F1258" s="5">
        <v>4</v>
      </c>
      <c r="G1258" s="5">
        <v>13</v>
      </c>
      <c r="H1258" s="5">
        <v>5</v>
      </c>
      <c r="I1258" s="5">
        <v>28.841934734512051</v>
      </c>
      <c r="J1258" s="5">
        <v>35</v>
      </c>
      <c r="K1258" s="5">
        <v>83</v>
      </c>
      <c r="L1258" s="5">
        <v>59</v>
      </c>
      <c r="M1258" s="5" t="str">
        <f>_xlfn.SWITCH(recruitment_data3[[#This Row],[RecruitmentStrategy]], 1,"Aggressive", 2,"Moderate", 3,"Conservative")</f>
        <v>Moderate</v>
      </c>
      <c r="N1258" s="5">
        <v>2</v>
      </c>
      <c r="O1258" s="5" t="str">
        <f>IF(recruitment_data3[[#This Row],[HiringDecision]]=1,"Hired","Rejected")</f>
        <v>Rejected</v>
      </c>
      <c r="P1258" s="6">
        <v>0</v>
      </c>
    </row>
    <row r="1259" spans="1:16" x14ac:dyDescent="0.25">
      <c r="A1259" s="4" t="str">
        <f t="shared" si="19"/>
        <v>C1258</v>
      </c>
      <c r="B1259" s="4">
        <v>21</v>
      </c>
      <c r="C1259" s="5" t="str">
        <f>IF(recruitment_data3[[#This Row],[Gender]]=1,"Female","Male")</f>
        <v>Male</v>
      </c>
      <c r="D1259" s="5">
        <v>0</v>
      </c>
      <c r="E1259" s="5" t="str">
        <f>_xlfn.SWITCH(recruitment_data3[[#This Row],[EducationLevel]], 1,"Bachelor Type 1", 2,"Bachelor Type 2", 3,"Masters", 4,"PhD")</f>
        <v>Bachelor Type 2</v>
      </c>
      <c r="F1259" s="5">
        <v>2</v>
      </c>
      <c r="G1259" s="5">
        <v>4</v>
      </c>
      <c r="H1259" s="5">
        <v>1</v>
      </c>
      <c r="I1259" s="5">
        <v>45.593656500420494</v>
      </c>
      <c r="J1259" s="5">
        <v>31</v>
      </c>
      <c r="K1259" s="5">
        <v>6</v>
      </c>
      <c r="L1259" s="5">
        <v>98</v>
      </c>
      <c r="M1259" s="5" t="str">
        <f>_xlfn.SWITCH(recruitment_data3[[#This Row],[RecruitmentStrategy]], 1,"Aggressive", 2,"Moderate", 3,"Conservative")</f>
        <v>Moderate</v>
      </c>
      <c r="N1259" s="5">
        <v>2</v>
      </c>
      <c r="O1259" s="5" t="str">
        <f>IF(recruitment_data3[[#This Row],[HiringDecision]]=1,"Hired","Rejected")</f>
        <v>Rejected</v>
      </c>
      <c r="P1259" s="6">
        <v>0</v>
      </c>
    </row>
    <row r="1260" spans="1:16" x14ac:dyDescent="0.25">
      <c r="A1260" s="4" t="str">
        <f t="shared" si="19"/>
        <v>C1259</v>
      </c>
      <c r="B1260" s="4">
        <v>34</v>
      </c>
      <c r="C1260" s="5" t="str">
        <f>IF(recruitment_data3[[#This Row],[Gender]]=1,"Female","Male")</f>
        <v>Male</v>
      </c>
      <c r="D1260" s="5">
        <v>0</v>
      </c>
      <c r="E1260" s="5" t="str">
        <f>_xlfn.SWITCH(recruitment_data3[[#This Row],[EducationLevel]], 1,"Bachelor Type 1", 2,"Bachelor Type 2", 3,"Masters", 4,"PhD")</f>
        <v>Bachelor Type 2</v>
      </c>
      <c r="F1260" s="5">
        <v>2</v>
      </c>
      <c r="G1260" s="5">
        <v>15</v>
      </c>
      <c r="H1260" s="5">
        <v>4</v>
      </c>
      <c r="I1260" s="5">
        <v>15.358238256527873</v>
      </c>
      <c r="J1260" s="5">
        <v>97</v>
      </c>
      <c r="K1260" s="5">
        <v>55</v>
      </c>
      <c r="L1260" s="5">
        <v>92</v>
      </c>
      <c r="M1260" s="5" t="str">
        <f>_xlfn.SWITCH(recruitment_data3[[#This Row],[RecruitmentStrategy]], 1,"Aggressive", 2,"Moderate", 3,"Conservative")</f>
        <v>Conservative</v>
      </c>
      <c r="N1260" s="5">
        <v>3</v>
      </c>
      <c r="O1260" s="5" t="str">
        <f>IF(recruitment_data3[[#This Row],[HiringDecision]]=1,"Hired","Rejected")</f>
        <v>Hired</v>
      </c>
      <c r="P1260" s="6">
        <v>1</v>
      </c>
    </row>
    <row r="1261" spans="1:16" x14ac:dyDescent="0.25">
      <c r="A1261" s="4" t="str">
        <f t="shared" si="19"/>
        <v>C1260</v>
      </c>
      <c r="B1261" s="4">
        <v>27</v>
      </c>
      <c r="C1261" s="5" t="str">
        <f>IF(recruitment_data3[[#This Row],[Gender]]=1,"Female","Male")</f>
        <v>Male</v>
      </c>
      <c r="D1261" s="5">
        <v>0</v>
      </c>
      <c r="E1261" s="5" t="str">
        <f>_xlfn.SWITCH(recruitment_data3[[#This Row],[EducationLevel]], 1,"Bachelor Type 1", 2,"Bachelor Type 2", 3,"Masters", 4,"PhD")</f>
        <v>Bachelor Type 2</v>
      </c>
      <c r="F1261" s="5">
        <v>2</v>
      </c>
      <c r="G1261" s="5">
        <v>6</v>
      </c>
      <c r="H1261" s="5">
        <v>5</v>
      </c>
      <c r="I1261" s="5">
        <v>17.387361294806407</v>
      </c>
      <c r="J1261" s="5">
        <v>63</v>
      </c>
      <c r="K1261" s="5">
        <v>79</v>
      </c>
      <c r="L1261" s="5">
        <v>41</v>
      </c>
      <c r="M1261" s="5" t="str">
        <f>_xlfn.SWITCH(recruitment_data3[[#This Row],[RecruitmentStrategy]], 1,"Aggressive", 2,"Moderate", 3,"Conservative")</f>
        <v>Aggressive</v>
      </c>
      <c r="N1261" s="5">
        <v>1</v>
      </c>
      <c r="O1261" s="5" t="str">
        <f>IF(recruitment_data3[[#This Row],[HiringDecision]]=1,"Hired","Rejected")</f>
        <v>Hired</v>
      </c>
      <c r="P1261" s="6">
        <v>1</v>
      </c>
    </row>
    <row r="1262" spans="1:16" x14ac:dyDescent="0.25">
      <c r="A1262" s="4" t="str">
        <f t="shared" si="19"/>
        <v>C1261</v>
      </c>
      <c r="B1262" s="4">
        <v>27</v>
      </c>
      <c r="C1262" s="5" t="str">
        <f>IF(recruitment_data3[[#This Row],[Gender]]=1,"Female","Male")</f>
        <v>Female</v>
      </c>
      <c r="D1262" s="5">
        <v>1</v>
      </c>
      <c r="E1262" s="5" t="str">
        <f>_xlfn.SWITCH(recruitment_data3[[#This Row],[EducationLevel]], 1,"Bachelor Type 1", 2,"Bachelor Type 2", 3,"Masters", 4,"PhD")</f>
        <v>Bachelor Type 1</v>
      </c>
      <c r="F1262" s="5">
        <v>1</v>
      </c>
      <c r="G1262" s="5">
        <v>0</v>
      </c>
      <c r="H1262" s="5">
        <v>5</v>
      </c>
      <c r="I1262" s="5">
        <v>6.7802805305756095</v>
      </c>
      <c r="J1262" s="5">
        <v>70</v>
      </c>
      <c r="K1262" s="5">
        <v>36</v>
      </c>
      <c r="L1262" s="5">
        <v>80</v>
      </c>
      <c r="M1262" s="5" t="str">
        <f>_xlfn.SWITCH(recruitment_data3[[#This Row],[RecruitmentStrategy]], 1,"Aggressive", 2,"Moderate", 3,"Conservative")</f>
        <v>Aggressive</v>
      </c>
      <c r="N1262" s="5">
        <v>1</v>
      </c>
      <c r="O1262" s="5" t="str">
        <f>IF(recruitment_data3[[#This Row],[HiringDecision]]=1,"Hired","Rejected")</f>
        <v>Rejected</v>
      </c>
      <c r="P1262" s="6">
        <v>0</v>
      </c>
    </row>
    <row r="1263" spans="1:16" x14ac:dyDescent="0.25">
      <c r="A1263" s="4" t="str">
        <f t="shared" si="19"/>
        <v>C1262</v>
      </c>
      <c r="B1263" s="4">
        <v>36</v>
      </c>
      <c r="C1263" s="5" t="str">
        <f>IF(recruitment_data3[[#This Row],[Gender]]=1,"Female","Male")</f>
        <v>Female</v>
      </c>
      <c r="D1263" s="5">
        <v>1</v>
      </c>
      <c r="E1263" s="5" t="str">
        <f>_xlfn.SWITCH(recruitment_data3[[#This Row],[EducationLevel]], 1,"Bachelor Type 1", 2,"Bachelor Type 2", 3,"Masters", 4,"PhD")</f>
        <v>Bachelor Type 2</v>
      </c>
      <c r="F1263" s="5">
        <v>2</v>
      </c>
      <c r="G1263" s="5">
        <v>7</v>
      </c>
      <c r="H1263" s="5">
        <v>5</v>
      </c>
      <c r="I1263" s="5">
        <v>20.431547280355137</v>
      </c>
      <c r="J1263" s="5">
        <v>41</v>
      </c>
      <c r="K1263" s="5">
        <v>28</v>
      </c>
      <c r="L1263" s="5">
        <v>71</v>
      </c>
      <c r="M1263" s="5" t="str">
        <f>_xlfn.SWITCH(recruitment_data3[[#This Row],[RecruitmentStrategy]], 1,"Aggressive", 2,"Moderate", 3,"Conservative")</f>
        <v>Moderate</v>
      </c>
      <c r="N1263" s="5">
        <v>2</v>
      </c>
      <c r="O1263" s="5" t="str">
        <f>IF(recruitment_data3[[#This Row],[HiringDecision]]=1,"Hired","Rejected")</f>
        <v>Rejected</v>
      </c>
      <c r="P1263" s="6">
        <v>0</v>
      </c>
    </row>
    <row r="1264" spans="1:16" x14ac:dyDescent="0.25">
      <c r="A1264" s="4" t="str">
        <f t="shared" si="19"/>
        <v>C1263</v>
      </c>
      <c r="B1264" s="4">
        <v>31</v>
      </c>
      <c r="C1264" s="5" t="str">
        <f>IF(recruitment_data3[[#This Row],[Gender]]=1,"Female","Male")</f>
        <v>Female</v>
      </c>
      <c r="D1264" s="5">
        <v>1</v>
      </c>
      <c r="E1264" s="5" t="str">
        <f>_xlfn.SWITCH(recruitment_data3[[#This Row],[EducationLevel]], 1,"Bachelor Type 1", 2,"Bachelor Type 2", 3,"Masters", 4,"PhD")</f>
        <v>Bachelor Type 2</v>
      </c>
      <c r="F1264" s="5">
        <v>2</v>
      </c>
      <c r="G1264" s="5">
        <v>2</v>
      </c>
      <c r="H1264" s="5">
        <v>1</v>
      </c>
      <c r="I1264" s="5">
        <v>2.8610852284664583</v>
      </c>
      <c r="J1264" s="5">
        <v>47</v>
      </c>
      <c r="K1264" s="5">
        <v>11</v>
      </c>
      <c r="L1264" s="5">
        <v>64</v>
      </c>
      <c r="M1264" s="5" t="str">
        <f>_xlfn.SWITCH(recruitment_data3[[#This Row],[RecruitmentStrategy]], 1,"Aggressive", 2,"Moderate", 3,"Conservative")</f>
        <v>Conservative</v>
      </c>
      <c r="N1264" s="5">
        <v>3</v>
      </c>
      <c r="O1264" s="5" t="str">
        <f>IF(recruitment_data3[[#This Row],[HiringDecision]]=1,"Hired","Rejected")</f>
        <v>Rejected</v>
      </c>
      <c r="P1264" s="6">
        <v>0</v>
      </c>
    </row>
    <row r="1265" spans="1:16" x14ac:dyDescent="0.25">
      <c r="A1265" s="4" t="str">
        <f t="shared" si="19"/>
        <v>C1264</v>
      </c>
      <c r="B1265" s="4">
        <v>38</v>
      </c>
      <c r="C1265" s="5" t="str">
        <f>IF(recruitment_data3[[#This Row],[Gender]]=1,"Female","Male")</f>
        <v>Female</v>
      </c>
      <c r="D1265" s="5">
        <v>1</v>
      </c>
      <c r="E1265" s="5" t="str">
        <f>_xlfn.SWITCH(recruitment_data3[[#This Row],[EducationLevel]], 1,"Bachelor Type 1", 2,"Bachelor Type 2", 3,"Masters", 4,"PhD")</f>
        <v>Bachelor Type 2</v>
      </c>
      <c r="F1265" s="5">
        <v>2</v>
      </c>
      <c r="G1265" s="5">
        <v>3</v>
      </c>
      <c r="H1265" s="5">
        <v>3</v>
      </c>
      <c r="I1265" s="5">
        <v>46.880034813095008</v>
      </c>
      <c r="J1265" s="5">
        <v>73</v>
      </c>
      <c r="K1265" s="5">
        <v>16</v>
      </c>
      <c r="L1265" s="5">
        <v>52</v>
      </c>
      <c r="M1265" s="5" t="str">
        <f>_xlfn.SWITCH(recruitment_data3[[#This Row],[RecruitmentStrategy]], 1,"Aggressive", 2,"Moderate", 3,"Conservative")</f>
        <v>Aggressive</v>
      </c>
      <c r="N1265" s="5">
        <v>1</v>
      </c>
      <c r="O1265" s="5" t="str">
        <f>IF(recruitment_data3[[#This Row],[HiringDecision]]=1,"Hired","Rejected")</f>
        <v>Rejected</v>
      </c>
      <c r="P1265" s="6">
        <v>0</v>
      </c>
    </row>
    <row r="1266" spans="1:16" x14ac:dyDescent="0.25">
      <c r="A1266" s="4" t="str">
        <f t="shared" si="19"/>
        <v>C1265</v>
      </c>
      <c r="B1266" s="4">
        <v>29</v>
      </c>
      <c r="C1266" s="5" t="str">
        <f>IF(recruitment_data3[[#This Row],[Gender]]=1,"Female","Male")</f>
        <v>Male</v>
      </c>
      <c r="D1266" s="5">
        <v>0</v>
      </c>
      <c r="E1266" s="5" t="str">
        <f>_xlfn.SWITCH(recruitment_data3[[#This Row],[EducationLevel]], 1,"Bachelor Type 1", 2,"Bachelor Type 2", 3,"Masters", 4,"PhD")</f>
        <v>PhD</v>
      </c>
      <c r="F1266" s="5">
        <v>4</v>
      </c>
      <c r="G1266" s="5">
        <v>14</v>
      </c>
      <c r="H1266" s="5">
        <v>1</v>
      </c>
      <c r="I1266" s="5">
        <v>34.655567406226432</v>
      </c>
      <c r="J1266" s="5">
        <v>80</v>
      </c>
      <c r="K1266" s="5">
        <v>47</v>
      </c>
      <c r="L1266" s="5">
        <v>99</v>
      </c>
      <c r="M1266" s="5" t="str">
        <f>_xlfn.SWITCH(recruitment_data3[[#This Row],[RecruitmentStrategy]], 1,"Aggressive", 2,"Moderate", 3,"Conservative")</f>
        <v>Moderate</v>
      </c>
      <c r="N1266" s="5">
        <v>2</v>
      </c>
      <c r="O1266" s="5" t="str">
        <f>IF(recruitment_data3[[#This Row],[HiringDecision]]=1,"Hired","Rejected")</f>
        <v>Hired</v>
      </c>
      <c r="P1266" s="6">
        <v>1</v>
      </c>
    </row>
    <row r="1267" spans="1:16" x14ac:dyDescent="0.25">
      <c r="A1267" s="4" t="str">
        <f t="shared" si="19"/>
        <v>C1266</v>
      </c>
      <c r="B1267" s="4">
        <v>28</v>
      </c>
      <c r="C1267" s="5" t="str">
        <f>IF(recruitment_data3[[#This Row],[Gender]]=1,"Female","Male")</f>
        <v>Male</v>
      </c>
      <c r="D1267" s="5">
        <v>0</v>
      </c>
      <c r="E1267" s="5" t="str">
        <f>_xlfn.SWITCH(recruitment_data3[[#This Row],[EducationLevel]], 1,"Bachelor Type 1", 2,"Bachelor Type 2", 3,"Masters", 4,"PhD")</f>
        <v>Bachelor Type 2</v>
      </c>
      <c r="F1267" s="5">
        <v>2</v>
      </c>
      <c r="G1267" s="5">
        <v>8</v>
      </c>
      <c r="H1267" s="5">
        <v>3</v>
      </c>
      <c r="I1267" s="5">
        <v>50.537440469660943</v>
      </c>
      <c r="J1267" s="5">
        <v>29</v>
      </c>
      <c r="K1267" s="5">
        <v>83</v>
      </c>
      <c r="L1267" s="5">
        <v>6</v>
      </c>
      <c r="M1267" s="5" t="str">
        <f>_xlfn.SWITCH(recruitment_data3[[#This Row],[RecruitmentStrategy]], 1,"Aggressive", 2,"Moderate", 3,"Conservative")</f>
        <v>Moderate</v>
      </c>
      <c r="N1267" s="5">
        <v>2</v>
      </c>
      <c r="O1267" s="5" t="str">
        <f>IF(recruitment_data3[[#This Row],[HiringDecision]]=1,"Hired","Rejected")</f>
        <v>Rejected</v>
      </c>
      <c r="P1267" s="6">
        <v>0</v>
      </c>
    </row>
    <row r="1268" spans="1:16" x14ac:dyDescent="0.25">
      <c r="A1268" s="4" t="str">
        <f t="shared" si="19"/>
        <v>C1267</v>
      </c>
      <c r="B1268" s="4">
        <v>24</v>
      </c>
      <c r="C1268" s="5" t="str">
        <f>IF(recruitment_data3[[#This Row],[Gender]]=1,"Female","Male")</f>
        <v>Female</v>
      </c>
      <c r="D1268" s="5">
        <v>1</v>
      </c>
      <c r="E1268" s="5" t="str">
        <f>_xlfn.SWITCH(recruitment_data3[[#This Row],[EducationLevel]], 1,"Bachelor Type 1", 2,"Bachelor Type 2", 3,"Masters", 4,"PhD")</f>
        <v>Bachelor Type 2</v>
      </c>
      <c r="F1268" s="5">
        <v>2</v>
      </c>
      <c r="G1268" s="5">
        <v>3</v>
      </c>
      <c r="H1268" s="5">
        <v>5</v>
      </c>
      <c r="I1268" s="5">
        <v>45.141158133924684</v>
      </c>
      <c r="J1268" s="5">
        <v>20</v>
      </c>
      <c r="K1268" s="5">
        <v>25</v>
      </c>
      <c r="L1268" s="5">
        <v>4</v>
      </c>
      <c r="M1268" s="5" t="str">
        <f>_xlfn.SWITCH(recruitment_data3[[#This Row],[RecruitmentStrategy]], 1,"Aggressive", 2,"Moderate", 3,"Conservative")</f>
        <v>Aggressive</v>
      </c>
      <c r="N1268" s="5">
        <v>1</v>
      </c>
      <c r="O1268" s="5" t="str">
        <f>IF(recruitment_data3[[#This Row],[HiringDecision]]=1,"Hired","Rejected")</f>
        <v>Rejected</v>
      </c>
      <c r="P1268" s="6">
        <v>0</v>
      </c>
    </row>
    <row r="1269" spans="1:16" x14ac:dyDescent="0.25">
      <c r="A1269" s="4" t="str">
        <f t="shared" si="19"/>
        <v>C1268</v>
      </c>
      <c r="B1269" s="4">
        <v>25</v>
      </c>
      <c r="C1269" s="5" t="str">
        <f>IF(recruitment_data3[[#This Row],[Gender]]=1,"Female","Male")</f>
        <v>Female</v>
      </c>
      <c r="D1269" s="5">
        <v>1</v>
      </c>
      <c r="E1269" s="5" t="str">
        <f>_xlfn.SWITCH(recruitment_data3[[#This Row],[EducationLevel]], 1,"Bachelor Type 1", 2,"Bachelor Type 2", 3,"Masters", 4,"PhD")</f>
        <v>Bachelor Type 2</v>
      </c>
      <c r="F1269" s="5">
        <v>2</v>
      </c>
      <c r="G1269" s="5">
        <v>9</v>
      </c>
      <c r="H1269" s="5">
        <v>5</v>
      </c>
      <c r="I1269" s="5">
        <v>24.649529684907634</v>
      </c>
      <c r="J1269" s="5">
        <v>59</v>
      </c>
      <c r="K1269" s="5">
        <v>82</v>
      </c>
      <c r="L1269" s="5">
        <v>23</v>
      </c>
      <c r="M1269" s="5" t="str">
        <f>_xlfn.SWITCH(recruitment_data3[[#This Row],[RecruitmentStrategy]], 1,"Aggressive", 2,"Moderate", 3,"Conservative")</f>
        <v>Moderate</v>
      </c>
      <c r="N1269" s="5">
        <v>2</v>
      </c>
      <c r="O1269" s="5" t="str">
        <f>IF(recruitment_data3[[#This Row],[HiringDecision]]=1,"Hired","Rejected")</f>
        <v>Rejected</v>
      </c>
      <c r="P1269" s="6">
        <v>0</v>
      </c>
    </row>
    <row r="1270" spans="1:16" x14ac:dyDescent="0.25">
      <c r="A1270" s="4" t="str">
        <f t="shared" si="19"/>
        <v>C1269</v>
      </c>
      <c r="B1270" s="4">
        <v>39</v>
      </c>
      <c r="C1270" s="5" t="str">
        <f>IF(recruitment_data3[[#This Row],[Gender]]=1,"Female","Male")</f>
        <v>Male</v>
      </c>
      <c r="D1270" s="5">
        <v>0</v>
      </c>
      <c r="E1270" s="5" t="str">
        <f>_xlfn.SWITCH(recruitment_data3[[#This Row],[EducationLevel]], 1,"Bachelor Type 1", 2,"Bachelor Type 2", 3,"Masters", 4,"PhD")</f>
        <v>PhD</v>
      </c>
      <c r="F1270" s="5">
        <v>4</v>
      </c>
      <c r="G1270" s="5">
        <v>11</v>
      </c>
      <c r="H1270" s="5">
        <v>4</v>
      </c>
      <c r="I1270" s="5">
        <v>26.984251557518846</v>
      </c>
      <c r="J1270" s="5">
        <v>12</v>
      </c>
      <c r="K1270" s="5">
        <v>11</v>
      </c>
      <c r="L1270" s="5">
        <v>27</v>
      </c>
      <c r="M1270" s="5" t="str">
        <f>_xlfn.SWITCH(recruitment_data3[[#This Row],[RecruitmentStrategy]], 1,"Aggressive", 2,"Moderate", 3,"Conservative")</f>
        <v>Aggressive</v>
      </c>
      <c r="N1270" s="5">
        <v>1</v>
      </c>
      <c r="O1270" s="5" t="str">
        <f>IF(recruitment_data3[[#This Row],[HiringDecision]]=1,"Hired","Rejected")</f>
        <v>Hired</v>
      </c>
      <c r="P1270" s="6">
        <v>1</v>
      </c>
    </row>
    <row r="1271" spans="1:16" x14ac:dyDescent="0.25">
      <c r="A1271" s="4" t="str">
        <f t="shared" si="19"/>
        <v>C1270</v>
      </c>
      <c r="B1271" s="4">
        <v>45</v>
      </c>
      <c r="C1271" s="5" t="str">
        <f>IF(recruitment_data3[[#This Row],[Gender]]=1,"Female","Male")</f>
        <v>Male</v>
      </c>
      <c r="D1271" s="5">
        <v>0</v>
      </c>
      <c r="E1271" s="5" t="str">
        <f>_xlfn.SWITCH(recruitment_data3[[#This Row],[EducationLevel]], 1,"Bachelor Type 1", 2,"Bachelor Type 2", 3,"Masters", 4,"PhD")</f>
        <v>Bachelor Type 1</v>
      </c>
      <c r="F1271" s="5">
        <v>1</v>
      </c>
      <c r="G1271" s="5">
        <v>14</v>
      </c>
      <c r="H1271" s="5">
        <v>3</v>
      </c>
      <c r="I1271" s="5">
        <v>10.528802325859692</v>
      </c>
      <c r="J1271" s="5">
        <v>0</v>
      </c>
      <c r="K1271" s="5">
        <v>20</v>
      </c>
      <c r="L1271" s="5">
        <v>61</v>
      </c>
      <c r="M1271" s="5" t="str">
        <f>_xlfn.SWITCH(recruitment_data3[[#This Row],[RecruitmentStrategy]], 1,"Aggressive", 2,"Moderate", 3,"Conservative")</f>
        <v>Conservative</v>
      </c>
      <c r="N1271" s="5">
        <v>3</v>
      </c>
      <c r="O1271" s="5" t="str">
        <f>IF(recruitment_data3[[#This Row],[HiringDecision]]=1,"Hired","Rejected")</f>
        <v>Rejected</v>
      </c>
      <c r="P1271" s="6">
        <v>0</v>
      </c>
    </row>
    <row r="1272" spans="1:16" x14ac:dyDescent="0.25">
      <c r="A1272" s="4" t="str">
        <f t="shared" si="19"/>
        <v>C1271</v>
      </c>
      <c r="B1272" s="4">
        <v>21</v>
      </c>
      <c r="C1272" s="5" t="str">
        <f>IF(recruitment_data3[[#This Row],[Gender]]=1,"Female","Male")</f>
        <v>Female</v>
      </c>
      <c r="D1272" s="5">
        <v>1</v>
      </c>
      <c r="E1272" s="5" t="str">
        <f>_xlfn.SWITCH(recruitment_data3[[#This Row],[EducationLevel]], 1,"Bachelor Type 1", 2,"Bachelor Type 2", 3,"Masters", 4,"PhD")</f>
        <v>Bachelor Type 2</v>
      </c>
      <c r="F1272" s="5">
        <v>2</v>
      </c>
      <c r="G1272" s="5">
        <v>4</v>
      </c>
      <c r="H1272" s="5">
        <v>5</v>
      </c>
      <c r="I1272" s="5">
        <v>24.101967141977781</v>
      </c>
      <c r="J1272" s="5">
        <v>64</v>
      </c>
      <c r="K1272" s="5">
        <v>41</v>
      </c>
      <c r="L1272" s="5">
        <v>16</v>
      </c>
      <c r="M1272" s="5" t="str">
        <f>_xlfn.SWITCH(recruitment_data3[[#This Row],[RecruitmentStrategy]], 1,"Aggressive", 2,"Moderate", 3,"Conservative")</f>
        <v>Moderate</v>
      </c>
      <c r="N1272" s="5">
        <v>2</v>
      </c>
      <c r="O1272" s="5" t="str">
        <f>IF(recruitment_data3[[#This Row],[HiringDecision]]=1,"Hired","Rejected")</f>
        <v>Rejected</v>
      </c>
      <c r="P1272" s="6">
        <v>0</v>
      </c>
    </row>
    <row r="1273" spans="1:16" x14ac:dyDescent="0.25">
      <c r="A1273" s="4" t="str">
        <f t="shared" si="19"/>
        <v>C1272</v>
      </c>
      <c r="B1273" s="4">
        <v>46</v>
      </c>
      <c r="C1273" s="5" t="str">
        <f>IF(recruitment_data3[[#This Row],[Gender]]=1,"Female","Male")</f>
        <v>Female</v>
      </c>
      <c r="D1273" s="5">
        <v>1</v>
      </c>
      <c r="E1273" s="5" t="str">
        <f>_xlfn.SWITCH(recruitment_data3[[#This Row],[EducationLevel]], 1,"Bachelor Type 1", 2,"Bachelor Type 2", 3,"Masters", 4,"PhD")</f>
        <v>Bachelor Type 1</v>
      </c>
      <c r="F1273" s="5">
        <v>1</v>
      </c>
      <c r="G1273" s="5">
        <v>6</v>
      </c>
      <c r="H1273" s="5">
        <v>2</v>
      </c>
      <c r="I1273" s="5">
        <v>46.15139367464058</v>
      </c>
      <c r="J1273" s="5">
        <v>32</v>
      </c>
      <c r="K1273" s="5">
        <v>60</v>
      </c>
      <c r="L1273" s="5">
        <v>100</v>
      </c>
      <c r="M1273" s="5" t="str">
        <f>_xlfn.SWITCH(recruitment_data3[[#This Row],[RecruitmentStrategy]], 1,"Aggressive", 2,"Moderate", 3,"Conservative")</f>
        <v>Moderate</v>
      </c>
      <c r="N1273" s="5">
        <v>2</v>
      </c>
      <c r="O1273" s="5" t="str">
        <f>IF(recruitment_data3[[#This Row],[HiringDecision]]=1,"Hired","Rejected")</f>
        <v>Rejected</v>
      </c>
      <c r="P1273" s="6">
        <v>0</v>
      </c>
    </row>
    <row r="1274" spans="1:16" x14ac:dyDescent="0.25">
      <c r="A1274" s="4" t="str">
        <f t="shared" si="19"/>
        <v>C1273</v>
      </c>
      <c r="B1274" s="4">
        <v>43</v>
      </c>
      <c r="C1274" s="5" t="str">
        <f>IF(recruitment_data3[[#This Row],[Gender]]=1,"Female","Male")</f>
        <v>Female</v>
      </c>
      <c r="D1274" s="5">
        <v>1</v>
      </c>
      <c r="E1274" s="5" t="str">
        <f>_xlfn.SWITCH(recruitment_data3[[#This Row],[EducationLevel]], 1,"Bachelor Type 1", 2,"Bachelor Type 2", 3,"Masters", 4,"PhD")</f>
        <v>Bachelor Type 1</v>
      </c>
      <c r="F1274" s="5">
        <v>1</v>
      </c>
      <c r="G1274" s="5">
        <v>15</v>
      </c>
      <c r="H1274" s="5">
        <v>4</v>
      </c>
      <c r="I1274" s="5">
        <v>3.5426711817910563</v>
      </c>
      <c r="J1274" s="5">
        <v>37</v>
      </c>
      <c r="K1274" s="5">
        <v>57</v>
      </c>
      <c r="L1274" s="5">
        <v>19</v>
      </c>
      <c r="M1274" s="5" t="str">
        <f>_xlfn.SWITCH(recruitment_data3[[#This Row],[RecruitmentStrategy]], 1,"Aggressive", 2,"Moderate", 3,"Conservative")</f>
        <v>Moderate</v>
      </c>
      <c r="N1274" s="5">
        <v>2</v>
      </c>
      <c r="O1274" s="5" t="str">
        <f>IF(recruitment_data3[[#This Row],[HiringDecision]]=1,"Hired","Rejected")</f>
        <v>Rejected</v>
      </c>
      <c r="P1274" s="6">
        <v>0</v>
      </c>
    </row>
    <row r="1275" spans="1:16" x14ac:dyDescent="0.25">
      <c r="A1275" s="4" t="str">
        <f t="shared" si="19"/>
        <v>C1274</v>
      </c>
      <c r="B1275" s="4">
        <v>46</v>
      </c>
      <c r="C1275" s="5" t="str">
        <f>IF(recruitment_data3[[#This Row],[Gender]]=1,"Female","Male")</f>
        <v>Female</v>
      </c>
      <c r="D1275" s="5">
        <v>1</v>
      </c>
      <c r="E1275" s="5" t="str">
        <f>_xlfn.SWITCH(recruitment_data3[[#This Row],[EducationLevel]], 1,"Bachelor Type 1", 2,"Bachelor Type 2", 3,"Masters", 4,"PhD")</f>
        <v>Masters</v>
      </c>
      <c r="F1275" s="5">
        <v>3</v>
      </c>
      <c r="G1275" s="5">
        <v>3</v>
      </c>
      <c r="H1275" s="5">
        <v>1</v>
      </c>
      <c r="I1275" s="5">
        <v>44.17784014991549</v>
      </c>
      <c r="J1275" s="5">
        <v>24</v>
      </c>
      <c r="K1275" s="5">
        <v>53</v>
      </c>
      <c r="L1275" s="5">
        <v>2</v>
      </c>
      <c r="M1275" s="5" t="str">
        <f>_xlfn.SWITCH(recruitment_data3[[#This Row],[RecruitmentStrategy]], 1,"Aggressive", 2,"Moderate", 3,"Conservative")</f>
        <v>Moderate</v>
      </c>
      <c r="N1275" s="5">
        <v>2</v>
      </c>
      <c r="O1275" s="5" t="str">
        <f>IF(recruitment_data3[[#This Row],[HiringDecision]]=1,"Hired","Rejected")</f>
        <v>Rejected</v>
      </c>
      <c r="P1275" s="6">
        <v>0</v>
      </c>
    </row>
    <row r="1276" spans="1:16" x14ac:dyDescent="0.25">
      <c r="A1276" s="4" t="str">
        <f t="shared" si="19"/>
        <v>C1275</v>
      </c>
      <c r="B1276" s="4">
        <v>32</v>
      </c>
      <c r="C1276" s="5" t="str">
        <f>IF(recruitment_data3[[#This Row],[Gender]]=1,"Female","Male")</f>
        <v>Male</v>
      </c>
      <c r="D1276" s="5">
        <v>0</v>
      </c>
      <c r="E1276" s="5" t="str">
        <f>_xlfn.SWITCH(recruitment_data3[[#This Row],[EducationLevel]], 1,"Bachelor Type 1", 2,"Bachelor Type 2", 3,"Masters", 4,"PhD")</f>
        <v>Masters</v>
      </c>
      <c r="F1276" s="5">
        <v>3</v>
      </c>
      <c r="G1276" s="5">
        <v>13</v>
      </c>
      <c r="H1276" s="5">
        <v>4</v>
      </c>
      <c r="I1276" s="5">
        <v>18.047390082130487</v>
      </c>
      <c r="J1276" s="5">
        <v>25</v>
      </c>
      <c r="K1276" s="5">
        <v>33</v>
      </c>
      <c r="L1276" s="5">
        <v>36</v>
      </c>
      <c r="M1276" s="5" t="str">
        <f>_xlfn.SWITCH(recruitment_data3[[#This Row],[RecruitmentStrategy]], 1,"Aggressive", 2,"Moderate", 3,"Conservative")</f>
        <v>Moderate</v>
      </c>
      <c r="N1276" s="5">
        <v>2</v>
      </c>
      <c r="O1276" s="5" t="str">
        <f>IF(recruitment_data3[[#This Row],[HiringDecision]]=1,"Hired","Rejected")</f>
        <v>Rejected</v>
      </c>
      <c r="P1276" s="6">
        <v>0</v>
      </c>
    </row>
    <row r="1277" spans="1:16" x14ac:dyDescent="0.25">
      <c r="A1277" s="4" t="str">
        <f t="shared" si="19"/>
        <v>C1276</v>
      </c>
      <c r="B1277" s="4">
        <v>25</v>
      </c>
      <c r="C1277" s="5" t="str">
        <f>IF(recruitment_data3[[#This Row],[Gender]]=1,"Female","Male")</f>
        <v>Male</v>
      </c>
      <c r="D1277" s="5">
        <v>0</v>
      </c>
      <c r="E1277" s="5" t="str">
        <f>_xlfn.SWITCH(recruitment_data3[[#This Row],[EducationLevel]], 1,"Bachelor Type 1", 2,"Bachelor Type 2", 3,"Masters", 4,"PhD")</f>
        <v>Bachelor Type 2</v>
      </c>
      <c r="F1277" s="5">
        <v>2</v>
      </c>
      <c r="G1277" s="5">
        <v>0</v>
      </c>
      <c r="H1277" s="5">
        <v>2</v>
      </c>
      <c r="I1277" s="5">
        <v>45.975638254815493</v>
      </c>
      <c r="J1277" s="5">
        <v>76</v>
      </c>
      <c r="K1277" s="5">
        <v>6</v>
      </c>
      <c r="L1277" s="5">
        <v>89</v>
      </c>
      <c r="M1277" s="5" t="str">
        <f>_xlfn.SWITCH(recruitment_data3[[#This Row],[RecruitmentStrategy]], 1,"Aggressive", 2,"Moderate", 3,"Conservative")</f>
        <v>Aggressive</v>
      </c>
      <c r="N1277" s="5">
        <v>1</v>
      </c>
      <c r="O1277" s="5" t="str">
        <f>IF(recruitment_data3[[#This Row],[HiringDecision]]=1,"Hired","Rejected")</f>
        <v>Hired</v>
      </c>
      <c r="P1277" s="6">
        <v>1</v>
      </c>
    </row>
    <row r="1278" spans="1:16" x14ac:dyDescent="0.25">
      <c r="A1278" s="4" t="str">
        <f t="shared" si="19"/>
        <v>C1277</v>
      </c>
      <c r="B1278" s="4">
        <v>24</v>
      </c>
      <c r="C1278" s="5" t="str">
        <f>IF(recruitment_data3[[#This Row],[Gender]]=1,"Female","Male")</f>
        <v>Male</v>
      </c>
      <c r="D1278" s="5">
        <v>0</v>
      </c>
      <c r="E1278" s="5" t="str">
        <f>_xlfn.SWITCH(recruitment_data3[[#This Row],[EducationLevel]], 1,"Bachelor Type 1", 2,"Bachelor Type 2", 3,"Masters", 4,"PhD")</f>
        <v>Bachelor Type 2</v>
      </c>
      <c r="F1278" s="5">
        <v>2</v>
      </c>
      <c r="G1278" s="5">
        <v>8</v>
      </c>
      <c r="H1278" s="5">
        <v>3</v>
      </c>
      <c r="I1278" s="5">
        <v>48.043995317074234</v>
      </c>
      <c r="J1278" s="5">
        <v>58</v>
      </c>
      <c r="K1278" s="5">
        <v>34</v>
      </c>
      <c r="L1278" s="5">
        <v>14</v>
      </c>
      <c r="M1278" s="5" t="str">
        <f>_xlfn.SWITCH(recruitment_data3[[#This Row],[RecruitmentStrategy]], 1,"Aggressive", 2,"Moderate", 3,"Conservative")</f>
        <v>Moderate</v>
      </c>
      <c r="N1278" s="5">
        <v>2</v>
      </c>
      <c r="O1278" s="5" t="str">
        <f>IF(recruitment_data3[[#This Row],[HiringDecision]]=1,"Hired","Rejected")</f>
        <v>Rejected</v>
      </c>
      <c r="P1278" s="6">
        <v>0</v>
      </c>
    </row>
    <row r="1279" spans="1:16" x14ac:dyDescent="0.25">
      <c r="A1279" s="4" t="str">
        <f t="shared" si="19"/>
        <v>C1278</v>
      </c>
      <c r="B1279" s="4">
        <v>44</v>
      </c>
      <c r="C1279" s="5" t="str">
        <f>IF(recruitment_data3[[#This Row],[Gender]]=1,"Female","Male")</f>
        <v>Female</v>
      </c>
      <c r="D1279" s="5">
        <v>1</v>
      </c>
      <c r="E1279" s="5" t="str">
        <f>_xlfn.SWITCH(recruitment_data3[[#This Row],[EducationLevel]], 1,"Bachelor Type 1", 2,"Bachelor Type 2", 3,"Masters", 4,"PhD")</f>
        <v>Bachelor Type 2</v>
      </c>
      <c r="F1279" s="5">
        <v>2</v>
      </c>
      <c r="G1279" s="5">
        <v>3</v>
      </c>
      <c r="H1279" s="5">
        <v>1</v>
      </c>
      <c r="I1279" s="5">
        <v>34.5432443500953</v>
      </c>
      <c r="J1279" s="5">
        <v>91</v>
      </c>
      <c r="K1279" s="5">
        <v>14</v>
      </c>
      <c r="L1279" s="5">
        <v>50</v>
      </c>
      <c r="M1279" s="5" t="str">
        <f>_xlfn.SWITCH(recruitment_data3[[#This Row],[RecruitmentStrategy]], 1,"Aggressive", 2,"Moderate", 3,"Conservative")</f>
        <v>Aggressive</v>
      </c>
      <c r="N1279" s="5">
        <v>1</v>
      </c>
      <c r="O1279" s="5" t="str">
        <f>IF(recruitment_data3[[#This Row],[HiringDecision]]=1,"Hired","Rejected")</f>
        <v>Rejected</v>
      </c>
      <c r="P1279" s="6">
        <v>0</v>
      </c>
    </row>
    <row r="1280" spans="1:16" x14ac:dyDescent="0.25">
      <c r="A1280" s="4" t="str">
        <f t="shared" si="19"/>
        <v>C1279</v>
      </c>
      <c r="B1280" s="4">
        <v>20</v>
      </c>
      <c r="C1280" s="5" t="str">
        <f>IF(recruitment_data3[[#This Row],[Gender]]=1,"Female","Male")</f>
        <v>Female</v>
      </c>
      <c r="D1280" s="5">
        <v>1</v>
      </c>
      <c r="E1280" s="5" t="str">
        <f>_xlfn.SWITCH(recruitment_data3[[#This Row],[EducationLevel]], 1,"Bachelor Type 1", 2,"Bachelor Type 2", 3,"Masters", 4,"PhD")</f>
        <v>PhD</v>
      </c>
      <c r="F1280" s="5">
        <v>4</v>
      </c>
      <c r="G1280" s="5">
        <v>8</v>
      </c>
      <c r="H1280" s="5">
        <v>1</v>
      </c>
      <c r="I1280" s="5">
        <v>34.221189329633894</v>
      </c>
      <c r="J1280" s="5">
        <v>32</v>
      </c>
      <c r="K1280" s="5">
        <v>64</v>
      </c>
      <c r="L1280" s="5">
        <v>47</v>
      </c>
      <c r="M1280" s="5" t="str">
        <f>_xlfn.SWITCH(recruitment_data3[[#This Row],[RecruitmentStrategy]], 1,"Aggressive", 2,"Moderate", 3,"Conservative")</f>
        <v>Moderate</v>
      </c>
      <c r="N1280" s="5">
        <v>2</v>
      </c>
      <c r="O1280" s="5" t="str">
        <f>IF(recruitment_data3[[#This Row],[HiringDecision]]=1,"Hired","Rejected")</f>
        <v>Rejected</v>
      </c>
      <c r="P1280" s="6">
        <v>0</v>
      </c>
    </row>
    <row r="1281" spans="1:16" x14ac:dyDescent="0.25">
      <c r="A1281" s="4" t="str">
        <f t="shared" si="19"/>
        <v>C1280</v>
      </c>
      <c r="B1281" s="4">
        <v>40</v>
      </c>
      <c r="C1281" s="5" t="str">
        <f>IF(recruitment_data3[[#This Row],[Gender]]=1,"Female","Male")</f>
        <v>Male</v>
      </c>
      <c r="D1281" s="5">
        <v>0</v>
      </c>
      <c r="E1281" s="5" t="str">
        <f>_xlfn.SWITCH(recruitment_data3[[#This Row],[EducationLevel]], 1,"Bachelor Type 1", 2,"Bachelor Type 2", 3,"Masters", 4,"PhD")</f>
        <v>PhD</v>
      </c>
      <c r="F1281" s="5">
        <v>4</v>
      </c>
      <c r="G1281" s="5">
        <v>5</v>
      </c>
      <c r="H1281" s="5">
        <v>3</v>
      </c>
      <c r="I1281" s="5">
        <v>23.637716885437005</v>
      </c>
      <c r="J1281" s="5">
        <v>100</v>
      </c>
      <c r="K1281" s="5">
        <v>89</v>
      </c>
      <c r="L1281" s="5">
        <v>7</v>
      </c>
      <c r="M1281" s="5" t="str">
        <f>_xlfn.SWITCH(recruitment_data3[[#This Row],[RecruitmentStrategy]], 1,"Aggressive", 2,"Moderate", 3,"Conservative")</f>
        <v>Aggressive</v>
      </c>
      <c r="N1281" s="5">
        <v>1</v>
      </c>
      <c r="O1281" s="5" t="str">
        <f>IF(recruitment_data3[[#This Row],[HiringDecision]]=1,"Hired","Rejected")</f>
        <v>Hired</v>
      </c>
      <c r="P1281" s="6">
        <v>1</v>
      </c>
    </row>
    <row r="1282" spans="1:16" x14ac:dyDescent="0.25">
      <c r="A1282" s="4" t="str">
        <f t="shared" ref="A1282:A1345" si="20">"C"&amp;TEXT(ROW()-1,"0000")</f>
        <v>C1281</v>
      </c>
      <c r="B1282" s="4">
        <v>41</v>
      </c>
      <c r="C1282" s="5" t="str">
        <f>IF(recruitment_data3[[#This Row],[Gender]]=1,"Female","Male")</f>
        <v>Male</v>
      </c>
      <c r="D1282" s="5">
        <v>0</v>
      </c>
      <c r="E1282" s="5" t="str">
        <f>_xlfn.SWITCH(recruitment_data3[[#This Row],[EducationLevel]], 1,"Bachelor Type 1", 2,"Bachelor Type 2", 3,"Masters", 4,"PhD")</f>
        <v>Bachelor Type 2</v>
      </c>
      <c r="F1282" s="5">
        <v>2</v>
      </c>
      <c r="G1282" s="5">
        <v>14</v>
      </c>
      <c r="H1282" s="5">
        <v>4</v>
      </c>
      <c r="I1282" s="5">
        <v>42.777011227185376</v>
      </c>
      <c r="J1282" s="5">
        <v>40</v>
      </c>
      <c r="K1282" s="5">
        <v>98</v>
      </c>
      <c r="L1282" s="5">
        <v>12</v>
      </c>
      <c r="M1282" s="5" t="str">
        <f>_xlfn.SWITCH(recruitment_data3[[#This Row],[RecruitmentStrategy]], 1,"Aggressive", 2,"Moderate", 3,"Conservative")</f>
        <v>Moderate</v>
      </c>
      <c r="N1282" s="5">
        <v>2</v>
      </c>
      <c r="O1282" s="5" t="str">
        <f>IF(recruitment_data3[[#This Row],[HiringDecision]]=1,"Hired","Rejected")</f>
        <v>Rejected</v>
      </c>
      <c r="P1282" s="6">
        <v>0</v>
      </c>
    </row>
    <row r="1283" spans="1:16" x14ac:dyDescent="0.25">
      <c r="A1283" s="4" t="str">
        <f t="shared" si="20"/>
        <v>C1282</v>
      </c>
      <c r="B1283" s="4">
        <v>40</v>
      </c>
      <c r="C1283" s="5" t="str">
        <f>IF(recruitment_data3[[#This Row],[Gender]]=1,"Female","Male")</f>
        <v>Male</v>
      </c>
      <c r="D1283" s="5">
        <v>0</v>
      </c>
      <c r="E1283" s="5" t="str">
        <f>_xlfn.SWITCH(recruitment_data3[[#This Row],[EducationLevel]], 1,"Bachelor Type 1", 2,"Bachelor Type 2", 3,"Masters", 4,"PhD")</f>
        <v>Masters</v>
      </c>
      <c r="F1283" s="5">
        <v>3</v>
      </c>
      <c r="G1283" s="5">
        <v>0</v>
      </c>
      <c r="H1283" s="5">
        <v>5</v>
      </c>
      <c r="I1283" s="5">
        <v>49.080637921664163</v>
      </c>
      <c r="J1283" s="5">
        <v>29</v>
      </c>
      <c r="K1283" s="5">
        <v>24</v>
      </c>
      <c r="L1283" s="5">
        <v>47</v>
      </c>
      <c r="M1283" s="5" t="str">
        <f>_xlfn.SWITCH(recruitment_data3[[#This Row],[RecruitmentStrategy]], 1,"Aggressive", 2,"Moderate", 3,"Conservative")</f>
        <v>Aggressive</v>
      </c>
      <c r="N1283" s="5">
        <v>1</v>
      </c>
      <c r="O1283" s="5" t="str">
        <f>IF(recruitment_data3[[#This Row],[HiringDecision]]=1,"Hired","Rejected")</f>
        <v>Rejected</v>
      </c>
      <c r="P1283" s="6">
        <v>0</v>
      </c>
    </row>
    <row r="1284" spans="1:16" x14ac:dyDescent="0.25">
      <c r="A1284" s="4" t="str">
        <f t="shared" si="20"/>
        <v>C1283</v>
      </c>
      <c r="B1284" s="4">
        <v>25</v>
      </c>
      <c r="C1284" s="5" t="str">
        <f>IF(recruitment_data3[[#This Row],[Gender]]=1,"Female","Male")</f>
        <v>Male</v>
      </c>
      <c r="D1284" s="5">
        <v>0</v>
      </c>
      <c r="E1284" s="5" t="str">
        <f>_xlfn.SWITCH(recruitment_data3[[#This Row],[EducationLevel]], 1,"Bachelor Type 1", 2,"Bachelor Type 2", 3,"Masters", 4,"PhD")</f>
        <v>Masters</v>
      </c>
      <c r="F1284" s="5">
        <v>3</v>
      </c>
      <c r="G1284" s="5">
        <v>11</v>
      </c>
      <c r="H1284" s="5">
        <v>4</v>
      </c>
      <c r="I1284" s="5">
        <v>39.754090016955963</v>
      </c>
      <c r="J1284" s="5">
        <v>56</v>
      </c>
      <c r="K1284" s="5">
        <v>58</v>
      </c>
      <c r="L1284" s="5">
        <v>2</v>
      </c>
      <c r="M1284" s="5" t="str">
        <f>_xlfn.SWITCH(recruitment_data3[[#This Row],[RecruitmentStrategy]], 1,"Aggressive", 2,"Moderate", 3,"Conservative")</f>
        <v>Conservative</v>
      </c>
      <c r="N1284" s="5">
        <v>3</v>
      </c>
      <c r="O1284" s="5" t="str">
        <f>IF(recruitment_data3[[#This Row],[HiringDecision]]=1,"Hired","Rejected")</f>
        <v>Rejected</v>
      </c>
      <c r="P1284" s="6">
        <v>0</v>
      </c>
    </row>
    <row r="1285" spans="1:16" x14ac:dyDescent="0.25">
      <c r="A1285" s="4" t="str">
        <f t="shared" si="20"/>
        <v>C1284</v>
      </c>
      <c r="B1285" s="4">
        <v>25</v>
      </c>
      <c r="C1285" s="5" t="str">
        <f>IF(recruitment_data3[[#This Row],[Gender]]=1,"Female","Male")</f>
        <v>Female</v>
      </c>
      <c r="D1285" s="5">
        <v>1</v>
      </c>
      <c r="E1285" s="5" t="str">
        <f>_xlfn.SWITCH(recruitment_data3[[#This Row],[EducationLevel]], 1,"Bachelor Type 1", 2,"Bachelor Type 2", 3,"Masters", 4,"PhD")</f>
        <v>Bachelor Type 2</v>
      </c>
      <c r="F1285" s="5">
        <v>2</v>
      </c>
      <c r="G1285" s="5">
        <v>2</v>
      </c>
      <c r="H1285" s="5">
        <v>2</v>
      </c>
      <c r="I1285" s="5">
        <v>32.096836687835463</v>
      </c>
      <c r="J1285" s="5">
        <v>48</v>
      </c>
      <c r="K1285" s="5">
        <v>78</v>
      </c>
      <c r="L1285" s="5">
        <v>64</v>
      </c>
      <c r="M1285" s="5" t="str">
        <f>_xlfn.SWITCH(recruitment_data3[[#This Row],[RecruitmentStrategy]], 1,"Aggressive", 2,"Moderate", 3,"Conservative")</f>
        <v>Moderate</v>
      </c>
      <c r="N1285" s="5">
        <v>2</v>
      </c>
      <c r="O1285" s="5" t="str">
        <f>IF(recruitment_data3[[#This Row],[HiringDecision]]=1,"Hired","Rejected")</f>
        <v>Rejected</v>
      </c>
      <c r="P1285" s="6">
        <v>0</v>
      </c>
    </row>
    <row r="1286" spans="1:16" x14ac:dyDescent="0.25">
      <c r="A1286" s="4" t="str">
        <f t="shared" si="20"/>
        <v>C1285</v>
      </c>
      <c r="B1286" s="4">
        <v>42</v>
      </c>
      <c r="C1286" s="5" t="str">
        <f>IF(recruitment_data3[[#This Row],[Gender]]=1,"Female","Male")</f>
        <v>Male</v>
      </c>
      <c r="D1286" s="5">
        <v>0</v>
      </c>
      <c r="E1286" s="5" t="str">
        <f>_xlfn.SWITCH(recruitment_data3[[#This Row],[EducationLevel]], 1,"Bachelor Type 1", 2,"Bachelor Type 2", 3,"Masters", 4,"PhD")</f>
        <v>Bachelor Type 2</v>
      </c>
      <c r="F1286" s="5">
        <v>2</v>
      </c>
      <c r="G1286" s="5">
        <v>10</v>
      </c>
      <c r="H1286" s="5">
        <v>5</v>
      </c>
      <c r="I1286" s="5">
        <v>31.339644791066839</v>
      </c>
      <c r="J1286" s="5">
        <v>47</v>
      </c>
      <c r="K1286" s="5">
        <v>85</v>
      </c>
      <c r="L1286" s="5">
        <v>72</v>
      </c>
      <c r="M1286" s="5" t="str">
        <f>_xlfn.SWITCH(recruitment_data3[[#This Row],[RecruitmentStrategy]], 1,"Aggressive", 2,"Moderate", 3,"Conservative")</f>
        <v>Moderate</v>
      </c>
      <c r="N1286" s="5">
        <v>2</v>
      </c>
      <c r="O1286" s="5" t="str">
        <f>IF(recruitment_data3[[#This Row],[HiringDecision]]=1,"Hired","Rejected")</f>
        <v>Rejected</v>
      </c>
      <c r="P1286" s="6">
        <v>0</v>
      </c>
    </row>
    <row r="1287" spans="1:16" x14ac:dyDescent="0.25">
      <c r="A1287" s="4" t="str">
        <f t="shared" si="20"/>
        <v>C1286</v>
      </c>
      <c r="B1287" s="4">
        <v>35</v>
      </c>
      <c r="C1287" s="5" t="str">
        <f>IF(recruitment_data3[[#This Row],[Gender]]=1,"Female","Male")</f>
        <v>Male</v>
      </c>
      <c r="D1287" s="5">
        <v>0</v>
      </c>
      <c r="E1287" s="5" t="str">
        <f>_xlfn.SWITCH(recruitment_data3[[#This Row],[EducationLevel]], 1,"Bachelor Type 1", 2,"Bachelor Type 2", 3,"Masters", 4,"PhD")</f>
        <v>Bachelor Type 2</v>
      </c>
      <c r="F1287" s="5">
        <v>2</v>
      </c>
      <c r="G1287" s="5">
        <v>1</v>
      </c>
      <c r="H1287" s="5">
        <v>4</v>
      </c>
      <c r="I1287" s="5">
        <v>43.473495079183117</v>
      </c>
      <c r="J1287" s="5">
        <v>71</v>
      </c>
      <c r="K1287" s="5">
        <v>5</v>
      </c>
      <c r="L1287" s="5">
        <v>30</v>
      </c>
      <c r="M1287" s="5" t="str">
        <f>_xlfn.SWITCH(recruitment_data3[[#This Row],[RecruitmentStrategy]], 1,"Aggressive", 2,"Moderate", 3,"Conservative")</f>
        <v>Conservative</v>
      </c>
      <c r="N1287" s="5">
        <v>3</v>
      </c>
      <c r="O1287" s="5" t="str">
        <f>IF(recruitment_data3[[#This Row],[HiringDecision]]=1,"Hired","Rejected")</f>
        <v>Rejected</v>
      </c>
      <c r="P1287" s="6">
        <v>0</v>
      </c>
    </row>
    <row r="1288" spans="1:16" x14ac:dyDescent="0.25">
      <c r="A1288" s="4" t="str">
        <f t="shared" si="20"/>
        <v>C1287</v>
      </c>
      <c r="B1288" s="4">
        <v>23</v>
      </c>
      <c r="C1288" s="5" t="str">
        <f>IF(recruitment_data3[[#This Row],[Gender]]=1,"Female","Male")</f>
        <v>Male</v>
      </c>
      <c r="D1288" s="5">
        <v>0</v>
      </c>
      <c r="E1288" s="5" t="str">
        <f>_xlfn.SWITCH(recruitment_data3[[#This Row],[EducationLevel]], 1,"Bachelor Type 1", 2,"Bachelor Type 2", 3,"Masters", 4,"PhD")</f>
        <v>Masters</v>
      </c>
      <c r="F1288" s="5">
        <v>3</v>
      </c>
      <c r="G1288" s="5">
        <v>15</v>
      </c>
      <c r="H1288" s="5">
        <v>3</v>
      </c>
      <c r="I1288" s="5">
        <v>28.06018828856492</v>
      </c>
      <c r="J1288" s="5">
        <v>48</v>
      </c>
      <c r="K1288" s="5">
        <v>51</v>
      </c>
      <c r="L1288" s="5">
        <v>25</v>
      </c>
      <c r="M1288" s="5" t="str">
        <f>_xlfn.SWITCH(recruitment_data3[[#This Row],[RecruitmentStrategy]], 1,"Aggressive", 2,"Moderate", 3,"Conservative")</f>
        <v>Moderate</v>
      </c>
      <c r="N1288" s="5">
        <v>2</v>
      </c>
      <c r="O1288" s="5" t="str">
        <f>IF(recruitment_data3[[#This Row],[HiringDecision]]=1,"Hired","Rejected")</f>
        <v>Rejected</v>
      </c>
      <c r="P1288" s="6">
        <v>0</v>
      </c>
    </row>
    <row r="1289" spans="1:16" x14ac:dyDescent="0.25">
      <c r="A1289" s="4" t="str">
        <f t="shared" si="20"/>
        <v>C1288</v>
      </c>
      <c r="B1289" s="4">
        <v>49</v>
      </c>
      <c r="C1289" s="5" t="str">
        <f>IF(recruitment_data3[[#This Row],[Gender]]=1,"Female","Male")</f>
        <v>Male</v>
      </c>
      <c r="D1289" s="5">
        <v>0</v>
      </c>
      <c r="E1289" s="5" t="str">
        <f>_xlfn.SWITCH(recruitment_data3[[#This Row],[EducationLevel]], 1,"Bachelor Type 1", 2,"Bachelor Type 2", 3,"Masters", 4,"PhD")</f>
        <v>PhD</v>
      </c>
      <c r="F1289" s="5">
        <v>4</v>
      </c>
      <c r="G1289" s="5">
        <v>8</v>
      </c>
      <c r="H1289" s="5">
        <v>2</v>
      </c>
      <c r="I1289" s="5">
        <v>41.19299431244113</v>
      </c>
      <c r="J1289" s="5">
        <v>46</v>
      </c>
      <c r="K1289" s="5">
        <v>78</v>
      </c>
      <c r="L1289" s="5">
        <v>80</v>
      </c>
      <c r="M1289" s="5" t="str">
        <f>_xlfn.SWITCH(recruitment_data3[[#This Row],[RecruitmentStrategy]], 1,"Aggressive", 2,"Moderate", 3,"Conservative")</f>
        <v>Conservative</v>
      </c>
      <c r="N1289" s="5">
        <v>3</v>
      </c>
      <c r="O1289" s="5" t="str">
        <f>IF(recruitment_data3[[#This Row],[HiringDecision]]=1,"Hired","Rejected")</f>
        <v>Hired</v>
      </c>
      <c r="P1289" s="6">
        <v>1</v>
      </c>
    </row>
    <row r="1290" spans="1:16" x14ac:dyDescent="0.25">
      <c r="A1290" s="4" t="str">
        <f t="shared" si="20"/>
        <v>C1289</v>
      </c>
      <c r="B1290" s="4">
        <v>30</v>
      </c>
      <c r="C1290" s="5" t="str">
        <f>IF(recruitment_data3[[#This Row],[Gender]]=1,"Female","Male")</f>
        <v>Male</v>
      </c>
      <c r="D1290" s="5">
        <v>0</v>
      </c>
      <c r="E1290" s="5" t="str">
        <f>_xlfn.SWITCH(recruitment_data3[[#This Row],[EducationLevel]], 1,"Bachelor Type 1", 2,"Bachelor Type 2", 3,"Masters", 4,"PhD")</f>
        <v>Masters</v>
      </c>
      <c r="F1290" s="5">
        <v>3</v>
      </c>
      <c r="G1290" s="5">
        <v>15</v>
      </c>
      <c r="H1290" s="5">
        <v>2</v>
      </c>
      <c r="I1290" s="5">
        <v>26.444262758712288</v>
      </c>
      <c r="J1290" s="5">
        <v>55</v>
      </c>
      <c r="K1290" s="5">
        <v>87</v>
      </c>
      <c r="L1290" s="5">
        <v>55</v>
      </c>
      <c r="M1290" s="5" t="str">
        <f>_xlfn.SWITCH(recruitment_data3[[#This Row],[RecruitmentStrategy]], 1,"Aggressive", 2,"Moderate", 3,"Conservative")</f>
        <v>Aggressive</v>
      </c>
      <c r="N1290" s="5">
        <v>1</v>
      </c>
      <c r="O1290" s="5" t="str">
        <f>IF(recruitment_data3[[#This Row],[HiringDecision]]=1,"Hired","Rejected")</f>
        <v>Hired</v>
      </c>
      <c r="P1290" s="6">
        <v>1</v>
      </c>
    </row>
    <row r="1291" spans="1:16" x14ac:dyDescent="0.25">
      <c r="A1291" s="4" t="str">
        <f t="shared" si="20"/>
        <v>C1290</v>
      </c>
      <c r="B1291" s="4">
        <v>49</v>
      </c>
      <c r="C1291" s="5" t="str">
        <f>IF(recruitment_data3[[#This Row],[Gender]]=1,"Female","Male")</f>
        <v>Male</v>
      </c>
      <c r="D1291" s="5">
        <v>0</v>
      </c>
      <c r="E1291" s="5" t="str">
        <f>_xlfn.SWITCH(recruitment_data3[[#This Row],[EducationLevel]], 1,"Bachelor Type 1", 2,"Bachelor Type 2", 3,"Masters", 4,"PhD")</f>
        <v>Masters</v>
      </c>
      <c r="F1291" s="5">
        <v>3</v>
      </c>
      <c r="G1291" s="5">
        <v>14</v>
      </c>
      <c r="H1291" s="5">
        <v>2</v>
      </c>
      <c r="I1291" s="5">
        <v>4.1222137486962067</v>
      </c>
      <c r="J1291" s="5">
        <v>64</v>
      </c>
      <c r="K1291" s="5">
        <v>20</v>
      </c>
      <c r="L1291" s="5">
        <v>33</v>
      </c>
      <c r="M1291" s="5" t="str">
        <f>_xlfn.SWITCH(recruitment_data3[[#This Row],[RecruitmentStrategy]], 1,"Aggressive", 2,"Moderate", 3,"Conservative")</f>
        <v>Moderate</v>
      </c>
      <c r="N1291" s="5">
        <v>2</v>
      </c>
      <c r="O1291" s="5" t="str">
        <f>IF(recruitment_data3[[#This Row],[HiringDecision]]=1,"Hired","Rejected")</f>
        <v>Rejected</v>
      </c>
      <c r="P1291" s="6">
        <v>0</v>
      </c>
    </row>
    <row r="1292" spans="1:16" x14ac:dyDescent="0.25">
      <c r="A1292" s="4" t="str">
        <f t="shared" si="20"/>
        <v>C1291</v>
      </c>
      <c r="B1292" s="4">
        <v>49</v>
      </c>
      <c r="C1292" s="5" t="str">
        <f>IF(recruitment_data3[[#This Row],[Gender]]=1,"Female","Male")</f>
        <v>Male</v>
      </c>
      <c r="D1292" s="5">
        <v>0</v>
      </c>
      <c r="E1292" s="5" t="str">
        <f>_xlfn.SWITCH(recruitment_data3[[#This Row],[EducationLevel]], 1,"Bachelor Type 1", 2,"Bachelor Type 2", 3,"Masters", 4,"PhD")</f>
        <v>Bachelor Type 2</v>
      </c>
      <c r="F1292" s="5">
        <v>2</v>
      </c>
      <c r="G1292" s="5">
        <v>11</v>
      </c>
      <c r="H1292" s="5">
        <v>5</v>
      </c>
      <c r="I1292" s="5">
        <v>20.197350445207761</v>
      </c>
      <c r="J1292" s="5">
        <v>11</v>
      </c>
      <c r="K1292" s="5">
        <v>70</v>
      </c>
      <c r="L1292" s="5">
        <v>8</v>
      </c>
      <c r="M1292" s="5" t="str">
        <f>_xlfn.SWITCH(recruitment_data3[[#This Row],[RecruitmentStrategy]], 1,"Aggressive", 2,"Moderate", 3,"Conservative")</f>
        <v>Moderate</v>
      </c>
      <c r="N1292" s="5">
        <v>2</v>
      </c>
      <c r="O1292" s="5" t="str">
        <f>IF(recruitment_data3[[#This Row],[HiringDecision]]=1,"Hired","Rejected")</f>
        <v>Rejected</v>
      </c>
      <c r="P1292" s="6">
        <v>0</v>
      </c>
    </row>
    <row r="1293" spans="1:16" x14ac:dyDescent="0.25">
      <c r="A1293" s="4" t="str">
        <f t="shared" si="20"/>
        <v>C1292</v>
      </c>
      <c r="B1293" s="4">
        <v>49</v>
      </c>
      <c r="C1293" s="5" t="str">
        <f>IF(recruitment_data3[[#This Row],[Gender]]=1,"Female","Male")</f>
        <v>Female</v>
      </c>
      <c r="D1293" s="5">
        <v>1</v>
      </c>
      <c r="E1293" s="5" t="str">
        <f>_xlfn.SWITCH(recruitment_data3[[#This Row],[EducationLevel]], 1,"Bachelor Type 1", 2,"Bachelor Type 2", 3,"Masters", 4,"PhD")</f>
        <v>Masters</v>
      </c>
      <c r="F1293" s="5">
        <v>3</v>
      </c>
      <c r="G1293" s="5">
        <v>0</v>
      </c>
      <c r="H1293" s="5">
        <v>1</v>
      </c>
      <c r="I1293" s="5">
        <v>23.222047883574938</v>
      </c>
      <c r="J1293" s="5">
        <v>68</v>
      </c>
      <c r="K1293" s="5">
        <v>92</v>
      </c>
      <c r="L1293" s="5">
        <v>61</v>
      </c>
      <c r="M1293" s="5" t="str">
        <f>_xlfn.SWITCH(recruitment_data3[[#This Row],[RecruitmentStrategy]], 1,"Aggressive", 2,"Moderate", 3,"Conservative")</f>
        <v>Conservative</v>
      </c>
      <c r="N1293" s="5">
        <v>3</v>
      </c>
      <c r="O1293" s="5" t="str">
        <f>IF(recruitment_data3[[#This Row],[HiringDecision]]=1,"Hired","Rejected")</f>
        <v>Rejected</v>
      </c>
      <c r="P1293" s="6">
        <v>0</v>
      </c>
    </row>
    <row r="1294" spans="1:16" x14ac:dyDescent="0.25">
      <c r="A1294" s="4" t="str">
        <f t="shared" si="20"/>
        <v>C1293</v>
      </c>
      <c r="B1294" s="4">
        <v>50</v>
      </c>
      <c r="C1294" s="5" t="str">
        <f>IF(recruitment_data3[[#This Row],[Gender]]=1,"Female","Male")</f>
        <v>Female</v>
      </c>
      <c r="D1294" s="5">
        <v>1</v>
      </c>
      <c r="E1294" s="5" t="str">
        <f>_xlfn.SWITCH(recruitment_data3[[#This Row],[EducationLevel]], 1,"Bachelor Type 1", 2,"Bachelor Type 2", 3,"Masters", 4,"PhD")</f>
        <v>Masters</v>
      </c>
      <c r="F1294" s="5">
        <v>3</v>
      </c>
      <c r="G1294" s="5">
        <v>12</v>
      </c>
      <c r="H1294" s="5">
        <v>5</v>
      </c>
      <c r="I1294" s="5">
        <v>8.0808622493308597</v>
      </c>
      <c r="J1294" s="5">
        <v>87</v>
      </c>
      <c r="K1294" s="5">
        <v>95</v>
      </c>
      <c r="L1294" s="5">
        <v>12</v>
      </c>
      <c r="M1294" s="5" t="str">
        <f>_xlfn.SWITCH(recruitment_data3[[#This Row],[RecruitmentStrategy]], 1,"Aggressive", 2,"Moderate", 3,"Conservative")</f>
        <v>Aggressive</v>
      </c>
      <c r="N1294" s="5">
        <v>1</v>
      </c>
      <c r="O1294" s="5" t="str">
        <f>IF(recruitment_data3[[#This Row],[HiringDecision]]=1,"Hired","Rejected")</f>
        <v>Hired</v>
      </c>
      <c r="P1294" s="6">
        <v>1</v>
      </c>
    </row>
    <row r="1295" spans="1:16" x14ac:dyDescent="0.25">
      <c r="A1295" s="4" t="str">
        <f t="shared" si="20"/>
        <v>C1294</v>
      </c>
      <c r="B1295" s="4">
        <v>43</v>
      </c>
      <c r="C1295" s="5" t="str">
        <f>IF(recruitment_data3[[#This Row],[Gender]]=1,"Female","Male")</f>
        <v>Female</v>
      </c>
      <c r="D1295" s="5">
        <v>1</v>
      </c>
      <c r="E1295" s="5" t="str">
        <f>_xlfn.SWITCH(recruitment_data3[[#This Row],[EducationLevel]], 1,"Bachelor Type 1", 2,"Bachelor Type 2", 3,"Masters", 4,"PhD")</f>
        <v>Bachelor Type 2</v>
      </c>
      <c r="F1295" s="5">
        <v>2</v>
      </c>
      <c r="G1295" s="5">
        <v>13</v>
      </c>
      <c r="H1295" s="5">
        <v>4</v>
      </c>
      <c r="I1295" s="5">
        <v>6.1248164594606402</v>
      </c>
      <c r="J1295" s="5">
        <v>5</v>
      </c>
      <c r="K1295" s="5">
        <v>31</v>
      </c>
      <c r="L1295" s="5">
        <v>68</v>
      </c>
      <c r="M1295" s="5" t="str">
        <f>_xlfn.SWITCH(recruitment_data3[[#This Row],[RecruitmentStrategy]], 1,"Aggressive", 2,"Moderate", 3,"Conservative")</f>
        <v>Conservative</v>
      </c>
      <c r="N1295" s="5">
        <v>3</v>
      </c>
      <c r="O1295" s="5" t="str">
        <f>IF(recruitment_data3[[#This Row],[HiringDecision]]=1,"Hired","Rejected")</f>
        <v>Rejected</v>
      </c>
      <c r="P1295" s="6">
        <v>0</v>
      </c>
    </row>
    <row r="1296" spans="1:16" x14ac:dyDescent="0.25">
      <c r="A1296" s="4" t="str">
        <f t="shared" si="20"/>
        <v>C1295</v>
      </c>
      <c r="B1296" s="4">
        <v>42</v>
      </c>
      <c r="C1296" s="5" t="str">
        <f>IF(recruitment_data3[[#This Row],[Gender]]=1,"Female","Male")</f>
        <v>Female</v>
      </c>
      <c r="D1296" s="5">
        <v>1</v>
      </c>
      <c r="E1296" s="5" t="str">
        <f>_xlfn.SWITCH(recruitment_data3[[#This Row],[EducationLevel]], 1,"Bachelor Type 1", 2,"Bachelor Type 2", 3,"Masters", 4,"PhD")</f>
        <v>Bachelor Type 2</v>
      </c>
      <c r="F1296" s="5">
        <v>2</v>
      </c>
      <c r="G1296" s="5">
        <v>8</v>
      </c>
      <c r="H1296" s="5">
        <v>1</v>
      </c>
      <c r="I1296" s="5">
        <v>27.773247482847708</v>
      </c>
      <c r="J1296" s="5">
        <v>88</v>
      </c>
      <c r="K1296" s="5">
        <v>52</v>
      </c>
      <c r="L1296" s="5">
        <v>40</v>
      </c>
      <c r="M1296" s="5" t="str">
        <f>_xlfn.SWITCH(recruitment_data3[[#This Row],[RecruitmentStrategy]], 1,"Aggressive", 2,"Moderate", 3,"Conservative")</f>
        <v>Moderate</v>
      </c>
      <c r="N1296" s="5">
        <v>2</v>
      </c>
      <c r="O1296" s="5" t="str">
        <f>IF(recruitment_data3[[#This Row],[HiringDecision]]=1,"Hired","Rejected")</f>
        <v>Rejected</v>
      </c>
      <c r="P1296" s="6">
        <v>0</v>
      </c>
    </row>
    <row r="1297" spans="1:16" x14ac:dyDescent="0.25">
      <c r="A1297" s="4" t="str">
        <f t="shared" si="20"/>
        <v>C1296</v>
      </c>
      <c r="B1297" s="4">
        <v>28</v>
      </c>
      <c r="C1297" s="5" t="str">
        <f>IF(recruitment_data3[[#This Row],[Gender]]=1,"Female","Male")</f>
        <v>Male</v>
      </c>
      <c r="D1297" s="5">
        <v>0</v>
      </c>
      <c r="E1297" s="5" t="str">
        <f>_xlfn.SWITCH(recruitment_data3[[#This Row],[EducationLevel]], 1,"Bachelor Type 1", 2,"Bachelor Type 2", 3,"Masters", 4,"PhD")</f>
        <v>Masters</v>
      </c>
      <c r="F1297" s="5">
        <v>3</v>
      </c>
      <c r="G1297" s="5">
        <v>8</v>
      </c>
      <c r="H1297" s="5">
        <v>4</v>
      </c>
      <c r="I1297" s="5">
        <v>5.2571818278041071</v>
      </c>
      <c r="J1297" s="5">
        <v>64</v>
      </c>
      <c r="K1297" s="5">
        <v>58</v>
      </c>
      <c r="L1297" s="5">
        <v>76</v>
      </c>
      <c r="M1297" s="5" t="str">
        <f>_xlfn.SWITCH(recruitment_data3[[#This Row],[RecruitmentStrategy]], 1,"Aggressive", 2,"Moderate", 3,"Conservative")</f>
        <v>Conservative</v>
      </c>
      <c r="N1297" s="5">
        <v>3</v>
      </c>
      <c r="O1297" s="5" t="str">
        <f>IF(recruitment_data3[[#This Row],[HiringDecision]]=1,"Hired","Rejected")</f>
        <v>Hired</v>
      </c>
      <c r="P1297" s="6">
        <v>1</v>
      </c>
    </row>
    <row r="1298" spans="1:16" x14ac:dyDescent="0.25">
      <c r="A1298" s="4" t="str">
        <f t="shared" si="20"/>
        <v>C1297</v>
      </c>
      <c r="B1298" s="4">
        <v>42</v>
      </c>
      <c r="C1298" s="5" t="str">
        <f>IF(recruitment_data3[[#This Row],[Gender]]=1,"Female","Male")</f>
        <v>Female</v>
      </c>
      <c r="D1298" s="5">
        <v>1</v>
      </c>
      <c r="E1298" s="5" t="str">
        <f>_xlfn.SWITCH(recruitment_data3[[#This Row],[EducationLevel]], 1,"Bachelor Type 1", 2,"Bachelor Type 2", 3,"Masters", 4,"PhD")</f>
        <v>Bachelor Type 1</v>
      </c>
      <c r="F1298" s="5">
        <v>1</v>
      </c>
      <c r="G1298" s="5">
        <v>7</v>
      </c>
      <c r="H1298" s="5">
        <v>1</v>
      </c>
      <c r="I1298" s="5">
        <v>16.147258394504199</v>
      </c>
      <c r="J1298" s="5">
        <v>24</v>
      </c>
      <c r="K1298" s="5">
        <v>68</v>
      </c>
      <c r="L1298" s="5">
        <v>0</v>
      </c>
      <c r="M1298" s="5" t="str">
        <f>_xlfn.SWITCH(recruitment_data3[[#This Row],[RecruitmentStrategy]], 1,"Aggressive", 2,"Moderate", 3,"Conservative")</f>
        <v>Moderate</v>
      </c>
      <c r="N1298" s="5">
        <v>2</v>
      </c>
      <c r="O1298" s="5" t="str">
        <f>IF(recruitment_data3[[#This Row],[HiringDecision]]=1,"Hired","Rejected")</f>
        <v>Rejected</v>
      </c>
      <c r="P1298" s="6">
        <v>0</v>
      </c>
    </row>
    <row r="1299" spans="1:16" x14ac:dyDescent="0.25">
      <c r="A1299" s="4" t="str">
        <f t="shared" si="20"/>
        <v>C1298</v>
      </c>
      <c r="B1299" s="4">
        <v>22</v>
      </c>
      <c r="C1299" s="5" t="str">
        <f>IF(recruitment_data3[[#This Row],[Gender]]=1,"Female","Male")</f>
        <v>Female</v>
      </c>
      <c r="D1299" s="5">
        <v>1</v>
      </c>
      <c r="E1299" s="5" t="str">
        <f>_xlfn.SWITCH(recruitment_data3[[#This Row],[EducationLevel]], 1,"Bachelor Type 1", 2,"Bachelor Type 2", 3,"Masters", 4,"PhD")</f>
        <v>Masters</v>
      </c>
      <c r="F1299" s="5">
        <v>3</v>
      </c>
      <c r="G1299" s="5">
        <v>7</v>
      </c>
      <c r="H1299" s="5">
        <v>5</v>
      </c>
      <c r="I1299" s="5">
        <v>38.229848798153796</v>
      </c>
      <c r="J1299" s="5">
        <v>0</v>
      </c>
      <c r="K1299" s="5">
        <v>61</v>
      </c>
      <c r="L1299" s="5">
        <v>88</v>
      </c>
      <c r="M1299" s="5" t="str">
        <f>_xlfn.SWITCH(recruitment_data3[[#This Row],[RecruitmentStrategy]], 1,"Aggressive", 2,"Moderate", 3,"Conservative")</f>
        <v>Aggressive</v>
      </c>
      <c r="N1299" s="5">
        <v>1</v>
      </c>
      <c r="O1299" s="5" t="str">
        <f>IF(recruitment_data3[[#This Row],[HiringDecision]]=1,"Hired","Rejected")</f>
        <v>Hired</v>
      </c>
      <c r="P1299" s="6">
        <v>1</v>
      </c>
    </row>
    <row r="1300" spans="1:16" x14ac:dyDescent="0.25">
      <c r="A1300" s="4" t="str">
        <f t="shared" si="20"/>
        <v>C1299</v>
      </c>
      <c r="B1300" s="4">
        <v>38</v>
      </c>
      <c r="C1300" s="5" t="str">
        <f>IF(recruitment_data3[[#This Row],[Gender]]=1,"Female","Male")</f>
        <v>Male</v>
      </c>
      <c r="D1300" s="5">
        <v>0</v>
      </c>
      <c r="E1300" s="5" t="str">
        <f>_xlfn.SWITCH(recruitment_data3[[#This Row],[EducationLevel]], 1,"Bachelor Type 1", 2,"Bachelor Type 2", 3,"Masters", 4,"PhD")</f>
        <v>Bachelor Type 1</v>
      </c>
      <c r="F1300" s="5">
        <v>1</v>
      </c>
      <c r="G1300" s="5">
        <v>10</v>
      </c>
      <c r="H1300" s="5">
        <v>2</v>
      </c>
      <c r="I1300" s="5">
        <v>49.22160897839904</v>
      </c>
      <c r="J1300" s="5">
        <v>31</v>
      </c>
      <c r="K1300" s="5">
        <v>3</v>
      </c>
      <c r="L1300" s="5">
        <v>46</v>
      </c>
      <c r="M1300" s="5" t="str">
        <f>_xlfn.SWITCH(recruitment_data3[[#This Row],[RecruitmentStrategy]], 1,"Aggressive", 2,"Moderate", 3,"Conservative")</f>
        <v>Conservative</v>
      </c>
      <c r="N1300" s="5">
        <v>3</v>
      </c>
      <c r="O1300" s="5" t="str">
        <f>IF(recruitment_data3[[#This Row],[HiringDecision]]=1,"Hired","Rejected")</f>
        <v>Rejected</v>
      </c>
      <c r="P1300" s="6">
        <v>0</v>
      </c>
    </row>
    <row r="1301" spans="1:16" x14ac:dyDescent="0.25">
      <c r="A1301" s="4" t="str">
        <f t="shared" si="20"/>
        <v>C1300</v>
      </c>
      <c r="B1301" s="4">
        <v>50</v>
      </c>
      <c r="C1301" s="5" t="str">
        <f>IF(recruitment_data3[[#This Row],[Gender]]=1,"Female","Male")</f>
        <v>Male</v>
      </c>
      <c r="D1301" s="5">
        <v>0</v>
      </c>
      <c r="E1301" s="5" t="str">
        <f>_xlfn.SWITCH(recruitment_data3[[#This Row],[EducationLevel]], 1,"Bachelor Type 1", 2,"Bachelor Type 2", 3,"Masters", 4,"PhD")</f>
        <v>Bachelor Type 2</v>
      </c>
      <c r="F1301" s="5">
        <v>2</v>
      </c>
      <c r="G1301" s="5">
        <v>13</v>
      </c>
      <c r="H1301" s="5">
        <v>3</v>
      </c>
      <c r="I1301" s="5">
        <v>36.893529027596429</v>
      </c>
      <c r="J1301" s="5">
        <v>2</v>
      </c>
      <c r="K1301" s="5">
        <v>85</v>
      </c>
      <c r="L1301" s="5">
        <v>3</v>
      </c>
      <c r="M1301" s="5" t="str">
        <f>_xlfn.SWITCH(recruitment_data3[[#This Row],[RecruitmentStrategy]], 1,"Aggressive", 2,"Moderate", 3,"Conservative")</f>
        <v>Conservative</v>
      </c>
      <c r="N1301" s="5">
        <v>3</v>
      </c>
      <c r="O1301" s="5" t="str">
        <f>IF(recruitment_data3[[#This Row],[HiringDecision]]=1,"Hired","Rejected")</f>
        <v>Rejected</v>
      </c>
      <c r="P1301" s="6">
        <v>0</v>
      </c>
    </row>
    <row r="1302" spans="1:16" x14ac:dyDescent="0.25">
      <c r="A1302" s="4" t="str">
        <f t="shared" si="20"/>
        <v>C1301</v>
      </c>
      <c r="B1302" s="4">
        <v>27</v>
      </c>
      <c r="C1302" s="5" t="str">
        <f>IF(recruitment_data3[[#This Row],[Gender]]=1,"Female","Male")</f>
        <v>Female</v>
      </c>
      <c r="D1302" s="5">
        <v>1</v>
      </c>
      <c r="E1302" s="5" t="str">
        <f>_xlfn.SWITCH(recruitment_data3[[#This Row],[EducationLevel]], 1,"Bachelor Type 1", 2,"Bachelor Type 2", 3,"Masters", 4,"PhD")</f>
        <v>Masters</v>
      </c>
      <c r="F1302" s="5">
        <v>3</v>
      </c>
      <c r="G1302" s="5">
        <v>11</v>
      </c>
      <c r="H1302" s="5">
        <v>2</v>
      </c>
      <c r="I1302" s="5">
        <v>50.631277422643514</v>
      </c>
      <c r="J1302" s="5">
        <v>48</v>
      </c>
      <c r="K1302" s="5">
        <v>17</v>
      </c>
      <c r="L1302" s="5">
        <v>99</v>
      </c>
      <c r="M1302" s="5" t="str">
        <f>_xlfn.SWITCH(recruitment_data3[[#This Row],[RecruitmentStrategy]], 1,"Aggressive", 2,"Moderate", 3,"Conservative")</f>
        <v>Moderate</v>
      </c>
      <c r="N1302" s="5">
        <v>2</v>
      </c>
      <c r="O1302" s="5" t="str">
        <f>IF(recruitment_data3[[#This Row],[HiringDecision]]=1,"Hired","Rejected")</f>
        <v>Rejected</v>
      </c>
      <c r="P1302" s="6">
        <v>0</v>
      </c>
    </row>
    <row r="1303" spans="1:16" x14ac:dyDescent="0.25">
      <c r="A1303" s="4" t="str">
        <f t="shared" si="20"/>
        <v>C1302</v>
      </c>
      <c r="B1303" s="4">
        <v>24</v>
      </c>
      <c r="C1303" s="5" t="str">
        <f>IF(recruitment_data3[[#This Row],[Gender]]=1,"Female","Male")</f>
        <v>Female</v>
      </c>
      <c r="D1303" s="5">
        <v>1</v>
      </c>
      <c r="E1303" s="5" t="str">
        <f>_xlfn.SWITCH(recruitment_data3[[#This Row],[EducationLevel]], 1,"Bachelor Type 1", 2,"Bachelor Type 2", 3,"Masters", 4,"PhD")</f>
        <v>Bachelor Type 2</v>
      </c>
      <c r="F1303" s="5">
        <v>2</v>
      </c>
      <c r="G1303" s="5">
        <v>0</v>
      </c>
      <c r="H1303" s="5">
        <v>5</v>
      </c>
      <c r="I1303" s="5">
        <v>35.916898563970136</v>
      </c>
      <c r="J1303" s="5">
        <v>18</v>
      </c>
      <c r="K1303" s="5">
        <v>98</v>
      </c>
      <c r="L1303" s="5">
        <v>62</v>
      </c>
      <c r="M1303" s="5" t="str">
        <f>_xlfn.SWITCH(recruitment_data3[[#This Row],[RecruitmentStrategy]], 1,"Aggressive", 2,"Moderate", 3,"Conservative")</f>
        <v>Aggressive</v>
      </c>
      <c r="N1303" s="5">
        <v>1</v>
      </c>
      <c r="O1303" s="5" t="str">
        <f>IF(recruitment_data3[[#This Row],[HiringDecision]]=1,"Hired","Rejected")</f>
        <v>Hired</v>
      </c>
      <c r="P1303" s="6">
        <v>1</v>
      </c>
    </row>
    <row r="1304" spans="1:16" x14ac:dyDescent="0.25">
      <c r="A1304" s="4" t="str">
        <f t="shared" si="20"/>
        <v>C1303</v>
      </c>
      <c r="B1304" s="4">
        <v>23</v>
      </c>
      <c r="C1304" s="5" t="str">
        <f>IF(recruitment_data3[[#This Row],[Gender]]=1,"Female","Male")</f>
        <v>Male</v>
      </c>
      <c r="D1304" s="5">
        <v>0</v>
      </c>
      <c r="E1304" s="5" t="str">
        <f>_xlfn.SWITCH(recruitment_data3[[#This Row],[EducationLevel]], 1,"Bachelor Type 1", 2,"Bachelor Type 2", 3,"Masters", 4,"PhD")</f>
        <v>Bachelor Type 2</v>
      </c>
      <c r="F1304" s="5">
        <v>2</v>
      </c>
      <c r="G1304" s="5">
        <v>10</v>
      </c>
      <c r="H1304" s="5">
        <v>1</v>
      </c>
      <c r="I1304" s="5">
        <v>15.689723532716375</v>
      </c>
      <c r="J1304" s="5">
        <v>59</v>
      </c>
      <c r="K1304" s="5">
        <v>80</v>
      </c>
      <c r="L1304" s="5">
        <v>51</v>
      </c>
      <c r="M1304" s="5" t="str">
        <f>_xlfn.SWITCH(recruitment_data3[[#This Row],[RecruitmentStrategy]], 1,"Aggressive", 2,"Moderate", 3,"Conservative")</f>
        <v>Aggressive</v>
      </c>
      <c r="N1304" s="5">
        <v>1</v>
      </c>
      <c r="O1304" s="5" t="str">
        <f>IF(recruitment_data3[[#This Row],[HiringDecision]]=1,"Hired","Rejected")</f>
        <v>Hired</v>
      </c>
      <c r="P1304" s="6">
        <v>1</v>
      </c>
    </row>
    <row r="1305" spans="1:16" x14ac:dyDescent="0.25">
      <c r="A1305" s="4" t="str">
        <f t="shared" si="20"/>
        <v>C1304</v>
      </c>
      <c r="B1305" s="4">
        <v>43</v>
      </c>
      <c r="C1305" s="5" t="str">
        <f>IF(recruitment_data3[[#This Row],[Gender]]=1,"Female","Male")</f>
        <v>Female</v>
      </c>
      <c r="D1305" s="5">
        <v>1</v>
      </c>
      <c r="E1305" s="5" t="str">
        <f>_xlfn.SWITCH(recruitment_data3[[#This Row],[EducationLevel]], 1,"Bachelor Type 1", 2,"Bachelor Type 2", 3,"Masters", 4,"PhD")</f>
        <v>Bachelor Type 2</v>
      </c>
      <c r="F1305" s="5">
        <v>2</v>
      </c>
      <c r="G1305" s="5">
        <v>7</v>
      </c>
      <c r="H1305" s="5">
        <v>2</v>
      </c>
      <c r="I1305" s="5">
        <v>34.602627025268092</v>
      </c>
      <c r="J1305" s="5">
        <v>28</v>
      </c>
      <c r="K1305" s="5">
        <v>55</v>
      </c>
      <c r="L1305" s="5">
        <v>9</v>
      </c>
      <c r="M1305" s="5" t="str">
        <f>_xlfn.SWITCH(recruitment_data3[[#This Row],[RecruitmentStrategy]], 1,"Aggressive", 2,"Moderate", 3,"Conservative")</f>
        <v>Moderate</v>
      </c>
      <c r="N1305" s="5">
        <v>2</v>
      </c>
      <c r="O1305" s="5" t="str">
        <f>IF(recruitment_data3[[#This Row],[HiringDecision]]=1,"Hired","Rejected")</f>
        <v>Rejected</v>
      </c>
      <c r="P1305" s="6">
        <v>0</v>
      </c>
    </row>
    <row r="1306" spans="1:16" x14ac:dyDescent="0.25">
      <c r="A1306" s="4" t="str">
        <f t="shared" si="20"/>
        <v>C1305</v>
      </c>
      <c r="B1306" s="4">
        <v>50</v>
      </c>
      <c r="C1306" s="5" t="str">
        <f>IF(recruitment_data3[[#This Row],[Gender]]=1,"Female","Male")</f>
        <v>Male</v>
      </c>
      <c r="D1306" s="5">
        <v>0</v>
      </c>
      <c r="E1306" s="5" t="str">
        <f>_xlfn.SWITCH(recruitment_data3[[#This Row],[EducationLevel]], 1,"Bachelor Type 1", 2,"Bachelor Type 2", 3,"Masters", 4,"PhD")</f>
        <v>Masters</v>
      </c>
      <c r="F1306" s="5">
        <v>3</v>
      </c>
      <c r="G1306" s="5">
        <v>9</v>
      </c>
      <c r="H1306" s="5">
        <v>5</v>
      </c>
      <c r="I1306" s="5">
        <v>36.107838259845195</v>
      </c>
      <c r="J1306" s="5">
        <v>49</v>
      </c>
      <c r="K1306" s="5">
        <v>23</v>
      </c>
      <c r="L1306" s="5">
        <v>27</v>
      </c>
      <c r="M1306" s="5" t="str">
        <f>_xlfn.SWITCH(recruitment_data3[[#This Row],[RecruitmentStrategy]], 1,"Aggressive", 2,"Moderate", 3,"Conservative")</f>
        <v>Aggressive</v>
      </c>
      <c r="N1306" s="5">
        <v>1</v>
      </c>
      <c r="O1306" s="5" t="str">
        <f>IF(recruitment_data3[[#This Row],[HiringDecision]]=1,"Hired","Rejected")</f>
        <v>Hired</v>
      </c>
      <c r="P1306" s="6">
        <v>1</v>
      </c>
    </row>
    <row r="1307" spans="1:16" x14ac:dyDescent="0.25">
      <c r="A1307" s="4" t="str">
        <f t="shared" si="20"/>
        <v>C1306</v>
      </c>
      <c r="B1307" s="4">
        <v>25</v>
      </c>
      <c r="C1307" s="5" t="str">
        <f>IF(recruitment_data3[[#This Row],[Gender]]=1,"Female","Male")</f>
        <v>Male</v>
      </c>
      <c r="D1307" s="5">
        <v>0</v>
      </c>
      <c r="E1307" s="5" t="str">
        <f>_xlfn.SWITCH(recruitment_data3[[#This Row],[EducationLevel]], 1,"Bachelor Type 1", 2,"Bachelor Type 2", 3,"Masters", 4,"PhD")</f>
        <v>Bachelor Type 1</v>
      </c>
      <c r="F1307" s="5">
        <v>1</v>
      </c>
      <c r="G1307" s="5">
        <v>13</v>
      </c>
      <c r="H1307" s="5">
        <v>4</v>
      </c>
      <c r="I1307" s="5">
        <v>19.586349230823028</v>
      </c>
      <c r="J1307" s="5">
        <v>1</v>
      </c>
      <c r="K1307" s="5">
        <v>65</v>
      </c>
      <c r="L1307" s="5">
        <v>5</v>
      </c>
      <c r="M1307" s="5" t="str">
        <f>_xlfn.SWITCH(recruitment_data3[[#This Row],[RecruitmentStrategy]], 1,"Aggressive", 2,"Moderate", 3,"Conservative")</f>
        <v>Moderate</v>
      </c>
      <c r="N1307" s="5">
        <v>2</v>
      </c>
      <c r="O1307" s="5" t="str">
        <f>IF(recruitment_data3[[#This Row],[HiringDecision]]=1,"Hired","Rejected")</f>
        <v>Rejected</v>
      </c>
      <c r="P1307" s="6">
        <v>0</v>
      </c>
    </row>
    <row r="1308" spans="1:16" x14ac:dyDescent="0.25">
      <c r="A1308" s="4" t="str">
        <f t="shared" si="20"/>
        <v>C1307</v>
      </c>
      <c r="B1308" s="4">
        <v>21</v>
      </c>
      <c r="C1308" s="5" t="str">
        <f>IF(recruitment_data3[[#This Row],[Gender]]=1,"Female","Male")</f>
        <v>Male</v>
      </c>
      <c r="D1308" s="5">
        <v>0</v>
      </c>
      <c r="E1308" s="5" t="str">
        <f>_xlfn.SWITCH(recruitment_data3[[#This Row],[EducationLevel]], 1,"Bachelor Type 1", 2,"Bachelor Type 2", 3,"Masters", 4,"PhD")</f>
        <v>PhD</v>
      </c>
      <c r="F1308" s="5">
        <v>4</v>
      </c>
      <c r="G1308" s="5">
        <v>2</v>
      </c>
      <c r="H1308" s="5">
        <v>3</v>
      </c>
      <c r="I1308" s="5">
        <v>1.8856925304694507</v>
      </c>
      <c r="J1308" s="5">
        <v>72</v>
      </c>
      <c r="K1308" s="5">
        <v>12</v>
      </c>
      <c r="L1308" s="5">
        <v>26</v>
      </c>
      <c r="M1308" s="5" t="str">
        <f>_xlfn.SWITCH(recruitment_data3[[#This Row],[RecruitmentStrategy]], 1,"Aggressive", 2,"Moderate", 3,"Conservative")</f>
        <v>Moderate</v>
      </c>
      <c r="N1308" s="5">
        <v>2</v>
      </c>
      <c r="O1308" s="5" t="str">
        <f>IF(recruitment_data3[[#This Row],[HiringDecision]]=1,"Hired","Rejected")</f>
        <v>Rejected</v>
      </c>
      <c r="P1308" s="6">
        <v>0</v>
      </c>
    </row>
    <row r="1309" spans="1:16" x14ac:dyDescent="0.25">
      <c r="A1309" s="4" t="str">
        <f t="shared" si="20"/>
        <v>C1308</v>
      </c>
      <c r="B1309" s="4">
        <v>39</v>
      </c>
      <c r="C1309" s="5" t="str">
        <f>IF(recruitment_data3[[#This Row],[Gender]]=1,"Female","Male")</f>
        <v>Male</v>
      </c>
      <c r="D1309" s="5">
        <v>0</v>
      </c>
      <c r="E1309" s="5" t="str">
        <f>_xlfn.SWITCH(recruitment_data3[[#This Row],[EducationLevel]], 1,"Bachelor Type 1", 2,"Bachelor Type 2", 3,"Masters", 4,"PhD")</f>
        <v>Bachelor Type 1</v>
      </c>
      <c r="F1309" s="5">
        <v>1</v>
      </c>
      <c r="G1309" s="5">
        <v>10</v>
      </c>
      <c r="H1309" s="5">
        <v>2</v>
      </c>
      <c r="I1309" s="5">
        <v>36.159989238774344</v>
      </c>
      <c r="J1309" s="5">
        <v>55</v>
      </c>
      <c r="K1309" s="5">
        <v>61</v>
      </c>
      <c r="L1309" s="5">
        <v>11</v>
      </c>
      <c r="M1309" s="5" t="str">
        <f>_xlfn.SWITCH(recruitment_data3[[#This Row],[RecruitmentStrategy]], 1,"Aggressive", 2,"Moderate", 3,"Conservative")</f>
        <v>Moderate</v>
      </c>
      <c r="N1309" s="5">
        <v>2</v>
      </c>
      <c r="O1309" s="5" t="str">
        <f>IF(recruitment_data3[[#This Row],[HiringDecision]]=1,"Hired","Rejected")</f>
        <v>Rejected</v>
      </c>
      <c r="P1309" s="6">
        <v>0</v>
      </c>
    </row>
    <row r="1310" spans="1:16" x14ac:dyDescent="0.25">
      <c r="A1310" s="4" t="str">
        <f t="shared" si="20"/>
        <v>C1309</v>
      </c>
      <c r="B1310" s="4">
        <v>47</v>
      </c>
      <c r="C1310" s="5" t="str">
        <f>IF(recruitment_data3[[#This Row],[Gender]]=1,"Female","Male")</f>
        <v>Female</v>
      </c>
      <c r="D1310" s="5">
        <v>1</v>
      </c>
      <c r="E1310" s="5" t="str">
        <f>_xlfn.SWITCH(recruitment_data3[[#This Row],[EducationLevel]], 1,"Bachelor Type 1", 2,"Bachelor Type 2", 3,"Masters", 4,"PhD")</f>
        <v>PhD</v>
      </c>
      <c r="F1310" s="5">
        <v>4</v>
      </c>
      <c r="G1310" s="5">
        <v>6</v>
      </c>
      <c r="H1310" s="5">
        <v>1</v>
      </c>
      <c r="I1310" s="5">
        <v>2.0850047637770812</v>
      </c>
      <c r="J1310" s="5">
        <v>16</v>
      </c>
      <c r="K1310" s="5">
        <v>53</v>
      </c>
      <c r="L1310" s="5">
        <v>61</v>
      </c>
      <c r="M1310" s="5" t="str">
        <f>_xlfn.SWITCH(recruitment_data3[[#This Row],[RecruitmentStrategy]], 1,"Aggressive", 2,"Moderate", 3,"Conservative")</f>
        <v>Aggressive</v>
      </c>
      <c r="N1310" s="5">
        <v>1</v>
      </c>
      <c r="O1310" s="5" t="str">
        <f>IF(recruitment_data3[[#This Row],[HiringDecision]]=1,"Hired","Rejected")</f>
        <v>Hired</v>
      </c>
      <c r="P1310" s="6">
        <v>1</v>
      </c>
    </row>
    <row r="1311" spans="1:16" x14ac:dyDescent="0.25">
      <c r="A1311" s="4" t="str">
        <f t="shared" si="20"/>
        <v>C1310</v>
      </c>
      <c r="B1311" s="4">
        <v>30</v>
      </c>
      <c r="C1311" s="5" t="str">
        <f>IF(recruitment_data3[[#This Row],[Gender]]=1,"Female","Male")</f>
        <v>Male</v>
      </c>
      <c r="D1311" s="5">
        <v>0</v>
      </c>
      <c r="E1311" s="5" t="str">
        <f>_xlfn.SWITCH(recruitment_data3[[#This Row],[EducationLevel]], 1,"Bachelor Type 1", 2,"Bachelor Type 2", 3,"Masters", 4,"PhD")</f>
        <v>PhD</v>
      </c>
      <c r="F1311" s="5">
        <v>4</v>
      </c>
      <c r="G1311" s="5">
        <v>10</v>
      </c>
      <c r="H1311" s="5">
        <v>4</v>
      </c>
      <c r="I1311" s="5">
        <v>32.559403903003556</v>
      </c>
      <c r="J1311" s="5">
        <v>59</v>
      </c>
      <c r="K1311" s="5">
        <v>14</v>
      </c>
      <c r="L1311" s="5">
        <v>51</v>
      </c>
      <c r="M1311" s="5" t="str">
        <f>_xlfn.SWITCH(recruitment_data3[[#This Row],[RecruitmentStrategy]], 1,"Aggressive", 2,"Moderate", 3,"Conservative")</f>
        <v>Moderate</v>
      </c>
      <c r="N1311" s="5">
        <v>2</v>
      </c>
      <c r="O1311" s="5" t="str">
        <f>IF(recruitment_data3[[#This Row],[HiringDecision]]=1,"Hired","Rejected")</f>
        <v>Rejected</v>
      </c>
      <c r="P1311" s="6">
        <v>0</v>
      </c>
    </row>
    <row r="1312" spans="1:16" x14ac:dyDescent="0.25">
      <c r="A1312" s="4" t="str">
        <f t="shared" si="20"/>
        <v>C1311</v>
      </c>
      <c r="B1312" s="4">
        <v>23</v>
      </c>
      <c r="C1312" s="5" t="str">
        <f>IF(recruitment_data3[[#This Row],[Gender]]=1,"Female","Male")</f>
        <v>Male</v>
      </c>
      <c r="D1312" s="5">
        <v>0</v>
      </c>
      <c r="E1312" s="5" t="str">
        <f>_xlfn.SWITCH(recruitment_data3[[#This Row],[EducationLevel]], 1,"Bachelor Type 1", 2,"Bachelor Type 2", 3,"Masters", 4,"PhD")</f>
        <v>Bachelor Type 2</v>
      </c>
      <c r="F1312" s="5">
        <v>2</v>
      </c>
      <c r="G1312" s="5">
        <v>14</v>
      </c>
      <c r="H1312" s="5">
        <v>5</v>
      </c>
      <c r="I1312" s="5">
        <v>9.1808244371277539</v>
      </c>
      <c r="J1312" s="5">
        <v>35</v>
      </c>
      <c r="K1312" s="5">
        <v>68</v>
      </c>
      <c r="L1312" s="5">
        <v>47</v>
      </c>
      <c r="M1312" s="5" t="str">
        <f>_xlfn.SWITCH(recruitment_data3[[#This Row],[RecruitmentStrategy]], 1,"Aggressive", 2,"Moderate", 3,"Conservative")</f>
        <v>Moderate</v>
      </c>
      <c r="N1312" s="5">
        <v>2</v>
      </c>
      <c r="O1312" s="5" t="str">
        <f>IF(recruitment_data3[[#This Row],[HiringDecision]]=1,"Hired","Rejected")</f>
        <v>Rejected</v>
      </c>
      <c r="P1312" s="6">
        <v>0</v>
      </c>
    </row>
    <row r="1313" spans="1:16" x14ac:dyDescent="0.25">
      <c r="A1313" s="4" t="str">
        <f t="shared" si="20"/>
        <v>C1312</v>
      </c>
      <c r="B1313" s="4">
        <v>34</v>
      </c>
      <c r="C1313" s="5" t="str">
        <f>IF(recruitment_data3[[#This Row],[Gender]]=1,"Female","Male")</f>
        <v>Female</v>
      </c>
      <c r="D1313" s="5">
        <v>1</v>
      </c>
      <c r="E1313" s="5" t="str">
        <f>_xlfn.SWITCH(recruitment_data3[[#This Row],[EducationLevel]], 1,"Bachelor Type 1", 2,"Bachelor Type 2", 3,"Masters", 4,"PhD")</f>
        <v>Bachelor Type 2</v>
      </c>
      <c r="F1313" s="5">
        <v>2</v>
      </c>
      <c r="G1313" s="5">
        <v>0</v>
      </c>
      <c r="H1313" s="5">
        <v>3</v>
      </c>
      <c r="I1313" s="5">
        <v>29.280176387402168</v>
      </c>
      <c r="J1313" s="5">
        <v>60</v>
      </c>
      <c r="K1313" s="5">
        <v>2</v>
      </c>
      <c r="L1313" s="5">
        <v>66</v>
      </c>
      <c r="M1313" s="5" t="str">
        <f>_xlfn.SWITCH(recruitment_data3[[#This Row],[RecruitmentStrategy]], 1,"Aggressive", 2,"Moderate", 3,"Conservative")</f>
        <v>Moderate</v>
      </c>
      <c r="N1313" s="5">
        <v>2</v>
      </c>
      <c r="O1313" s="5" t="str">
        <f>IF(recruitment_data3[[#This Row],[HiringDecision]]=1,"Hired","Rejected")</f>
        <v>Rejected</v>
      </c>
      <c r="P1313" s="6">
        <v>0</v>
      </c>
    </row>
    <row r="1314" spans="1:16" x14ac:dyDescent="0.25">
      <c r="A1314" s="4" t="str">
        <f t="shared" si="20"/>
        <v>C1313</v>
      </c>
      <c r="B1314" s="4">
        <v>25</v>
      </c>
      <c r="C1314" s="5" t="str">
        <f>IF(recruitment_data3[[#This Row],[Gender]]=1,"Female","Male")</f>
        <v>Male</v>
      </c>
      <c r="D1314" s="5">
        <v>0</v>
      </c>
      <c r="E1314" s="5" t="str">
        <f>_xlfn.SWITCH(recruitment_data3[[#This Row],[EducationLevel]], 1,"Bachelor Type 1", 2,"Bachelor Type 2", 3,"Masters", 4,"PhD")</f>
        <v>Bachelor Type 2</v>
      </c>
      <c r="F1314" s="5">
        <v>2</v>
      </c>
      <c r="G1314" s="5">
        <v>0</v>
      </c>
      <c r="H1314" s="5">
        <v>1</v>
      </c>
      <c r="I1314" s="5">
        <v>26.195651269030002</v>
      </c>
      <c r="J1314" s="5">
        <v>16</v>
      </c>
      <c r="K1314" s="5">
        <v>36</v>
      </c>
      <c r="L1314" s="5">
        <v>45</v>
      </c>
      <c r="M1314" s="5" t="str">
        <f>_xlfn.SWITCH(recruitment_data3[[#This Row],[RecruitmentStrategy]], 1,"Aggressive", 2,"Moderate", 3,"Conservative")</f>
        <v>Moderate</v>
      </c>
      <c r="N1314" s="5">
        <v>2</v>
      </c>
      <c r="O1314" s="5" t="str">
        <f>IF(recruitment_data3[[#This Row],[HiringDecision]]=1,"Hired","Rejected")</f>
        <v>Rejected</v>
      </c>
      <c r="P1314" s="6">
        <v>0</v>
      </c>
    </row>
    <row r="1315" spans="1:16" x14ac:dyDescent="0.25">
      <c r="A1315" s="4" t="str">
        <f t="shared" si="20"/>
        <v>C1314</v>
      </c>
      <c r="B1315" s="4">
        <v>41</v>
      </c>
      <c r="C1315" s="5" t="str">
        <f>IF(recruitment_data3[[#This Row],[Gender]]=1,"Female","Male")</f>
        <v>Female</v>
      </c>
      <c r="D1315" s="5">
        <v>1</v>
      </c>
      <c r="E1315" s="5" t="str">
        <f>_xlfn.SWITCH(recruitment_data3[[#This Row],[EducationLevel]], 1,"Bachelor Type 1", 2,"Bachelor Type 2", 3,"Masters", 4,"PhD")</f>
        <v>Bachelor Type 2</v>
      </c>
      <c r="F1315" s="5">
        <v>2</v>
      </c>
      <c r="G1315" s="5">
        <v>15</v>
      </c>
      <c r="H1315" s="5">
        <v>5</v>
      </c>
      <c r="I1315" s="5">
        <v>1.6756821153091286</v>
      </c>
      <c r="J1315" s="5">
        <v>48</v>
      </c>
      <c r="K1315" s="5">
        <v>36</v>
      </c>
      <c r="L1315" s="5">
        <v>96</v>
      </c>
      <c r="M1315" s="5" t="str">
        <f>_xlfn.SWITCH(recruitment_data3[[#This Row],[RecruitmentStrategy]], 1,"Aggressive", 2,"Moderate", 3,"Conservative")</f>
        <v>Moderate</v>
      </c>
      <c r="N1315" s="5">
        <v>2</v>
      </c>
      <c r="O1315" s="5" t="str">
        <f>IF(recruitment_data3[[#This Row],[HiringDecision]]=1,"Hired","Rejected")</f>
        <v>Rejected</v>
      </c>
      <c r="P1315" s="6">
        <v>0</v>
      </c>
    </row>
    <row r="1316" spans="1:16" x14ac:dyDescent="0.25">
      <c r="A1316" s="4" t="str">
        <f t="shared" si="20"/>
        <v>C1315</v>
      </c>
      <c r="B1316" s="4">
        <v>36</v>
      </c>
      <c r="C1316" s="5" t="str">
        <f>IF(recruitment_data3[[#This Row],[Gender]]=1,"Female","Male")</f>
        <v>Female</v>
      </c>
      <c r="D1316" s="5">
        <v>1</v>
      </c>
      <c r="E1316" s="5" t="str">
        <f>_xlfn.SWITCH(recruitment_data3[[#This Row],[EducationLevel]], 1,"Bachelor Type 1", 2,"Bachelor Type 2", 3,"Masters", 4,"PhD")</f>
        <v>Bachelor Type 1</v>
      </c>
      <c r="F1316" s="5">
        <v>1</v>
      </c>
      <c r="G1316" s="5">
        <v>9</v>
      </c>
      <c r="H1316" s="5">
        <v>5</v>
      </c>
      <c r="I1316" s="5">
        <v>19.143290849755171</v>
      </c>
      <c r="J1316" s="5">
        <v>75</v>
      </c>
      <c r="K1316" s="5">
        <v>100</v>
      </c>
      <c r="L1316" s="5">
        <v>73</v>
      </c>
      <c r="M1316" s="5" t="str">
        <f>_xlfn.SWITCH(recruitment_data3[[#This Row],[RecruitmentStrategy]], 1,"Aggressive", 2,"Moderate", 3,"Conservative")</f>
        <v>Moderate</v>
      </c>
      <c r="N1316" s="5">
        <v>2</v>
      </c>
      <c r="O1316" s="5" t="str">
        <f>IF(recruitment_data3[[#This Row],[HiringDecision]]=1,"Hired","Rejected")</f>
        <v>Hired</v>
      </c>
      <c r="P1316" s="6">
        <v>1</v>
      </c>
    </row>
    <row r="1317" spans="1:16" x14ac:dyDescent="0.25">
      <c r="A1317" s="4" t="str">
        <f t="shared" si="20"/>
        <v>C1316</v>
      </c>
      <c r="B1317" s="4">
        <v>49</v>
      </c>
      <c r="C1317" s="5" t="str">
        <f>IF(recruitment_data3[[#This Row],[Gender]]=1,"Female","Male")</f>
        <v>Female</v>
      </c>
      <c r="D1317" s="5">
        <v>1</v>
      </c>
      <c r="E1317" s="5" t="str">
        <f>_xlfn.SWITCH(recruitment_data3[[#This Row],[EducationLevel]], 1,"Bachelor Type 1", 2,"Bachelor Type 2", 3,"Masters", 4,"PhD")</f>
        <v>Bachelor Type 1</v>
      </c>
      <c r="F1317" s="5">
        <v>1</v>
      </c>
      <c r="G1317" s="5">
        <v>12</v>
      </c>
      <c r="H1317" s="5">
        <v>2</v>
      </c>
      <c r="I1317" s="5">
        <v>31.054558369815137</v>
      </c>
      <c r="J1317" s="5">
        <v>59</v>
      </c>
      <c r="K1317" s="5">
        <v>2</v>
      </c>
      <c r="L1317" s="5">
        <v>94</v>
      </c>
      <c r="M1317" s="5" t="str">
        <f>_xlfn.SWITCH(recruitment_data3[[#This Row],[RecruitmentStrategy]], 1,"Aggressive", 2,"Moderate", 3,"Conservative")</f>
        <v>Conservative</v>
      </c>
      <c r="N1317" s="5">
        <v>3</v>
      </c>
      <c r="O1317" s="5" t="str">
        <f>IF(recruitment_data3[[#This Row],[HiringDecision]]=1,"Hired","Rejected")</f>
        <v>Rejected</v>
      </c>
      <c r="P1317" s="6">
        <v>0</v>
      </c>
    </row>
    <row r="1318" spans="1:16" x14ac:dyDescent="0.25">
      <c r="A1318" s="4" t="str">
        <f t="shared" si="20"/>
        <v>C1317</v>
      </c>
      <c r="B1318" s="4">
        <v>43</v>
      </c>
      <c r="C1318" s="5" t="str">
        <f>IF(recruitment_data3[[#This Row],[Gender]]=1,"Female","Male")</f>
        <v>Male</v>
      </c>
      <c r="D1318" s="5">
        <v>0</v>
      </c>
      <c r="E1318" s="5" t="str">
        <f>_xlfn.SWITCH(recruitment_data3[[#This Row],[EducationLevel]], 1,"Bachelor Type 1", 2,"Bachelor Type 2", 3,"Masters", 4,"PhD")</f>
        <v>Bachelor Type 1</v>
      </c>
      <c r="F1318" s="5">
        <v>1</v>
      </c>
      <c r="G1318" s="5">
        <v>4</v>
      </c>
      <c r="H1318" s="5">
        <v>2</v>
      </c>
      <c r="I1318" s="5">
        <v>43.430327594938987</v>
      </c>
      <c r="J1318" s="5">
        <v>19</v>
      </c>
      <c r="K1318" s="5">
        <v>62</v>
      </c>
      <c r="L1318" s="5">
        <v>14</v>
      </c>
      <c r="M1318" s="5" t="str">
        <f>_xlfn.SWITCH(recruitment_data3[[#This Row],[RecruitmentStrategy]], 1,"Aggressive", 2,"Moderate", 3,"Conservative")</f>
        <v>Moderate</v>
      </c>
      <c r="N1318" s="5">
        <v>2</v>
      </c>
      <c r="O1318" s="5" t="str">
        <f>IF(recruitment_data3[[#This Row],[HiringDecision]]=1,"Hired","Rejected")</f>
        <v>Rejected</v>
      </c>
      <c r="P1318" s="6">
        <v>0</v>
      </c>
    </row>
    <row r="1319" spans="1:16" x14ac:dyDescent="0.25">
      <c r="A1319" s="4" t="str">
        <f t="shared" si="20"/>
        <v>C1318</v>
      </c>
      <c r="B1319" s="4">
        <v>25</v>
      </c>
      <c r="C1319" s="5" t="str">
        <f>IF(recruitment_data3[[#This Row],[Gender]]=1,"Female","Male")</f>
        <v>Female</v>
      </c>
      <c r="D1319" s="5">
        <v>1</v>
      </c>
      <c r="E1319" s="5" t="str">
        <f>_xlfn.SWITCH(recruitment_data3[[#This Row],[EducationLevel]], 1,"Bachelor Type 1", 2,"Bachelor Type 2", 3,"Masters", 4,"PhD")</f>
        <v>Bachelor Type 2</v>
      </c>
      <c r="F1319" s="5">
        <v>2</v>
      </c>
      <c r="G1319" s="5">
        <v>4</v>
      </c>
      <c r="H1319" s="5">
        <v>1</v>
      </c>
      <c r="I1319" s="5">
        <v>45.432105691825861</v>
      </c>
      <c r="J1319" s="5">
        <v>49</v>
      </c>
      <c r="K1319" s="5">
        <v>34</v>
      </c>
      <c r="L1319" s="5">
        <v>70</v>
      </c>
      <c r="M1319" s="5" t="str">
        <f>_xlfn.SWITCH(recruitment_data3[[#This Row],[RecruitmentStrategy]], 1,"Aggressive", 2,"Moderate", 3,"Conservative")</f>
        <v>Conservative</v>
      </c>
      <c r="N1319" s="5">
        <v>3</v>
      </c>
      <c r="O1319" s="5" t="str">
        <f>IF(recruitment_data3[[#This Row],[HiringDecision]]=1,"Hired","Rejected")</f>
        <v>Rejected</v>
      </c>
      <c r="P1319" s="6">
        <v>0</v>
      </c>
    </row>
    <row r="1320" spans="1:16" x14ac:dyDescent="0.25">
      <c r="A1320" s="4" t="str">
        <f t="shared" si="20"/>
        <v>C1319</v>
      </c>
      <c r="B1320" s="4">
        <v>38</v>
      </c>
      <c r="C1320" s="5" t="str">
        <f>IF(recruitment_data3[[#This Row],[Gender]]=1,"Female","Male")</f>
        <v>Female</v>
      </c>
      <c r="D1320" s="5">
        <v>1</v>
      </c>
      <c r="E1320" s="5" t="str">
        <f>_xlfn.SWITCH(recruitment_data3[[#This Row],[EducationLevel]], 1,"Bachelor Type 1", 2,"Bachelor Type 2", 3,"Masters", 4,"PhD")</f>
        <v>Bachelor Type 2</v>
      </c>
      <c r="F1320" s="5">
        <v>2</v>
      </c>
      <c r="G1320" s="5">
        <v>7</v>
      </c>
      <c r="H1320" s="5">
        <v>5</v>
      </c>
      <c r="I1320" s="5">
        <v>25.192498501661163</v>
      </c>
      <c r="J1320" s="5">
        <v>2</v>
      </c>
      <c r="K1320" s="5">
        <v>51</v>
      </c>
      <c r="L1320" s="5">
        <v>35</v>
      </c>
      <c r="M1320" s="5" t="str">
        <f>_xlfn.SWITCH(recruitment_data3[[#This Row],[RecruitmentStrategy]], 1,"Aggressive", 2,"Moderate", 3,"Conservative")</f>
        <v>Moderate</v>
      </c>
      <c r="N1320" s="5">
        <v>2</v>
      </c>
      <c r="O1320" s="5" t="str">
        <f>IF(recruitment_data3[[#This Row],[HiringDecision]]=1,"Hired","Rejected")</f>
        <v>Rejected</v>
      </c>
      <c r="P1320" s="6">
        <v>0</v>
      </c>
    </row>
    <row r="1321" spans="1:16" x14ac:dyDescent="0.25">
      <c r="A1321" s="4" t="str">
        <f t="shared" si="20"/>
        <v>C1320</v>
      </c>
      <c r="B1321" s="4">
        <v>49</v>
      </c>
      <c r="C1321" s="5" t="str">
        <f>IF(recruitment_data3[[#This Row],[Gender]]=1,"Female","Male")</f>
        <v>Male</v>
      </c>
      <c r="D1321" s="5">
        <v>0</v>
      </c>
      <c r="E1321" s="5" t="str">
        <f>_xlfn.SWITCH(recruitment_data3[[#This Row],[EducationLevel]], 1,"Bachelor Type 1", 2,"Bachelor Type 2", 3,"Masters", 4,"PhD")</f>
        <v>Bachelor Type 2</v>
      </c>
      <c r="F1321" s="5">
        <v>2</v>
      </c>
      <c r="G1321" s="5">
        <v>6</v>
      </c>
      <c r="H1321" s="5">
        <v>2</v>
      </c>
      <c r="I1321" s="5">
        <v>37.421124364971909</v>
      </c>
      <c r="J1321" s="5">
        <v>42</v>
      </c>
      <c r="K1321" s="5">
        <v>86</v>
      </c>
      <c r="L1321" s="5">
        <v>13</v>
      </c>
      <c r="M1321" s="5" t="str">
        <f>_xlfn.SWITCH(recruitment_data3[[#This Row],[RecruitmentStrategy]], 1,"Aggressive", 2,"Moderate", 3,"Conservative")</f>
        <v>Moderate</v>
      </c>
      <c r="N1321" s="5">
        <v>2</v>
      </c>
      <c r="O1321" s="5" t="str">
        <f>IF(recruitment_data3[[#This Row],[HiringDecision]]=1,"Hired","Rejected")</f>
        <v>Rejected</v>
      </c>
      <c r="P1321" s="6">
        <v>0</v>
      </c>
    </row>
    <row r="1322" spans="1:16" x14ac:dyDescent="0.25">
      <c r="A1322" s="4" t="str">
        <f t="shared" si="20"/>
        <v>C1321</v>
      </c>
      <c r="B1322" s="4">
        <v>44</v>
      </c>
      <c r="C1322" s="5" t="str">
        <f>IF(recruitment_data3[[#This Row],[Gender]]=1,"Female","Male")</f>
        <v>Female</v>
      </c>
      <c r="D1322" s="5">
        <v>1</v>
      </c>
      <c r="E1322" s="5" t="str">
        <f>_xlfn.SWITCH(recruitment_data3[[#This Row],[EducationLevel]], 1,"Bachelor Type 1", 2,"Bachelor Type 2", 3,"Masters", 4,"PhD")</f>
        <v>PhD</v>
      </c>
      <c r="F1322" s="5">
        <v>4</v>
      </c>
      <c r="G1322" s="5">
        <v>7</v>
      </c>
      <c r="H1322" s="5">
        <v>3</v>
      </c>
      <c r="I1322" s="5">
        <v>16.822728826672883</v>
      </c>
      <c r="J1322" s="5">
        <v>56</v>
      </c>
      <c r="K1322" s="5">
        <v>27</v>
      </c>
      <c r="L1322" s="5">
        <v>77</v>
      </c>
      <c r="M1322" s="5" t="str">
        <f>_xlfn.SWITCH(recruitment_data3[[#This Row],[RecruitmentStrategy]], 1,"Aggressive", 2,"Moderate", 3,"Conservative")</f>
        <v>Aggressive</v>
      </c>
      <c r="N1322" s="5">
        <v>1</v>
      </c>
      <c r="O1322" s="5" t="str">
        <f>IF(recruitment_data3[[#This Row],[HiringDecision]]=1,"Hired","Rejected")</f>
        <v>Hired</v>
      </c>
      <c r="P1322" s="6">
        <v>1</v>
      </c>
    </row>
    <row r="1323" spans="1:16" x14ac:dyDescent="0.25">
      <c r="A1323" s="4" t="str">
        <f t="shared" si="20"/>
        <v>C1322</v>
      </c>
      <c r="B1323" s="4">
        <v>21</v>
      </c>
      <c r="C1323" s="5" t="str">
        <f>IF(recruitment_data3[[#This Row],[Gender]]=1,"Female","Male")</f>
        <v>Female</v>
      </c>
      <c r="D1323" s="5">
        <v>1</v>
      </c>
      <c r="E1323" s="5" t="str">
        <f>_xlfn.SWITCH(recruitment_data3[[#This Row],[EducationLevel]], 1,"Bachelor Type 1", 2,"Bachelor Type 2", 3,"Masters", 4,"PhD")</f>
        <v>Bachelor Type 2</v>
      </c>
      <c r="F1323" s="5">
        <v>2</v>
      </c>
      <c r="G1323" s="5">
        <v>5</v>
      </c>
      <c r="H1323" s="5">
        <v>3</v>
      </c>
      <c r="I1323" s="5">
        <v>18.109320287932871</v>
      </c>
      <c r="J1323" s="5">
        <v>49</v>
      </c>
      <c r="K1323" s="5">
        <v>93</v>
      </c>
      <c r="L1323" s="5">
        <v>2</v>
      </c>
      <c r="M1323" s="5" t="str">
        <f>_xlfn.SWITCH(recruitment_data3[[#This Row],[RecruitmentStrategy]], 1,"Aggressive", 2,"Moderate", 3,"Conservative")</f>
        <v>Moderate</v>
      </c>
      <c r="N1323" s="5">
        <v>2</v>
      </c>
      <c r="O1323" s="5" t="str">
        <f>IF(recruitment_data3[[#This Row],[HiringDecision]]=1,"Hired","Rejected")</f>
        <v>Rejected</v>
      </c>
      <c r="P1323" s="6">
        <v>0</v>
      </c>
    </row>
    <row r="1324" spans="1:16" x14ac:dyDescent="0.25">
      <c r="A1324" s="4" t="str">
        <f t="shared" si="20"/>
        <v>C1323</v>
      </c>
      <c r="B1324" s="4">
        <v>34</v>
      </c>
      <c r="C1324" s="5" t="str">
        <f>IF(recruitment_data3[[#This Row],[Gender]]=1,"Female","Male")</f>
        <v>Female</v>
      </c>
      <c r="D1324" s="5">
        <v>1</v>
      </c>
      <c r="E1324" s="5" t="str">
        <f>_xlfn.SWITCH(recruitment_data3[[#This Row],[EducationLevel]], 1,"Bachelor Type 1", 2,"Bachelor Type 2", 3,"Masters", 4,"PhD")</f>
        <v>Bachelor Type 2</v>
      </c>
      <c r="F1324" s="5">
        <v>2</v>
      </c>
      <c r="G1324" s="5">
        <v>5</v>
      </c>
      <c r="H1324" s="5">
        <v>5</v>
      </c>
      <c r="I1324" s="5">
        <v>10.723175959115688</v>
      </c>
      <c r="J1324" s="5">
        <v>67</v>
      </c>
      <c r="K1324" s="5">
        <v>17</v>
      </c>
      <c r="L1324" s="5">
        <v>66</v>
      </c>
      <c r="M1324" s="5" t="str">
        <f>_xlfn.SWITCH(recruitment_data3[[#This Row],[RecruitmentStrategy]], 1,"Aggressive", 2,"Moderate", 3,"Conservative")</f>
        <v>Moderate</v>
      </c>
      <c r="N1324" s="5">
        <v>2</v>
      </c>
      <c r="O1324" s="5" t="str">
        <f>IF(recruitment_data3[[#This Row],[HiringDecision]]=1,"Hired","Rejected")</f>
        <v>Rejected</v>
      </c>
      <c r="P1324" s="6">
        <v>0</v>
      </c>
    </row>
    <row r="1325" spans="1:16" x14ac:dyDescent="0.25">
      <c r="A1325" s="4" t="str">
        <f t="shared" si="20"/>
        <v>C1324</v>
      </c>
      <c r="B1325" s="4">
        <v>30</v>
      </c>
      <c r="C1325" s="5" t="str">
        <f>IF(recruitment_data3[[#This Row],[Gender]]=1,"Female","Male")</f>
        <v>Female</v>
      </c>
      <c r="D1325" s="5">
        <v>1</v>
      </c>
      <c r="E1325" s="5" t="str">
        <f>_xlfn.SWITCH(recruitment_data3[[#This Row],[EducationLevel]], 1,"Bachelor Type 1", 2,"Bachelor Type 2", 3,"Masters", 4,"PhD")</f>
        <v>Bachelor Type 2</v>
      </c>
      <c r="F1325" s="5">
        <v>2</v>
      </c>
      <c r="G1325" s="5">
        <v>1</v>
      </c>
      <c r="H1325" s="5">
        <v>2</v>
      </c>
      <c r="I1325" s="5">
        <v>29.097405499661964</v>
      </c>
      <c r="J1325" s="5">
        <v>80</v>
      </c>
      <c r="K1325" s="5">
        <v>35</v>
      </c>
      <c r="L1325" s="5">
        <v>85</v>
      </c>
      <c r="M1325" s="5" t="str">
        <f>_xlfn.SWITCH(recruitment_data3[[#This Row],[RecruitmentStrategy]], 1,"Aggressive", 2,"Moderate", 3,"Conservative")</f>
        <v>Aggressive</v>
      </c>
      <c r="N1325" s="5">
        <v>1</v>
      </c>
      <c r="O1325" s="5" t="str">
        <f>IF(recruitment_data3[[#This Row],[HiringDecision]]=1,"Hired","Rejected")</f>
        <v>Hired</v>
      </c>
      <c r="P1325" s="6">
        <v>1</v>
      </c>
    </row>
    <row r="1326" spans="1:16" x14ac:dyDescent="0.25">
      <c r="A1326" s="4" t="str">
        <f t="shared" si="20"/>
        <v>C1325</v>
      </c>
      <c r="B1326" s="4">
        <v>27</v>
      </c>
      <c r="C1326" s="5" t="str">
        <f>IF(recruitment_data3[[#This Row],[Gender]]=1,"Female","Male")</f>
        <v>Female</v>
      </c>
      <c r="D1326" s="5">
        <v>1</v>
      </c>
      <c r="E1326" s="5" t="str">
        <f>_xlfn.SWITCH(recruitment_data3[[#This Row],[EducationLevel]], 1,"Bachelor Type 1", 2,"Bachelor Type 2", 3,"Masters", 4,"PhD")</f>
        <v>Masters</v>
      </c>
      <c r="F1326" s="5">
        <v>3</v>
      </c>
      <c r="G1326" s="5">
        <v>5</v>
      </c>
      <c r="H1326" s="5">
        <v>1</v>
      </c>
      <c r="I1326" s="5">
        <v>16.72820754636826</v>
      </c>
      <c r="J1326" s="5">
        <v>49</v>
      </c>
      <c r="K1326" s="5">
        <v>32</v>
      </c>
      <c r="L1326" s="5">
        <v>18</v>
      </c>
      <c r="M1326" s="5" t="str">
        <f>_xlfn.SWITCH(recruitment_data3[[#This Row],[RecruitmentStrategy]], 1,"Aggressive", 2,"Moderate", 3,"Conservative")</f>
        <v>Moderate</v>
      </c>
      <c r="N1326" s="5">
        <v>2</v>
      </c>
      <c r="O1326" s="5" t="str">
        <f>IF(recruitment_data3[[#This Row],[HiringDecision]]=1,"Hired","Rejected")</f>
        <v>Rejected</v>
      </c>
      <c r="P1326" s="6">
        <v>0</v>
      </c>
    </row>
    <row r="1327" spans="1:16" x14ac:dyDescent="0.25">
      <c r="A1327" s="4" t="str">
        <f t="shared" si="20"/>
        <v>C1326</v>
      </c>
      <c r="B1327" s="4">
        <v>45</v>
      </c>
      <c r="C1327" s="5" t="str">
        <f>IF(recruitment_data3[[#This Row],[Gender]]=1,"Female","Male")</f>
        <v>Male</v>
      </c>
      <c r="D1327" s="5">
        <v>0</v>
      </c>
      <c r="E1327" s="5" t="str">
        <f>_xlfn.SWITCH(recruitment_data3[[#This Row],[EducationLevel]], 1,"Bachelor Type 1", 2,"Bachelor Type 2", 3,"Masters", 4,"PhD")</f>
        <v>PhD</v>
      </c>
      <c r="F1327" s="5">
        <v>4</v>
      </c>
      <c r="G1327" s="5">
        <v>4</v>
      </c>
      <c r="H1327" s="5">
        <v>1</v>
      </c>
      <c r="I1327" s="5">
        <v>5.2185448219252519</v>
      </c>
      <c r="J1327" s="5">
        <v>36</v>
      </c>
      <c r="K1327" s="5">
        <v>63</v>
      </c>
      <c r="L1327" s="5">
        <v>98</v>
      </c>
      <c r="M1327" s="5" t="str">
        <f>_xlfn.SWITCH(recruitment_data3[[#This Row],[RecruitmentStrategy]], 1,"Aggressive", 2,"Moderate", 3,"Conservative")</f>
        <v>Aggressive</v>
      </c>
      <c r="N1327" s="5">
        <v>1</v>
      </c>
      <c r="O1327" s="5" t="str">
        <f>IF(recruitment_data3[[#This Row],[HiringDecision]]=1,"Hired","Rejected")</f>
        <v>Hired</v>
      </c>
      <c r="P1327" s="6">
        <v>1</v>
      </c>
    </row>
    <row r="1328" spans="1:16" x14ac:dyDescent="0.25">
      <c r="A1328" s="4" t="str">
        <f t="shared" si="20"/>
        <v>C1327</v>
      </c>
      <c r="B1328" s="4">
        <v>38</v>
      </c>
      <c r="C1328" s="5" t="str">
        <f>IF(recruitment_data3[[#This Row],[Gender]]=1,"Female","Male")</f>
        <v>Female</v>
      </c>
      <c r="D1328" s="5">
        <v>1</v>
      </c>
      <c r="E1328" s="5" t="str">
        <f>_xlfn.SWITCH(recruitment_data3[[#This Row],[EducationLevel]], 1,"Bachelor Type 1", 2,"Bachelor Type 2", 3,"Masters", 4,"PhD")</f>
        <v>Masters</v>
      </c>
      <c r="F1328" s="5">
        <v>3</v>
      </c>
      <c r="G1328" s="5">
        <v>12</v>
      </c>
      <c r="H1328" s="5">
        <v>1</v>
      </c>
      <c r="I1328" s="5">
        <v>35.250304333158937</v>
      </c>
      <c r="J1328" s="5">
        <v>45</v>
      </c>
      <c r="K1328" s="5">
        <v>25</v>
      </c>
      <c r="L1328" s="5">
        <v>75</v>
      </c>
      <c r="M1328" s="5" t="str">
        <f>_xlfn.SWITCH(recruitment_data3[[#This Row],[RecruitmentStrategy]], 1,"Aggressive", 2,"Moderate", 3,"Conservative")</f>
        <v>Moderate</v>
      </c>
      <c r="N1328" s="5">
        <v>2</v>
      </c>
      <c r="O1328" s="5" t="str">
        <f>IF(recruitment_data3[[#This Row],[HiringDecision]]=1,"Hired","Rejected")</f>
        <v>Rejected</v>
      </c>
      <c r="P1328" s="6">
        <v>0</v>
      </c>
    </row>
    <row r="1329" spans="1:16" x14ac:dyDescent="0.25">
      <c r="A1329" s="4" t="str">
        <f t="shared" si="20"/>
        <v>C1328</v>
      </c>
      <c r="B1329" s="4">
        <v>32</v>
      </c>
      <c r="C1329" s="5" t="str">
        <f>IF(recruitment_data3[[#This Row],[Gender]]=1,"Female","Male")</f>
        <v>Female</v>
      </c>
      <c r="D1329" s="5">
        <v>1</v>
      </c>
      <c r="E1329" s="5" t="str">
        <f>_xlfn.SWITCH(recruitment_data3[[#This Row],[EducationLevel]], 1,"Bachelor Type 1", 2,"Bachelor Type 2", 3,"Masters", 4,"PhD")</f>
        <v>PhD</v>
      </c>
      <c r="F1329" s="5">
        <v>4</v>
      </c>
      <c r="G1329" s="5">
        <v>15</v>
      </c>
      <c r="H1329" s="5">
        <v>3</v>
      </c>
      <c r="I1329" s="5">
        <v>36.387660380269907</v>
      </c>
      <c r="J1329" s="5">
        <v>41</v>
      </c>
      <c r="K1329" s="5">
        <v>47</v>
      </c>
      <c r="L1329" s="5">
        <v>53</v>
      </c>
      <c r="M1329" s="5" t="str">
        <f>_xlfn.SWITCH(recruitment_data3[[#This Row],[RecruitmentStrategy]], 1,"Aggressive", 2,"Moderate", 3,"Conservative")</f>
        <v>Moderate</v>
      </c>
      <c r="N1329" s="5">
        <v>2</v>
      </c>
      <c r="O1329" s="5" t="str">
        <f>IF(recruitment_data3[[#This Row],[HiringDecision]]=1,"Hired","Rejected")</f>
        <v>Rejected</v>
      </c>
      <c r="P1329" s="6">
        <v>0</v>
      </c>
    </row>
    <row r="1330" spans="1:16" x14ac:dyDescent="0.25">
      <c r="A1330" s="4" t="str">
        <f t="shared" si="20"/>
        <v>C1329</v>
      </c>
      <c r="B1330" s="4">
        <v>31</v>
      </c>
      <c r="C1330" s="5" t="str">
        <f>IF(recruitment_data3[[#This Row],[Gender]]=1,"Female","Male")</f>
        <v>Male</v>
      </c>
      <c r="D1330" s="5">
        <v>0</v>
      </c>
      <c r="E1330" s="5" t="str">
        <f>_xlfn.SWITCH(recruitment_data3[[#This Row],[EducationLevel]], 1,"Bachelor Type 1", 2,"Bachelor Type 2", 3,"Masters", 4,"PhD")</f>
        <v>Bachelor Type 1</v>
      </c>
      <c r="F1330" s="5">
        <v>1</v>
      </c>
      <c r="G1330" s="5">
        <v>2</v>
      </c>
      <c r="H1330" s="5">
        <v>2</v>
      </c>
      <c r="I1330" s="5">
        <v>18.999620938952894</v>
      </c>
      <c r="J1330" s="5">
        <v>14</v>
      </c>
      <c r="K1330" s="5">
        <v>39</v>
      </c>
      <c r="L1330" s="5">
        <v>68</v>
      </c>
      <c r="M1330" s="5" t="str">
        <f>_xlfn.SWITCH(recruitment_data3[[#This Row],[RecruitmentStrategy]], 1,"Aggressive", 2,"Moderate", 3,"Conservative")</f>
        <v>Moderate</v>
      </c>
      <c r="N1330" s="5">
        <v>2</v>
      </c>
      <c r="O1330" s="5" t="str">
        <f>IF(recruitment_data3[[#This Row],[HiringDecision]]=1,"Hired","Rejected")</f>
        <v>Rejected</v>
      </c>
      <c r="P1330" s="6">
        <v>0</v>
      </c>
    </row>
    <row r="1331" spans="1:16" x14ac:dyDescent="0.25">
      <c r="A1331" s="4" t="str">
        <f t="shared" si="20"/>
        <v>C1330</v>
      </c>
      <c r="B1331" s="4">
        <v>24</v>
      </c>
      <c r="C1331" s="5" t="str">
        <f>IF(recruitment_data3[[#This Row],[Gender]]=1,"Female","Male")</f>
        <v>Male</v>
      </c>
      <c r="D1331" s="5">
        <v>0</v>
      </c>
      <c r="E1331" s="5" t="str">
        <f>_xlfn.SWITCH(recruitment_data3[[#This Row],[EducationLevel]], 1,"Bachelor Type 1", 2,"Bachelor Type 2", 3,"Masters", 4,"PhD")</f>
        <v>Masters</v>
      </c>
      <c r="F1331" s="5">
        <v>3</v>
      </c>
      <c r="G1331" s="5">
        <v>5</v>
      </c>
      <c r="H1331" s="5">
        <v>2</v>
      </c>
      <c r="I1331" s="5">
        <v>4.83616997280114</v>
      </c>
      <c r="J1331" s="5">
        <v>32</v>
      </c>
      <c r="K1331" s="5">
        <v>16</v>
      </c>
      <c r="L1331" s="5">
        <v>9</v>
      </c>
      <c r="M1331" s="5" t="str">
        <f>_xlfn.SWITCH(recruitment_data3[[#This Row],[RecruitmentStrategy]], 1,"Aggressive", 2,"Moderate", 3,"Conservative")</f>
        <v>Conservative</v>
      </c>
      <c r="N1331" s="5">
        <v>3</v>
      </c>
      <c r="O1331" s="5" t="str">
        <f>IF(recruitment_data3[[#This Row],[HiringDecision]]=1,"Hired","Rejected")</f>
        <v>Rejected</v>
      </c>
      <c r="P1331" s="6">
        <v>0</v>
      </c>
    </row>
    <row r="1332" spans="1:16" x14ac:dyDescent="0.25">
      <c r="A1332" s="4" t="str">
        <f t="shared" si="20"/>
        <v>C1331</v>
      </c>
      <c r="B1332" s="4">
        <v>25</v>
      </c>
      <c r="C1332" s="5" t="str">
        <f>IF(recruitment_data3[[#This Row],[Gender]]=1,"Female","Male")</f>
        <v>Male</v>
      </c>
      <c r="D1332" s="5">
        <v>0</v>
      </c>
      <c r="E1332" s="5" t="str">
        <f>_xlfn.SWITCH(recruitment_data3[[#This Row],[EducationLevel]], 1,"Bachelor Type 1", 2,"Bachelor Type 2", 3,"Masters", 4,"PhD")</f>
        <v>Masters</v>
      </c>
      <c r="F1332" s="5">
        <v>3</v>
      </c>
      <c r="G1332" s="5">
        <v>7</v>
      </c>
      <c r="H1332" s="5">
        <v>3</v>
      </c>
      <c r="I1332" s="5">
        <v>22.314885870171295</v>
      </c>
      <c r="J1332" s="5">
        <v>79</v>
      </c>
      <c r="K1332" s="5">
        <v>39</v>
      </c>
      <c r="L1332" s="5">
        <v>32</v>
      </c>
      <c r="M1332" s="5" t="str">
        <f>_xlfn.SWITCH(recruitment_data3[[#This Row],[RecruitmentStrategy]], 1,"Aggressive", 2,"Moderate", 3,"Conservative")</f>
        <v>Moderate</v>
      </c>
      <c r="N1332" s="5">
        <v>2</v>
      </c>
      <c r="O1332" s="5" t="str">
        <f>IF(recruitment_data3[[#This Row],[HiringDecision]]=1,"Hired","Rejected")</f>
        <v>Rejected</v>
      </c>
      <c r="P1332" s="6">
        <v>0</v>
      </c>
    </row>
    <row r="1333" spans="1:16" x14ac:dyDescent="0.25">
      <c r="A1333" s="4" t="str">
        <f t="shared" si="20"/>
        <v>C1332</v>
      </c>
      <c r="B1333" s="4">
        <v>45</v>
      </c>
      <c r="C1333" s="5" t="str">
        <f>IF(recruitment_data3[[#This Row],[Gender]]=1,"Female","Male")</f>
        <v>Female</v>
      </c>
      <c r="D1333" s="5">
        <v>1</v>
      </c>
      <c r="E1333" s="5" t="str">
        <f>_xlfn.SWITCH(recruitment_data3[[#This Row],[EducationLevel]], 1,"Bachelor Type 1", 2,"Bachelor Type 2", 3,"Masters", 4,"PhD")</f>
        <v>Bachelor Type 2</v>
      </c>
      <c r="F1333" s="5">
        <v>2</v>
      </c>
      <c r="G1333" s="5">
        <v>8</v>
      </c>
      <c r="H1333" s="5">
        <v>1</v>
      </c>
      <c r="I1333" s="5">
        <v>23.116772902510775</v>
      </c>
      <c r="J1333" s="5">
        <v>10</v>
      </c>
      <c r="K1333" s="5">
        <v>6</v>
      </c>
      <c r="L1333" s="5">
        <v>12</v>
      </c>
      <c r="M1333" s="5" t="str">
        <f>_xlfn.SWITCH(recruitment_data3[[#This Row],[RecruitmentStrategy]], 1,"Aggressive", 2,"Moderate", 3,"Conservative")</f>
        <v>Moderate</v>
      </c>
      <c r="N1333" s="5">
        <v>2</v>
      </c>
      <c r="O1333" s="5" t="str">
        <f>IF(recruitment_data3[[#This Row],[HiringDecision]]=1,"Hired","Rejected")</f>
        <v>Rejected</v>
      </c>
      <c r="P1333" s="6">
        <v>0</v>
      </c>
    </row>
    <row r="1334" spans="1:16" x14ac:dyDescent="0.25">
      <c r="A1334" s="4" t="str">
        <f t="shared" si="20"/>
        <v>C1333</v>
      </c>
      <c r="B1334" s="4">
        <v>41</v>
      </c>
      <c r="C1334" s="5" t="str">
        <f>IF(recruitment_data3[[#This Row],[Gender]]=1,"Female","Male")</f>
        <v>Male</v>
      </c>
      <c r="D1334" s="5">
        <v>0</v>
      </c>
      <c r="E1334" s="5" t="str">
        <f>_xlfn.SWITCH(recruitment_data3[[#This Row],[EducationLevel]], 1,"Bachelor Type 1", 2,"Bachelor Type 2", 3,"Masters", 4,"PhD")</f>
        <v>PhD</v>
      </c>
      <c r="F1334" s="5">
        <v>4</v>
      </c>
      <c r="G1334" s="5">
        <v>0</v>
      </c>
      <c r="H1334" s="5">
        <v>1</v>
      </c>
      <c r="I1334" s="5">
        <v>34.433544244894648</v>
      </c>
      <c r="J1334" s="5">
        <v>19</v>
      </c>
      <c r="K1334" s="5">
        <v>56</v>
      </c>
      <c r="L1334" s="5">
        <v>98</v>
      </c>
      <c r="M1334" s="5" t="str">
        <f>_xlfn.SWITCH(recruitment_data3[[#This Row],[RecruitmentStrategy]], 1,"Aggressive", 2,"Moderate", 3,"Conservative")</f>
        <v>Moderate</v>
      </c>
      <c r="N1334" s="5">
        <v>2</v>
      </c>
      <c r="O1334" s="5" t="str">
        <f>IF(recruitment_data3[[#This Row],[HiringDecision]]=1,"Hired","Rejected")</f>
        <v>Rejected</v>
      </c>
      <c r="P1334" s="6">
        <v>0</v>
      </c>
    </row>
    <row r="1335" spans="1:16" x14ac:dyDescent="0.25">
      <c r="A1335" s="4" t="str">
        <f t="shared" si="20"/>
        <v>C1334</v>
      </c>
      <c r="B1335" s="4">
        <v>23</v>
      </c>
      <c r="C1335" s="5" t="str">
        <f>IF(recruitment_data3[[#This Row],[Gender]]=1,"Female","Male")</f>
        <v>Female</v>
      </c>
      <c r="D1335" s="5">
        <v>1</v>
      </c>
      <c r="E1335" s="5" t="str">
        <f>_xlfn.SWITCH(recruitment_data3[[#This Row],[EducationLevel]], 1,"Bachelor Type 1", 2,"Bachelor Type 2", 3,"Masters", 4,"PhD")</f>
        <v>Bachelor Type 1</v>
      </c>
      <c r="F1335" s="5">
        <v>1</v>
      </c>
      <c r="G1335" s="5">
        <v>2</v>
      </c>
      <c r="H1335" s="5">
        <v>5</v>
      </c>
      <c r="I1335" s="5">
        <v>16.770819562934172</v>
      </c>
      <c r="J1335" s="5">
        <v>23</v>
      </c>
      <c r="K1335" s="5">
        <v>7</v>
      </c>
      <c r="L1335" s="5">
        <v>50</v>
      </c>
      <c r="M1335" s="5" t="str">
        <f>_xlfn.SWITCH(recruitment_data3[[#This Row],[RecruitmentStrategy]], 1,"Aggressive", 2,"Moderate", 3,"Conservative")</f>
        <v>Conservative</v>
      </c>
      <c r="N1335" s="5">
        <v>3</v>
      </c>
      <c r="O1335" s="5" t="str">
        <f>IF(recruitment_data3[[#This Row],[HiringDecision]]=1,"Hired","Rejected")</f>
        <v>Rejected</v>
      </c>
      <c r="P1335" s="6">
        <v>0</v>
      </c>
    </row>
    <row r="1336" spans="1:16" x14ac:dyDescent="0.25">
      <c r="A1336" s="4" t="str">
        <f t="shared" si="20"/>
        <v>C1335</v>
      </c>
      <c r="B1336" s="4">
        <v>38</v>
      </c>
      <c r="C1336" s="5" t="str">
        <f>IF(recruitment_data3[[#This Row],[Gender]]=1,"Female","Male")</f>
        <v>Female</v>
      </c>
      <c r="D1336" s="5">
        <v>1</v>
      </c>
      <c r="E1336" s="5" t="str">
        <f>_xlfn.SWITCH(recruitment_data3[[#This Row],[EducationLevel]], 1,"Bachelor Type 1", 2,"Bachelor Type 2", 3,"Masters", 4,"PhD")</f>
        <v>Bachelor Type 2</v>
      </c>
      <c r="F1336" s="5">
        <v>2</v>
      </c>
      <c r="G1336" s="5">
        <v>2</v>
      </c>
      <c r="H1336" s="5">
        <v>4</v>
      </c>
      <c r="I1336" s="5">
        <v>35.129963989065274</v>
      </c>
      <c r="J1336" s="5">
        <v>63</v>
      </c>
      <c r="K1336" s="5">
        <v>55</v>
      </c>
      <c r="L1336" s="5">
        <v>31</v>
      </c>
      <c r="M1336" s="5" t="str">
        <f>_xlfn.SWITCH(recruitment_data3[[#This Row],[RecruitmentStrategy]], 1,"Aggressive", 2,"Moderate", 3,"Conservative")</f>
        <v>Moderate</v>
      </c>
      <c r="N1336" s="5">
        <v>2</v>
      </c>
      <c r="O1336" s="5" t="str">
        <f>IF(recruitment_data3[[#This Row],[HiringDecision]]=1,"Hired","Rejected")</f>
        <v>Rejected</v>
      </c>
      <c r="P1336" s="6">
        <v>0</v>
      </c>
    </row>
    <row r="1337" spans="1:16" x14ac:dyDescent="0.25">
      <c r="A1337" s="4" t="str">
        <f t="shared" si="20"/>
        <v>C1336</v>
      </c>
      <c r="B1337" s="4">
        <v>39</v>
      </c>
      <c r="C1337" s="5" t="str">
        <f>IF(recruitment_data3[[#This Row],[Gender]]=1,"Female","Male")</f>
        <v>Male</v>
      </c>
      <c r="D1337" s="5">
        <v>0</v>
      </c>
      <c r="E1337" s="5" t="str">
        <f>_xlfn.SWITCH(recruitment_data3[[#This Row],[EducationLevel]], 1,"Bachelor Type 1", 2,"Bachelor Type 2", 3,"Masters", 4,"PhD")</f>
        <v>Bachelor Type 2</v>
      </c>
      <c r="F1337" s="5">
        <v>2</v>
      </c>
      <c r="G1337" s="5">
        <v>10</v>
      </c>
      <c r="H1337" s="5">
        <v>2</v>
      </c>
      <c r="I1337" s="5">
        <v>44.574427087869417</v>
      </c>
      <c r="J1337" s="5">
        <v>79</v>
      </c>
      <c r="K1337" s="5">
        <v>30</v>
      </c>
      <c r="L1337" s="5">
        <v>74</v>
      </c>
      <c r="M1337" s="5" t="str">
        <f>_xlfn.SWITCH(recruitment_data3[[#This Row],[RecruitmentStrategy]], 1,"Aggressive", 2,"Moderate", 3,"Conservative")</f>
        <v>Moderate</v>
      </c>
      <c r="N1337" s="5">
        <v>2</v>
      </c>
      <c r="O1337" s="5" t="str">
        <f>IF(recruitment_data3[[#This Row],[HiringDecision]]=1,"Hired","Rejected")</f>
        <v>Rejected</v>
      </c>
      <c r="P1337" s="6">
        <v>0</v>
      </c>
    </row>
    <row r="1338" spans="1:16" x14ac:dyDescent="0.25">
      <c r="A1338" s="4" t="str">
        <f t="shared" si="20"/>
        <v>C1337</v>
      </c>
      <c r="B1338" s="4">
        <v>20</v>
      </c>
      <c r="C1338" s="5" t="str">
        <f>IF(recruitment_data3[[#This Row],[Gender]]=1,"Female","Male")</f>
        <v>Male</v>
      </c>
      <c r="D1338" s="5">
        <v>0</v>
      </c>
      <c r="E1338" s="5" t="str">
        <f>_xlfn.SWITCH(recruitment_data3[[#This Row],[EducationLevel]], 1,"Bachelor Type 1", 2,"Bachelor Type 2", 3,"Masters", 4,"PhD")</f>
        <v>Bachelor Type 2</v>
      </c>
      <c r="F1338" s="5">
        <v>2</v>
      </c>
      <c r="G1338" s="5">
        <v>7</v>
      </c>
      <c r="H1338" s="5">
        <v>2</v>
      </c>
      <c r="I1338" s="5">
        <v>12.874302118109991</v>
      </c>
      <c r="J1338" s="5">
        <v>93</v>
      </c>
      <c r="K1338" s="5">
        <v>58</v>
      </c>
      <c r="L1338" s="5">
        <v>23</v>
      </c>
      <c r="M1338" s="5" t="str">
        <f>_xlfn.SWITCH(recruitment_data3[[#This Row],[RecruitmentStrategy]], 1,"Aggressive", 2,"Moderate", 3,"Conservative")</f>
        <v>Aggressive</v>
      </c>
      <c r="N1338" s="5">
        <v>1</v>
      </c>
      <c r="O1338" s="5" t="str">
        <f>IF(recruitment_data3[[#This Row],[HiringDecision]]=1,"Hired","Rejected")</f>
        <v>Hired</v>
      </c>
      <c r="P1338" s="6">
        <v>1</v>
      </c>
    </row>
    <row r="1339" spans="1:16" x14ac:dyDescent="0.25">
      <c r="A1339" s="4" t="str">
        <f t="shared" si="20"/>
        <v>C1338</v>
      </c>
      <c r="B1339" s="4">
        <v>39</v>
      </c>
      <c r="C1339" s="5" t="str">
        <f>IF(recruitment_data3[[#This Row],[Gender]]=1,"Female","Male")</f>
        <v>Female</v>
      </c>
      <c r="D1339" s="5">
        <v>1</v>
      </c>
      <c r="E1339" s="5" t="str">
        <f>_xlfn.SWITCH(recruitment_data3[[#This Row],[EducationLevel]], 1,"Bachelor Type 1", 2,"Bachelor Type 2", 3,"Masters", 4,"PhD")</f>
        <v>Masters</v>
      </c>
      <c r="F1339" s="5">
        <v>3</v>
      </c>
      <c r="G1339" s="5">
        <v>0</v>
      </c>
      <c r="H1339" s="5">
        <v>2</v>
      </c>
      <c r="I1339" s="5">
        <v>49.945977805994985</v>
      </c>
      <c r="J1339" s="5">
        <v>97</v>
      </c>
      <c r="K1339" s="5">
        <v>57</v>
      </c>
      <c r="L1339" s="5">
        <v>34</v>
      </c>
      <c r="M1339" s="5" t="str">
        <f>_xlfn.SWITCH(recruitment_data3[[#This Row],[RecruitmentStrategy]], 1,"Aggressive", 2,"Moderate", 3,"Conservative")</f>
        <v>Moderate</v>
      </c>
      <c r="N1339" s="5">
        <v>2</v>
      </c>
      <c r="O1339" s="5" t="str">
        <f>IF(recruitment_data3[[#This Row],[HiringDecision]]=1,"Hired","Rejected")</f>
        <v>Rejected</v>
      </c>
      <c r="P1339" s="6">
        <v>0</v>
      </c>
    </row>
    <row r="1340" spans="1:16" x14ac:dyDescent="0.25">
      <c r="A1340" s="4" t="str">
        <f t="shared" si="20"/>
        <v>C1339</v>
      </c>
      <c r="B1340" s="4">
        <v>36</v>
      </c>
      <c r="C1340" s="5" t="str">
        <f>IF(recruitment_data3[[#This Row],[Gender]]=1,"Female","Male")</f>
        <v>Male</v>
      </c>
      <c r="D1340" s="5">
        <v>0</v>
      </c>
      <c r="E1340" s="5" t="str">
        <f>_xlfn.SWITCH(recruitment_data3[[#This Row],[EducationLevel]], 1,"Bachelor Type 1", 2,"Bachelor Type 2", 3,"Masters", 4,"PhD")</f>
        <v>Bachelor Type 2</v>
      </c>
      <c r="F1340" s="5">
        <v>2</v>
      </c>
      <c r="G1340" s="5">
        <v>4</v>
      </c>
      <c r="H1340" s="5">
        <v>4</v>
      </c>
      <c r="I1340" s="5">
        <v>20.318406856840348</v>
      </c>
      <c r="J1340" s="5">
        <v>64</v>
      </c>
      <c r="K1340" s="5">
        <v>11</v>
      </c>
      <c r="L1340" s="5">
        <v>82</v>
      </c>
      <c r="M1340" s="5" t="str">
        <f>_xlfn.SWITCH(recruitment_data3[[#This Row],[RecruitmentStrategy]], 1,"Aggressive", 2,"Moderate", 3,"Conservative")</f>
        <v>Aggressive</v>
      </c>
      <c r="N1340" s="5">
        <v>1</v>
      </c>
      <c r="O1340" s="5" t="str">
        <f>IF(recruitment_data3[[#This Row],[HiringDecision]]=1,"Hired","Rejected")</f>
        <v>Rejected</v>
      </c>
      <c r="P1340" s="6">
        <v>0</v>
      </c>
    </row>
    <row r="1341" spans="1:16" x14ac:dyDescent="0.25">
      <c r="A1341" s="4" t="str">
        <f t="shared" si="20"/>
        <v>C1340</v>
      </c>
      <c r="B1341" s="4">
        <v>31</v>
      </c>
      <c r="C1341" s="5" t="str">
        <f>IF(recruitment_data3[[#This Row],[Gender]]=1,"Female","Male")</f>
        <v>Female</v>
      </c>
      <c r="D1341" s="5">
        <v>1</v>
      </c>
      <c r="E1341" s="5" t="str">
        <f>_xlfn.SWITCH(recruitment_data3[[#This Row],[EducationLevel]], 1,"Bachelor Type 1", 2,"Bachelor Type 2", 3,"Masters", 4,"PhD")</f>
        <v>Bachelor Type 2</v>
      </c>
      <c r="F1341" s="5">
        <v>2</v>
      </c>
      <c r="G1341" s="5">
        <v>2</v>
      </c>
      <c r="H1341" s="5">
        <v>5</v>
      </c>
      <c r="I1341" s="5">
        <v>14.362934257353087</v>
      </c>
      <c r="J1341" s="5">
        <v>87</v>
      </c>
      <c r="K1341" s="5">
        <v>47</v>
      </c>
      <c r="L1341" s="5">
        <v>69</v>
      </c>
      <c r="M1341" s="5" t="str">
        <f>_xlfn.SWITCH(recruitment_data3[[#This Row],[RecruitmentStrategy]], 1,"Aggressive", 2,"Moderate", 3,"Conservative")</f>
        <v>Moderate</v>
      </c>
      <c r="N1341" s="5">
        <v>2</v>
      </c>
      <c r="O1341" s="5" t="str">
        <f>IF(recruitment_data3[[#This Row],[HiringDecision]]=1,"Hired","Rejected")</f>
        <v>Rejected</v>
      </c>
      <c r="P1341" s="6">
        <v>0</v>
      </c>
    </row>
    <row r="1342" spans="1:16" x14ac:dyDescent="0.25">
      <c r="A1342" s="4" t="str">
        <f t="shared" si="20"/>
        <v>C1341</v>
      </c>
      <c r="B1342" s="4">
        <v>34</v>
      </c>
      <c r="C1342" s="5" t="str">
        <f>IF(recruitment_data3[[#This Row],[Gender]]=1,"Female","Male")</f>
        <v>Male</v>
      </c>
      <c r="D1342" s="5">
        <v>0</v>
      </c>
      <c r="E1342" s="5" t="str">
        <f>_xlfn.SWITCH(recruitment_data3[[#This Row],[EducationLevel]], 1,"Bachelor Type 1", 2,"Bachelor Type 2", 3,"Masters", 4,"PhD")</f>
        <v>Bachelor Type 2</v>
      </c>
      <c r="F1342" s="5">
        <v>2</v>
      </c>
      <c r="G1342" s="5">
        <v>1</v>
      </c>
      <c r="H1342" s="5">
        <v>4</v>
      </c>
      <c r="I1342" s="5">
        <v>22.075559125514527</v>
      </c>
      <c r="J1342" s="5">
        <v>87</v>
      </c>
      <c r="K1342" s="5">
        <v>30</v>
      </c>
      <c r="L1342" s="5">
        <v>39</v>
      </c>
      <c r="M1342" s="5" t="str">
        <f>_xlfn.SWITCH(recruitment_data3[[#This Row],[RecruitmentStrategy]], 1,"Aggressive", 2,"Moderate", 3,"Conservative")</f>
        <v>Conservative</v>
      </c>
      <c r="N1342" s="5">
        <v>3</v>
      </c>
      <c r="O1342" s="5" t="str">
        <f>IF(recruitment_data3[[#This Row],[HiringDecision]]=1,"Hired","Rejected")</f>
        <v>Rejected</v>
      </c>
      <c r="P1342" s="6">
        <v>0</v>
      </c>
    </row>
    <row r="1343" spans="1:16" x14ac:dyDescent="0.25">
      <c r="A1343" s="4" t="str">
        <f t="shared" si="20"/>
        <v>C1342</v>
      </c>
      <c r="B1343" s="4">
        <v>20</v>
      </c>
      <c r="C1343" s="5" t="str">
        <f>IF(recruitment_data3[[#This Row],[Gender]]=1,"Female","Male")</f>
        <v>Male</v>
      </c>
      <c r="D1343" s="5">
        <v>0</v>
      </c>
      <c r="E1343" s="5" t="str">
        <f>_xlfn.SWITCH(recruitment_data3[[#This Row],[EducationLevel]], 1,"Bachelor Type 1", 2,"Bachelor Type 2", 3,"Masters", 4,"PhD")</f>
        <v>Masters</v>
      </c>
      <c r="F1343" s="5">
        <v>3</v>
      </c>
      <c r="G1343" s="5">
        <v>14</v>
      </c>
      <c r="H1343" s="5">
        <v>1</v>
      </c>
      <c r="I1343" s="5">
        <v>5.7198737951929584</v>
      </c>
      <c r="J1343" s="5">
        <v>72</v>
      </c>
      <c r="K1343" s="5">
        <v>82</v>
      </c>
      <c r="L1343" s="5">
        <v>53</v>
      </c>
      <c r="M1343" s="5" t="str">
        <f>_xlfn.SWITCH(recruitment_data3[[#This Row],[RecruitmentStrategy]], 1,"Aggressive", 2,"Moderate", 3,"Conservative")</f>
        <v>Moderate</v>
      </c>
      <c r="N1343" s="5">
        <v>2</v>
      </c>
      <c r="O1343" s="5" t="str">
        <f>IF(recruitment_data3[[#This Row],[HiringDecision]]=1,"Hired","Rejected")</f>
        <v>Hired</v>
      </c>
      <c r="P1343" s="6">
        <v>1</v>
      </c>
    </row>
    <row r="1344" spans="1:16" x14ac:dyDescent="0.25">
      <c r="A1344" s="4" t="str">
        <f t="shared" si="20"/>
        <v>C1343</v>
      </c>
      <c r="B1344" s="4">
        <v>45</v>
      </c>
      <c r="C1344" s="5" t="str">
        <f>IF(recruitment_data3[[#This Row],[Gender]]=1,"Female","Male")</f>
        <v>Male</v>
      </c>
      <c r="D1344" s="5">
        <v>0</v>
      </c>
      <c r="E1344" s="5" t="str">
        <f>_xlfn.SWITCH(recruitment_data3[[#This Row],[EducationLevel]], 1,"Bachelor Type 1", 2,"Bachelor Type 2", 3,"Masters", 4,"PhD")</f>
        <v>Bachelor Type 1</v>
      </c>
      <c r="F1344" s="5">
        <v>1</v>
      </c>
      <c r="G1344" s="5">
        <v>7</v>
      </c>
      <c r="H1344" s="5">
        <v>1</v>
      </c>
      <c r="I1344" s="5">
        <v>7.2852953256057829</v>
      </c>
      <c r="J1344" s="5">
        <v>85</v>
      </c>
      <c r="K1344" s="5">
        <v>62</v>
      </c>
      <c r="L1344" s="5">
        <v>43</v>
      </c>
      <c r="M1344" s="5" t="str">
        <f>_xlfn.SWITCH(recruitment_data3[[#This Row],[RecruitmentStrategy]], 1,"Aggressive", 2,"Moderate", 3,"Conservative")</f>
        <v>Moderate</v>
      </c>
      <c r="N1344" s="5">
        <v>2</v>
      </c>
      <c r="O1344" s="5" t="str">
        <f>IF(recruitment_data3[[#This Row],[HiringDecision]]=1,"Hired","Rejected")</f>
        <v>Rejected</v>
      </c>
      <c r="P1344" s="6">
        <v>0</v>
      </c>
    </row>
    <row r="1345" spans="1:16" x14ac:dyDescent="0.25">
      <c r="A1345" s="4" t="str">
        <f t="shared" si="20"/>
        <v>C1344</v>
      </c>
      <c r="B1345" s="4">
        <v>33</v>
      </c>
      <c r="C1345" s="5" t="str">
        <f>IF(recruitment_data3[[#This Row],[Gender]]=1,"Female","Male")</f>
        <v>Female</v>
      </c>
      <c r="D1345" s="5">
        <v>1</v>
      </c>
      <c r="E1345" s="5" t="str">
        <f>_xlfn.SWITCH(recruitment_data3[[#This Row],[EducationLevel]], 1,"Bachelor Type 1", 2,"Bachelor Type 2", 3,"Masters", 4,"PhD")</f>
        <v>Bachelor Type 2</v>
      </c>
      <c r="F1345" s="5">
        <v>2</v>
      </c>
      <c r="G1345" s="5">
        <v>2</v>
      </c>
      <c r="H1345" s="5">
        <v>2</v>
      </c>
      <c r="I1345" s="5">
        <v>21.721702348416571</v>
      </c>
      <c r="J1345" s="5">
        <v>75</v>
      </c>
      <c r="K1345" s="5">
        <v>73</v>
      </c>
      <c r="L1345" s="5">
        <v>61</v>
      </c>
      <c r="M1345" s="5" t="str">
        <f>_xlfn.SWITCH(recruitment_data3[[#This Row],[RecruitmentStrategy]], 1,"Aggressive", 2,"Moderate", 3,"Conservative")</f>
        <v>Moderate</v>
      </c>
      <c r="N1345" s="5">
        <v>2</v>
      </c>
      <c r="O1345" s="5" t="str">
        <f>IF(recruitment_data3[[#This Row],[HiringDecision]]=1,"Hired","Rejected")</f>
        <v>Rejected</v>
      </c>
      <c r="P1345" s="6">
        <v>0</v>
      </c>
    </row>
    <row r="1346" spans="1:16" x14ac:dyDescent="0.25">
      <c r="A1346" s="4" t="str">
        <f t="shared" ref="A1346:A1409" si="21">"C"&amp;TEXT(ROW()-1,"0000")</f>
        <v>C1345</v>
      </c>
      <c r="B1346" s="4">
        <v>25</v>
      </c>
      <c r="C1346" s="5" t="str">
        <f>IF(recruitment_data3[[#This Row],[Gender]]=1,"Female","Male")</f>
        <v>Male</v>
      </c>
      <c r="D1346" s="5">
        <v>0</v>
      </c>
      <c r="E1346" s="5" t="str">
        <f>_xlfn.SWITCH(recruitment_data3[[#This Row],[EducationLevel]], 1,"Bachelor Type 1", 2,"Bachelor Type 2", 3,"Masters", 4,"PhD")</f>
        <v>PhD</v>
      </c>
      <c r="F1346" s="5">
        <v>4</v>
      </c>
      <c r="G1346" s="5">
        <v>6</v>
      </c>
      <c r="H1346" s="5">
        <v>3</v>
      </c>
      <c r="I1346" s="5">
        <v>39.122226096955004</v>
      </c>
      <c r="J1346" s="5">
        <v>16</v>
      </c>
      <c r="K1346" s="5">
        <v>38</v>
      </c>
      <c r="L1346" s="5">
        <v>98</v>
      </c>
      <c r="M1346" s="5" t="str">
        <f>_xlfn.SWITCH(recruitment_data3[[#This Row],[RecruitmentStrategy]], 1,"Aggressive", 2,"Moderate", 3,"Conservative")</f>
        <v>Moderate</v>
      </c>
      <c r="N1346" s="5">
        <v>2</v>
      </c>
      <c r="O1346" s="5" t="str">
        <f>IF(recruitment_data3[[#This Row],[HiringDecision]]=1,"Hired","Rejected")</f>
        <v>Rejected</v>
      </c>
      <c r="P1346" s="6">
        <v>0</v>
      </c>
    </row>
    <row r="1347" spans="1:16" x14ac:dyDescent="0.25">
      <c r="A1347" s="4" t="str">
        <f t="shared" si="21"/>
        <v>C1346</v>
      </c>
      <c r="B1347" s="4">
        <v>24</v>
      </c>
      <c r="C1347" s="5" t="str">
        <f>IF(recruitment_data3[[#This Row],[Gender]]=1,"Female","Male")</f>
        <v>Female</v>
      </c>
      <c r="D1347" s="5">
        <v>1</v>
      </c>
      <c r="E1347" s="5" t="str">
        <f>_xlfn.SWITCH(recruitment_data3[[#This Row],[EducationLevel]], 1,"Bachelor Type 1", 2,"Bachelor Type 2", 3,"Masters", 4,"PhD")</f>
        <v>Masters</v>
      </c>
      <c r="F1347" s="5">
        <v>3</v>
      </c>
      <c r="G1347" s="5">
        <v>11</v>
      </c>
      <c r="H1347" s="5">
        <v>2</v>
      </c>
      <c r="I1347" s="5">
        <v>46.015611978724543</v>
      </c>
      <c r="J1347" s="5">
        <v>88</v>
      </c>
      <c r="K1347" s="5">
        <v>75</v>
      </c>
      <c r="L1347" s="5">
        <v>67</v>
      </c>
      <c r="M1347" s="5" t="str">
        <f>_xlfn.SWITCH(recruitment_data3[[#This Row],[RecruitmentStrategy]], 1,"Aggressive", 2,"Moderate", 3,"Conservative")</f>
        <v>Moderate</v>
      </c>
      <c r="N1347" s="5">
        <v>2</v>
      </c>
      <c r="O1347" s="5" t="str">
        <f>IF(recruitment_data3[[#This Row],[HiringDecision]]=1,"Hired","Rejected")</f>
        <v>Hired</v>
      </c>
      <c r="P1347" s="6">
        <v>1</v>
      </c>
    </row>
    <row r="1348" spans="1:16" x14ac:dyDescent="0.25">
      <c r="A1348" s="4" t="str">
        <f t="shared" si="21"/>
        <v>C1347</v>
      </c>
      <c r="B1348" s="4">
        <v>49</v>
      </c>
      <c r="C1348" s="5" t="str">
        <f>IF(recruitment_data3[[#This Row],[Gender]]=1,"Female","Male")</f>
        <v>Female</v>
      </c>
      <c r="D1348" s="5">
        <v>1</v>
      </c>
      <c r="E1348" s="5" t="str">
        <f>_xlfn.SWITCH(recruitment_data3[[#This Row],[EducationLevel]], 1,"Bachelor Type 1", 2,"Bachelor Type 2", 3,"Masters", 4,"PhD")</f>
        <v>Bachelor Type 2</v>
      </c>
      <c r="F1348" s="5">
        <v>2</v>
      </c>
      <c r="G1348" s="5">
        <v>10</v>
      </c>
      <c r="H1348" s="5">
        <v>3</v>
      </c>
      <c r="I1348" s="5">
        <v>34.240899535813547</v>
      </c>
      <c r="J1348" s="5">
        <v>91</v>
      </c>
      <c r="K1348" s="5">
        <v>19</v>
      </c>
      <c r="L1348" s="5">
        <v>32</v>
      </c>
      <c r="M1348" s="5" t="str">
        <f>_xlfn.SWITCH(recruitment_data3[[#This Row],[RecruitmentStrategy]], 1,"Aggressive", 2,"Moderate", 3,"Conservative")</f>
        <v>Moderate</v>
      </c>
      <c r="N1348" s="5">
        <v>2</v>
      </c>
      <c r="O1348" s="5" t="str">
        <f>IF(recruitment_data3[[#This Row],[HiringDecision]]=1,"Hired","Rejected")</f>
        <v>Rejected</v>
      </c>
      <c r="P1348" s="6">
        <v>0</v>
      </c>
    </row>
    <row r="1349" spans="1:16" x14ac:dyDescent="0.25">
      <c r="A1349" s="4" t="str">
        <f t="shared" si="21"/>
        <v>C1348</v>
      </c>
      <c r="B1349" s="4">
        <v>30</v>
      </c>
      <c r="C1349" s="5" t="str">
        <f>IF(recruitment_data3[[#This Row],[Gender]]=1,"Female","Male")</f>
        <v>Female</v>
      </c>
      <c r="D1349" s="5">
        <v>1</v>
      </c>
      <c r="E1349" s="5" t="str">
        <f>_xlfn.SWITCH(recruitment_data3[[#This Row],[EducationLevel]], 1,"Bachelor Type 1", 2,"Bachelor Type 2", 3,"Masters", 4,"PhD")</f>
        <v>Masters</v>
      </c>
      <c r="F1349" s="5">
        <v>3</v>
      </c>
      <c r="G1349" s="5">
        <v>0</v>
      </c>
      <c r="H1349" s="5">
        <v>4</v>
      </c>
      <c r="I1349" s="5">
        <v>6.2609777619084861</v>
      </c>
      <c r="J1349" s="5">
        <v>60</v>
      </c>
      <c r="K1349" s="5">
        <v>100</v>
      </c>
      <c r="L1349" s="5">
        <v>76</v>
      </c>
      <c r="M1349" s="5" t="str">
        <f>_xlfn.SWITCH(recruitment_data3[[#This Row],[RecruitmentStrategy]], 1,"Aggressive", 2,"Moderate", 3,"Conservative")</f>
        <v>Aggressive</v>
      </c>
      <c r="N1349" s="5">
        <v>1</v>
      </c>
      <c r="O1349" s="5" t="str">
        <f>IF(recruitment_data3[[#This Row],[HiringDecision]]=1,"Hired","Rejected")</f>
        <v>Hired</v>
      </c>
      <c r="P1349" s="6">
        <v>1</v>
      </c>
    </row>
    <row r="1350" spans="1:16" x14ac:dyDescent="0.25">
      <c r="A1350" s="4" t="str">
        <f t="shared" si="21"/>
        <v>C1349</v>
      </c>
      <c r="B1350" s="4">
        <v>50</v>
      </c>
      <c r="C1350" s="5" t="str">
        <f>IF(recruitment_data3[[#This Row],[Gender]]=1,"Female","Male")</f>
        <v>Female</v>
      </c>
      <c r="D1350" s="5">
        <v>1</v>
      </c>
      <c r="E1350" s="5" t="str">
        <f>_xlfn.SWITCH(recruitment_data3[[#This Row],[EducationLevel]], 1,"Bachelor Type 1", 2,"Bachelor Type 2", 3,"Masters", 4,"PhD")</f>
        <v>Masters</v>
      </c>
      <c r="F1350" s="5">
        <v>3</v>
      </c>
      <c r="G1350" s="5">
        <v>5</v>
      </c>
      <c r="H1350" s="5">
        <v>1</v>
      </c>
      <c r="I1350" s="5">
        <v>34.600988109026751</v>
      </c>
      <c r="J1350" s="5">
        <v>14</v>
      </c>
      <c r="K1350" s="5">
        <v>47</v>
      </c>
      <c r="L1350" s="5">
        <v>55</v>
      </c>
      <c r="M1350" s="5" t="str">
        <f>_xlfn.SWITCH(recruitment_data3[[#This Row],[RecruitmentStrategy]], 1,"Aggressive", 2,"Moderate", 3,"Conservative")</f>
        <v>Aggressive</v>
      </c>
      <c r="N1350" s="5">
        <v>1</v>
      </c>
      <c r="O1350" s="5" t="str">
        <f>IF(recruitment_data3[[#This Row],[HiringDecision]]=1,"Hired","Rejected")</f>
        <v>Rejected</v>
      </c>
      <c r="P1350" s="6">
        <v>0</v>
      </c>
    </row>
    <row r="1351" spans="1:16" x14ac:dyDescent="0.25">
      <c r="A1351" s="4" t="str">
        <f t="shared" si="21"/>
        <v>C1350</v>
      </c>
      <c r="B1351" s="4">
        <v>23</v>
      </c>
      <c r="C1351" s="5" t="str">
        <f>IF(recruitment_data3[[#This Row],[Gender]]=1,"Female","Male")</f>
        <v>Male</v>
      </c>
      <c r="D1351" s="5">
        <v>0</v>
      </c>
      <c r="E1351" s="5" t="str">
        <f>_xlfn.SWITCH(recruitment_data3[[#This Row],[EducationLevel]], 1,"Bachelor Type 1", 2,"Bachelor Type 2", 3,"Masters", 4,"PhD")</f>
        <v>Masters</v>
      </c>
      <c r="F1351" s="5">
        <v>3</v>
      </c>
      <c r="G1351" s="5">
        <v>2</v>
      </c>
      <c r="H1351" s="5">
        <v>3</v>
      </c>
      <c r="I1351" s="5">
        <v>32.771396035148598</v>
      </c>
      <c r="J1351" s="5">
        <v>93</v>
      </c>
      <c r="K1351" s="5">
        <v>70</v>
      </c>
      <c r="L1351" s="5">
        <v>35</v>
      </c>
      <c r="M1351" s="5" t="str">
        <f>_xlfn.SWITCH(recruitment_data3[[#This Row],[RecruitmentStrategy]], 1,"Aggressive", 2,"Moderate", 3,"Conservative")</f>
        <v>Moderate</v>
      </c>
      <c r="N1351" s="5">
        <v>2</v>
      </c>
      <c r="O1351" s="5" t="str">
        <f>IF(recruitment_data3[[#This Row],[HiringDecision]]=1,"Hired","Rejected")</f>
        <v>Rejected</v>
      </c>
      <c r="P1351" s="6">
        <v>0</v>
      </c>
    </row>
    <row r="1352" spans="1:16" x14ac:dyDescent="0.25">
      <c r="A1352" s="4" t="str">
        <f t="shared" si="21"/>
        <v>C1351</v>
      </c>
      <c r="B1352" s="4">
        <v>32</v>
      </c>
      <c r="C1352" s="5" t="str">
        <f>IF(recruitment_data3[[#This Row],[Gender]]=1,"Female","Male")</f>
        <v>Female</v>
      </c>
      <c r="D1352" s="5">
        <v>1</v>
      </c>
      <c r="E1352" s="5" t="str">
        <f>_xlfn.SWITCH(recruitment_data3[[#This Row],[EducationLevel]], 1,"Bachelor Type 1", 2,"Bachelor Type 2", 3,"Masters", 4,"PhD")</f>
        <v>Bachelor Type 2</v>
      </c>
      <c r="F1352" s="5">
        <v>2</v>
      </c>
      <c r="G1352" s="5">
        <v>7</v>
      </c>
      <c r="H1352" s="5">
        <v>4</v>
      </c>
      <c r="I1352" s="5">
        <v>41.288195914666566</v>
      </c>
      <c r="J1352" s="5">
        <v>50</v>
      </c>
      <c r="K1352" s="5">
        <v>53</v>
      </c>
      <c r="L1352" s="5">
        <v>53</v>
      </c>
      <c r="M1352" s="5" t="str">
        <f>_xlfn.SWITCH(recruitment_data3[[#This Row],[RecruitmentStrategy]], 1,"Aggressive", 2,"Moderate", 3,"Conservative")</f>
        <v>Moderate</v>
      </c>
      <c r="N1352" s="5">
        <v>2</v>
      </c>
      <c r="O1352" s="5" t="str">
        <f>IF(recruitment_data3[[#This Row],[HiringDecision]]=1,"Hired","Rejected")</f>
        <v>Rejected</v>
      </c>
      <c r="P1352" s="6">
        <v>0</v>
      </c>
    </row>
    <row r="1353" spans="1:16" x14ac:dyDescent="0.25">
      <c r="A1353" s="4" t="str">
        <f t="shared" si="21"/>
        <v>C1352</v>
      </c>
      <c r="B1353" s="4">
        <v>30</v>
      </c>
      <c r="C1353" s="5" t="str">
        <f>IF(recruitment_data3[[#This Row],[Gender]]=1,"Female","Male")</f>
        <v>Female</v>
      </c>
      <c r="D1353" s="5">
        <v>1</v>
      </c>
      <c r="E1353" s="5" t="str">
        <f>_xlfn.SWITCH(recruitment_data3[[#This Row],[EducationLevel]], 1,"Bachelor Type 1", 2,"Bachelor Type 2", 3,"Masters", 4,"PhD")</f>
        <v>Bachelor Type 2</v>
      </c>
      <c r="F1353" s="5">
        <v>2</v>
      </c>
      <c r="G1353" s="5">
        <v>5</v>
      </c>
      <c r="H1353" s="5">
        <v>1</v>
      </c>
      <c r="I1353" s="5">
        <v>42.262433332609042</v>
      </c>
      <c r="J1353" s="5">
        <v>26</v>
      </c>
      <c r="K1353" s="5">
        <v>77</v>
      </c>
      <c r="L1353" s="5">
        <v>18</v>
      </c>
      <c r="M1353" s="5" t="str">
        <f>_xlfn.SWITCH(recruitment_data3[[#This Row],[RecruitmentStrategy]], 1,"Aggressive", 2,"Moderate", 3,"Conservative")</f>
        <v>Aggressive</v>
      </c>
      <c r="N1353" s="5">
        <v>1</v>
      </c>
      <c r="O1353" s="5" t="str">
        <f>IF(recruitment_data3[[#This Row],[HiringDecision]]=1,"Hired","Rejected")</f>
        <v>Rejected</v>
      </c>
      <c r="P1353" s="6">
        <v>0</v>
      </c>
    </row>
    <row r="1354" spans="1:16" x14ac:dyDescent="0.25">
      <c r="A1354" s="4" t="str">
        <f t="shared" si="21"/>
        <v>C1353</v>
      </c>
      <c r="B1354" s="4">
        <v>22</v>
      </c>
      <c r="C1354" s="5" t="str">
        <f>IF(recruitment_data3[[#This Row],[Gender]]=1,"Female","Male")</f>
        <v>Male</v>
      </c>
      <c r="D1354" s="5">
        <v>0</v>
      </c>
      <c r="E1354" s="5" t="str">
        <f>_xlfn.SWITCH(recruitment_data3[[#This Row],[EducationLevel]], 1,"Bachelor Type 1", 2,"Bachelor Type 2", 3,"Masters", 4,"PhD")</f>
        <v>Bachelor Type 2</v>
      </c>
      <c r="F1354" s="5">
        <v>2</v>
      </c>
      <c r="G1354" s="5">
        <v>11</v>
      </c>
      <c r="H1354" s="5">
        <v>3</v>
      </c>
      <c r="I1354" s="5">
        <v>44.410153788948946</v>
      </c>
      <c r="J1354" s="5">
        <v>85</v>
      </c>
      <c r="K1354" s="5">
        <v>74</v>
      </c>
      <c r="L1354" s="5">
        <v>42</v>
      </c>
      <c r="M1354" s="5" t="str">
        <f>_xlfn.SWITCH(recruitment_data3[[#This Row],[RecruitmentStrategy]], 1,"Aggressive", 2,"Moderate", 3,"Conservative")</f>
        <v>Moderate</v>
      </c>
      <c r="N1354" s="5">
        <v>2</v>
      </c>
      <c r="O1354" s="5" t="str">
        <f>IF(recruitment_data3[[#This Row],[HiringDecision]]=1,"Hired","Rejected")</f>
        <v>Rejected</v>
      </c>
      <c r="P1354" s="6">
        <v>0</v>
      </c>
    </row>
    <row r="1355" spans="1:16" x14ac:dyDescent="0.25">
      <c r="A1355" s="4" t="str">
        <f t="shared" si="21"/>
        <v>C1354</v>
      </c>
      <c r="B1355" s="4">
        <v>20</v>
      </c>
      <c r="C1355" s="5" t="str">
        <f>IF(recruitment_data3[[#This Row],[Gender]]=1,"Female","Male")</f>
        <v>Female</v>
      </c>
      <c r="D1355" s="5">
        <v>1</v>
      </c>
      <c r="E1355" s="5" t="str">
        <f>_xlfn.SWITCH(recruitment_data3[[#This Row],[EducationLevel]], 1,"Bachelor Type 1", 2,"Bachelor Type 2", 3,"Masters", 4,"PhD")</f>
        <v>Bachelor Type 2</v>
      </c>
      <c r="F1355" s="5">
        <v>2</v>
      </c>
      <c r="G1355" s="5">
        <v>1</v>
      </c>
      <c r="H1355" s="5">
        <v>2</v>
      </c>
      <c r="I1355" s="5">
        <v>21.706575728954917</v>
      </c>
      <c r="J1355" s="5">
        <v>73</v>
      </c>
      <c r="K1355" s="5">
        <v>70</v>
      </c>
      <c r="L1355" s="5">
        <v>11</v>
      </c>
      <c r="M1355" s="5" t="str">
        <f>_xlfn.SWITCH(recruitment_data3[[#This Row],[RecruitmentStrategy]], 1,"Aggressive", 2,"Moderate", 3,"Conservative")</f>
        <v>Aggressive</v>
      </c>
      <c r="N1355" s="5">
        <v>1</v>
      </c>
      <c r="O1355" s="5" t="str">
        <f>IF(recruitment_data3[[#This Row],[HiringDecision]]=1,"Hired","Rejected")</f>
        <v>Hired</v>
      </c>
      <c r="P1355" s="6">
        <v>1</v>
      </c>
    </row>
    <row r="1356" spans="1:16" x14ac:dyDescent="0.25">
      <c r="A1356" s="4" t="str">
        <f t="shared" si="21"/>
        <v>C1355</v>
      </c>
      <c r="B1356" s="4">
        <v>25</v>
      </c>
      <c r="C1356" s="5" t="str">
        <f>IF(recruitment_data3[[#This Row],[Gender]]=1,"Female","Male")</f>
        <v>Male</v>
      </c>
      <c r="D1356" s="5">
        <v>0</v>
      </c>
      <c r="E1356" s="5" t="str">
        <f>_xlfn.SWITCH(recruitment_data3[[#This Row],[EducationLevel]], 1,"Bachelor Type 1", 2,"Bachelor Type 2", 3,"Masters", 4,"PhD")</f>
        <v>Bachelor Type 2</v>
      </c>
      <c r="F1356" s="5">
        <v>2</v>
      </c>
      <c r="G1356" s="5">
        <v>5</v>
      </c>
      <c r="H1356" s="5">
        <v>2</v>
      </c>
      <c r="I1356" s="5">
        <v>35.893219767607214</v>
      </c>
      <c r="J1356" s="5">
        <v>60</v>
      </c>
      <c r="K1356" s="5">
        <v>28</v>
      </c>
      <c r="L1356" s="5">
        <v>10</v>
      </c>
      <c r="M1356" s="5" t="str">
        <f>_xlfn.SWITCH(recruitment_data3[[#This Row],[RecruitmentStrategy]], 1,"Aggressive", 2,"Moderate", 3,"Conservative")</f>
        <v>Aggressive</v>
      </c>
      <c r="N1356" s="5">
        <v>1</v>
      </c>
      <c r="O1356" s="5" t="str">
        <f>IF(recruitment_data3[[#This Row],[HiringDecision]]=1,"Hired","Rejected")</f>
        <v>Rejected</v>
      </c>
      <c r="P1356" s="6">
        <v>0</v>
      </c>
    </row>
    <row r="1357" spans="1:16" x14ac:dyDescent="0.25">
      <c r="A1357" s="4" t="str">
        <f t="shared" si="21"/>
        <v>C1356</v>
      </c>
      <c r="B1357" s="4">
        <v>37</v>
      </c>
      <c r="C1357" s="5" t="str">
        <f>IF(recruitment_data3[[#This Row],[Gender]]=1,"Female","Male")</f>
        <v>Female</v>
      </c>
      <c r="D1357" s="5">
        <v>1</v>
      </c>
      <c r="E1357" s="5" t="str">
        <f>_xlfn.SWITCH(recruitment_data3[[#This Row],[EducationLevel]], 1,"Bachelor Type 1", 2,"Bachelor Type 2", 3,"Masters", 4,"PhD")</f>
        <v>Bachelor Type 1</v>
      </c>
      <c r="F1357" s="5">
        <v>1</v>
      </c>
      <c r="G1357" s="5">
        <v>6</v>
      </c>
      <c r="H1357" s="5">
        <v>2</v>
      </c>
      <c r="I1357" s="5">
        <v>14.412517946115537</v>
      </c>
      <c r="J1357" s="5">
        <v>57</v>
      </c>
      <c r="K1357" s="5">
        <v>73</v>
      </c>
      <c r="L1357" s="5">
        <v>69</v>
      </c>
      <c r="M1357" s="5" t="str">
        <f>_xlfn.SWITCH(recruitment_data3[[#This Row],[RecruitmentStrategy]], 1,"Aggressive", 2,"Moderate", 3,"Conservative")</f>
        <v>Moderate</v>
      </c>
      <c r="N1357" s="5">
        <v>2</v>
      </c>
      <c r="O1357" s="5" t="str">
        <f>IF(recruitment_data3[[#This Row],[HiringDecision]]=1,"Hired","Rejected")</f>
        <v>Rejected</v>
      </c>
      <c r="P1357" s="6">
        <v>0</v>
      </c>
    </row>
    <row r="1358" spans="1:16" x14ac:dyDescent="0.25">
      <c r="A1358" s="4" t="str">
        <f t="shared" si="21"/>
        <v>C1357</v>
      </c>
      <c r="B1358" s="4">
        <v>43</v>
      </c>
      <c r="C1358" s="5" t="str">
        <f>IF(recruitment_data3[[#This Row],[Gender]]=1,"Female","Male")</f>
        <v>Male</v>
      </c>
      <c r="D1358" s="5">
        <v>0</v>
      </c>
      <c r="E1358" s="5" t="str">
        <f>_xlfn.SWITCH(recruitment_data3[[#This Row],[EducationLevel]], 1,"Bachelor Type 1", 2,"Bachelor Type 2", 3,"Masters", 4,"PhD")</f>
        <v>Bachelor Type 2</v>
      </c>
      <c r="F1358" s="5">
        <v>2</v>
      </c>
      <c r="G1358" s="5">
        <v>4</v>
      </c>
      <c r="H1358" s="5">
        <v>4</v>
      </c>
      <c r="I1358" s="5">
        <v>50.966813999175216</v>
      </c>
      <c r="J1358" s="5">
        <v>30</v>
      </c>
      <c r="K1358" s="5">
        <v>92</v>
      </c>
      <c r="L1358" s="5">
        <v>11</v>
      </c>
      <c r="M1358" s="5" t="str">
        <f>_xlfn.SWITCH(recruitment_data3[[#This Row],[RecruitmentStrategy]], 1,"Aggressive", 2,"Moderate", 3,"Conservative")</f>
        <v>Moderate</v>
      </c>
      <c r="N1358" s="5">
        <v>2</v>
      </c>
      <c r="O1358" s="5" t="str">
        <f>IF(recruitment_data3[[#This Row],[HiringDecision]]=1,"Hired","Rejected")</f>
        <v>Rejected</v>
      </c>
      <c r="P1358" s="6">
        <v>0</v>
      </c>
    </row>
    <row r="1359" spans="1:16" x14ac:dyDescent="0.25">
      <c r="A1359" s="4" t="str">
        <f t="shared" si="21"/>
        <v>C1358</v>
      </c>
      <c r="B1359" s="4">
        <v>29</v>
      </c>
      <c r="C1359" s="5" t="str">
        <f>IF(recruitment_data3[[#This Row],[Gender]]=1,"Female","Male")</f>
        <v>Female</v>
      </c>
      <c r="D1359" s="5">
        <v>1</v>
      </c>
      <c r="E1359" s="5" t="str">
        <f>_xlfn.SWITCH(recruitment_data3[[#This Row],[EducationLevel]], 1,"Bachelor Type 1", 2,"Bachelor Type 2", 3,"Masters", 4,"PhD")</f>
        <v>Bachelor Type 2</v>
      </c>
      <c r="F1359" s="5">
        <v>2</v>
      </c>
      <c r="G1359" s="5">
        <v>2</v>
      </c>
      <c r="H1359" s="5">
        <v>2</v>
      </c>
      <c r="I1359" s="5">
        <v>9.7667120688429971</v>
      </c>
      <c r="J1359" s="5">
        <v>90</v>
      </c>
      <c r="K1359" s="5">
        <v>72</v>
      </c>
      <c r="L1359" s="5">
        <v>90</v>
      </c>
      <c r="M1359" s="5" t="str">
        <f>_xlfn.SWITCH(recruitment_data3[[#This Row],[RecruitmentStrategy]], 1,"Aggressive", 2,"Moderate", 3,"Conservative")</f>
        <v>Moderate</v>
      </c>
      <c r="N1359" s="5">
        <v>2</v>
      </c>
      <c r="O1359" s="5" t="str">
        <f>IF(recruitment_data3[[#This Row],[HiringDecision]]=1,"Hired","Rejected")</f>
        <v>Rejected</v>
      </c>
      <c r="P1359" s="6">
        <v>0</v>
      </c>
    </row>
    <row r="1360" spans="1:16" x14ac:dyDescent="0.25">
      <c r="A1360" s="4" t="str">
        <f t="shared" si="21"/>
        <v>C1359</v>
      </c>
      <c r="B1360" s="4">
        <v>24</v>
      </c>
      <c r="C1360" s="5" t="str">
        <f>IF(recruitment_data3[[#This Row],[Gender]]=1,"Female","Male")</f>
        <v>Male</v>
      </c>
      <c r="D1360" s="5">
        <v>0</v>
      </c>
      <c r="E1360" s="5" t="str">
        <f>_xlfn.SWITCH(recruitment_data3[[#This Row],[EducationLevel]], 1,"Bachelor Type 1", 2,"Bachelor Type 2", 3,"Masters", 4,"PhD")</f>
        <v>Bachelor Type 2</v>
      </c>
      <c r="F1360" s="5">
        <v>2</v>
      </c>
      <c r="G1360" s="5">
        <v>3</v>
      </c>
      <c r="H1360" s="5">
        <v>5</v>
      </c>
      <c r="I1360" s="5">
        <v>1.5057215830417905</v>
      </c>
      <c r="J1360" s="5">
        <v>11</v>
      </c>
      <c r="K1360" s="5">
        <v>99</v>
      </c>
      <c r="L1360" s="5">
        <v>40</v>
      </c>
      <c r="M1360" s="5" t="str">
        <f>_xlfn.SWITCH(recruitment_data3[[#This Row],[RecruitmentStrategy]], 1,"Aggressive", 2,"Moderate", 3,"Conservative")</f>
        <v>Moderate</v>
      </c>
      <c r="N1360" s="5">
        <v>2</v>
      </c>
      <c r="O1360" s="5" t="str">
        <f>IF(recruitment_data3[[#This Row],[HiringDecision]]=1,"Hired","Rejected")</f>
        <v>Rejected</v>
      </c>
      <c r="P1360" s="6">
        <v>0</v>
      </c>
    </row>
    <row r="1361" spans="1:16" x14ac:dyDescent="0.25">
      <c r="A1361" s="4" t="str">
        <f t="shared" si="21"/>
        <v>C1360</v>
      </c>
      <c r="B1361" s="4">
        <v>42</v>
      </c>
      <c r="C1361" s="5" t="str">
        <f>IF(recruitment_data3[[#This Row],[Gender]]=1,"Female","Male")</f>
        <v>Female</v>
      </c>
      <c r="D1361" s="5">
        <v>1</v>
      </c>
      <c r="E1361" s="5" t="str">
        <f>_xlfn.SWITCH(recruitment_data3[[#This Row],[EducationLevel]], 1,"Bachelor Type 1", 2,"Bachelor Type 2", 3,"Masters", 4,"PhD")</f>
        <v>Masters</v>
      </c>
      <c r="F1361" s="5">
        <v>3</v>
      </c>
      <c r="G1361" s="5">
        <v>3</v>
      </c>
      <c r="H1361" s="5">
        <v>1</v>
      </c>
      <c r="I1361" s="5">
        <v>8.4404357259088005</v>
      </c>
      <c r="J1361" s="5">
        <v>45</v>
      </c>
      <c r="K1361" s="5">
        <v>47</v>
      </c>
      <c r="L1361" s="5">
        <v>24</v>
      </c>
      <c r="M1361" s="5" t="str">
        <f>_xlfn.SWITCH(recruitment_data3[[#This Row],[RecruitmentStrategy]], 1,"Aggressive", 2,"Moderate", 3,"Conservative")</f>
        <v>Conservative</v>
      </c>
      <c r="N1361" s="5">
        <v>3</v>
      </c>
      <c r="O1361" s="5" t="str">
        <f>IF(recruitment_data3[[#This Row],[HiringDecision]]=1,"Hired","Rejected")</f>
        <v>Rejected</v>
      </c>
      <c r="P1361" s="6">
        <v>0</v>
      </c>
    </row>
    <row r="1362" spans="1:16" x14ac:dyDescent="0.25">
      <c r="A1362" s="4" t="str">
        <f t="shared" si="21"/>
        <v>C1361</v>
      </c>
      <c r="B1362" s="4">
        <v>29</v>
      </c>
      <c r="C1362" s="5" t="str">
        <f>IF(recruitment_data3[[#This Row],[Gender]]=1,"Female","Male")</f>
        <v>Female</v>
      </c>
      <c r="D1362" s="5">
        <v>1</v>
      </c>
      <c r="E1362" s="5" t="str">
        <f>_xlfn.SWITCH(recruitment_data3[[#This Row],[EducationLevel]], 1,"Bachelor Type 1", 2,"Bachelor Type 2", 3,"Masters", 4,"PhD")</f>
        <v>Bachelor Type 2</v>
      </c>
      <c r="F1362" s="5">
        <v>2</v>
      </c>
      <c r="G1362" s="5">
        <v>5</v>
      </c>
      <c r="H1362" s="5">
        <v>4</v>
      </c>
      <c r="I1362" s="5">
        <v>39.793614477206333</v>
      </c>
      <c r="J1362" s="5">
        <v>30</v>
      </c>
      <c r="K1362" s="5">
        <v>73</v>
      </c>
      <c r="L1362" s="5">
        <v>2</v>
      </c>
      <c r="M1362" s="5" t="str">
        <f>_xlfn.SWITCH(recruitment_data3[[#This Row],[RecruitmentStrategy]], 1,"Aggressive", 2,"Moderate", 3,"Conservative")</f>
        <v>Moderate</v>
      </c>
      <c r="N1362" s="5">
        <v>2</v>
      </c>
      <c r="O1362" s="5" t="str">
        <f>IF(recruitment_data3[[#This Row],[HiringDecision]]=1,"Hired","Rejected")</f>
        <v>Rejected</v>
      </c>
      <c r="P1362" s="6">
        <v>0</v>
      </c>
    </row>
    <row r="1363" spans="1:16" x14ac:dyDescent="0.25">
      <c r="A1363" s="4" t="str">
        <f t="shared" si="21"/>
        <v>C1362</v>
      </c>
      <c r="B1363" s="4">
        <v>31</v>
      </c>
      <c r="C1363" s="5" t="str">
        <f>IF(recruitment_data3[[#This Row],[Gender]]=1,"Female","Male")</f>
        <v>Male</v>
      </c>
      <c r="D1363" s="5">
        <v>0</v>
      </c>
      <c r="E1363" s="5" t="str">
        <f>_xlfn.SWITCH(recruitment_data3[[#This Row],[EducationLevel]], 1,"Bachelor Type 1", 2,"Bachelor Type 2", 3,"Masters", 4,"PhD")</f>
        <v>Bachelor Type 1</v>
      </c>
      <c r="F1363" s="5">
        <v>1</v>
      </c>
      <c r="G1363" s="5">
        <v>9</v>
      </c>
      <c r="H1363" s="5">
        <v>2</v>
      </c>
      <c r="I1363" s="5">
        <v>23.339183825410576</v>
      </c>
      <c r="J1363" s="5">
        <v>31</v>
      </c>
      <c r="K1363" s="5">
        <v>82</v>
      </c>
      <c r="L1363" s="5">
        <v>2</v>
      </c>
      <c r="M1363" s="5" t="str">
        <f>_xlfn.SWITCH(recruitment_data3[[#This Row],[RecruitmentStrategy]], 1,"Aggressive", 2,"Moderate", 3,"Conservative")</f>
        <v>Aggressive</v>
      </c>
      <c r="N1363" s="5">
        <v>1</v>
      </c>
      <c r="O1363" s="5" t="str">
        <f>IF(recruitment_data3[[#This Row],[HiringDecision]]=1,"Hired","Rejected")</f>
        <v>Hired</v>
      </c>
      <c r="P1363" s="6">
        <v>1</v>
      </c>
    </row>
    <row r="1364" spans="1:16" x14ac:dyDescent="0.25">
      <c r="A1364" s="4" t="str">
        <f t="shared" si="21"/>
        <v>C1363</v>
      </c>
      <c r="B1364" s="4">
        <v>21</v>
      </c>
      <c r="C1364" s="5" t="str">
        <f>IF(recruitment_data3[[#This Row],[Gender]]=1,"Female","Male")</f>
        <v>Male</v>
      </c>
      <c r="D1364" s="5">
        <v>0</v>
      </c>
      <c r="E1364" s="5" t="str">
        <f>_xlfn.SWITCH(recruitment_data3[[#This Row],[EducationLevel]], 1,"Bachelor Type 1", 2,"Bachelor Type 2", 3,"Masters", 4,"PhD")</f>
        <v>Masters</v>
      </c>
      <c r="F1364" s="5">
        <v>3</v>
      </c>
      <c r="G1364" s="5">
        <v>0</v>
      </c>
      <c r="H1364" s="5">
        <v>1</v>
      </c>
      <c r="I1364" s="5">
        <v>23.375012390521416</v>
      </c>
      <c r="J1364" s="5">
        <v>31</v>
      </c>
      <c r="K1364" s="5">
        <v>55</v>
      </c>
      <c r="L1364" s="5">
        <v>83</v>
      </c>
      <c r="M1364" s="5" t="str">
        <f>_xlfn.SWITCH(recruitment_data3[[#This Row],[RecruitmentStrategy]], 1,"Aggressive", 2,"Moderate", 3,"Conservative")</f>
        <v>Moderate</v>
      </c>
      <c r="N1364" s="5">
        <v>2</v>
      </c>
      <c r="O1364" s="5" t="str">
        <f>IF(recruitment_data3[[#This Row],[HiringDecision]]=1,"Hired","Rejected")</f>
        <v>Rejected</v>
      </c>
      <c r="P1364" s="6">
        <v>0</v>
      </c>
    </row>
    <row r="1365" spans="1:16" x14ac:dyDescent="0.25">
      <c r="A1365" s="4" t="str">
        <f t="shared" si="21"/>
        <v>C1364</v>
      </c>
      <c r="B1365" s="4">
        <v>32</v>
      </c>
      <c r="C1365" s="5" t="str">
        <f>IF(recruitment_data3[[#This Row],[Gender]]=1,"Female","Male")</f>
        <v>Male</v>
      </c>
      <c r="D1365" s="5">
        <v>0</v>
      </c>
      <c r="E1365" s="5" t="str">
        <f>_xlfn.SWITCH(recruitment_data3[[#This Row],[EducationLevel]], 1,"Bachelor Type 1", 2,"Bachelor Type 2", 3,"Masters", 4,"PhD")</f>
        <v>Bachelor Type 1</v>
      </c>
      <c r="F1365" s="5">
        <v>1</v>
      </c>
      <c r="G1365" s="5">
        <v>10</v>
      </c>
      <c r="H1365" s="5">
        <v>3</v>
      </c>
      <c r="I1365" s="5">
        <v>48.751145980583424</v>
      </c>
      <c r="J1365" s="5">
        <v>98</v>
      </c>
      <c r="K1365" s="5">
        <v>94</v>
      </c>
      <c r="L1365" s="5">
        <v>27</v>
      </c>
      <c r="M1365" s="5" t="str">
        <f>_xlfn.SWITCH(recruitment_data3[[#This Row],[RecruitmentStrategy]], 1,"Aggressive", 2,"Moderate", 3,"Conservative")</f>
        <v>Aggressive</v>
      </c>
      <c r="N1365" s="5">
        <v>1</v>
      </c>
      <c r="O1365" s="5" t="str">
        <f>IF(recruitment_data3[[#This Row],[HiringDecision]]=1,"Hired","Rejected")</f>
        <v>Hired</v>
      </c>
      <c r="P1365" s="6">
        <v>1</v>
      </c>
    </row>
    <row r="1366" spans="1:16" x14ac:dyDescent="0.25">
      <c r="A1366" s="4" t="str">
        <f t="shared" si="21"/>
        <v>C1365</v>
      </c>
      <c r="B1366" s="4">
        <v>27</v>
      </c>
      <c r="C1366" s="5" t="str">
        <f>IF(recruitment_data3[[#This Row],[Gender]]=1,"Female","Male")</f>
        <v>Male</v>
      </c>
      <c r="D1366" s="5">
        <v>0</v>
      </c>
      <c r="E1366" s="5" t="str">
        <f>_xlfn.SWITCH(recruitment_data3[[#This Row],[EducationLevel]], 1,"Bachelor Type 1", 2,"Bachelor Type 2", 3,"Masters", 4,"PhD")</f>
        <v>Masters</v>
      </c>
      <c r="F1366" s="5">
        <v>3</v>
      </c>
      <c r="G1366" s="5">
        <v>3</v>
      </c>
      <c r="H1366" s="5">
        <v>2</v>
      </c>
      <c r="I1366" s="5">
        <v>46.981745401403714</v>
      </c>
      <c r="J1366" s="5">
        <v>52</v>
      </c>
      <c r="K1366" s="5">
        <v>16</v>
      </c>
      <c r="L1366" s="5">
        <v>22</v>
      </c>
      <c r="M1366" s="5" t="str">
        <f>_xlfn.SWITCH(recruitment_data3[[#This Row],[RecruitmentStrategy]], 1,"Aggressive", 2,"Moderate", 3,"Conservative")</f>
        <v>Conservative</v>
      </c>
      <c r="N1366" s="5">
        <v>3</v>
      </c>
      <c r="O1366" s="5" t="str">
        <f>IF(recruitment_data3[[#This Row],[HiringDecision]]=1,"Hired","Rejected")</f>
        <v>Rejected</v>
      </c>
      <c r="P1366" s="6">
        <v>0</v>
      </c>
    </row>
    <row r="1367" spans="1:16" x14ac:dyDescent="0.25">
      <c r="A1367" s="4" t="str">
        <f t="shared" si="21"/>
        <v>C1366</v>
      </c>
      <c r="B1367" s="4">
        <v>21</v>
      </c>
      <c r="C1367" s="5" t="str">
        <f>IF(recruitment_data3[[#This Row],[Gender]]=1,"Female","Male")</f>
        <v>Female</v>
      </c>
      <c r="D1367" s="5">
        <v>1</v>
      </c>
      <c r="E1367" s="5" t="str">
        <f>_xlfn.SWITCH(recruitment_data3[[#This Row],[EducationLevel]], 1,"Bachelor Type 1", 2,"Bachelor Type 2", 3,"Masters", 4,"PhD")</f>
        <v>Masters</v>
      </c>
      <c r="F1367" s="5">
        <v>3</v>
      </c>
      <c r="G1367" s="5">
        <v>9</v>
      </c>
      <c r="H1367" s="5">
        <v>1</v>
      </c>
      <c r="I1367" s="5">
        <v>16.559736890200462</v>
      </c>
      <c r="J1367" s="5">
        <v>60</v>
      </c>
      <c r="K1367" s="5">
        <v>8</v>
      </c>
      <c r="L1367" s="5">
        <v>47</v>
      </c>
      <c r="M1367" s="5" t="str">
        <f>_xlfn.SWITCH(recruitment_data3[[#This Row],[RecruitmentStrategy]], 1,"Aggressive", 2,"Moderate", 3,"Conservative")</f>
        <v>Aggressive</v>
      </c>
      <c r="N1367" s="5">
        <v>1</v>
      </c>
      <c r="O1367" s="5" t="str">
        <f>IF(recruitment_data3[[#This Row],[HiringDecision]]=1,"Hired","Rejected")</f>
        <v>Hired</v>
      </c>
      <c r="P1367" s="6">
        <v>1</v>
      </c>
    </row>
    <row r="1368" spans="1:16" x14ac:dyDescent="0.25">
      <c r="A1368" s="4" t="str">
        <f t="shared" si="21"/>
        <v>C1367</v>
      </c>
      <c r="B1368" s="4">
        <v>39</v>
      </c>
      <c r="C1368" s="5" t="str">
        <f>IF(recruitment_data3[[#This Row],[Gender]]=1,"Female","Male")</f>
        <v>Female</v>
      </c>
      <c r="D1368" s="5">
        <v>1</v>
      </c>
      <c r="E1368" s="5" t="str">
        <f>_xlfn.SWITCH(recruitment_data3[[#This Row],[EducationLevel]], 1,"Bachelor Type 1", 2,"Bachelor Type 2", 3,"Masters", 4,"PhD")</f>
        <v>Bachelor Type 2</v>
      </c>
      <c r="F1368" s="5">
        <v>2</v>
      </c>
      <c r="G1368" s="5">
        <v>12</v>
      </c>
      <c r="H1368" s="5">
        <v>5</v>
      </c>
      <c r="I1368" s="5">
        <v>11.452906439043307</v>
      </c>
      <c r="J1368" s="5">
        <v>45</v>
      </c>
      <c r="K1368" s="5">
        <v>96</v>
      </c>
      <c r="L1368" s="5">
        <v>66</v>
      </c>
      <c r="M1368" s="5" t="str">
        <f>_xlfn.SWITCH(recruitment_data3[[#This Row],[RecruitmentStrategy]], 1,"Aggressive", 2,"Moderate", 3,"Conservative")</f>
        <v>Moderate</v>
      </c>
      <c r="N1368" s="5">
        <v>2</v>
      </c>
      <c r="O1368" s="5" t="str">
        <f>IF(recruitment_data3[[#This Row],[HiringDecision]]=1,"Hired","Rejected")</f>
        <v>Rejected</v>
      </c>
      <c r="P1368" s="6">
        <v>0</v>
      </c>
    </row>
    <row r="1369" spans="1:16" x14ac:dyDescent="0.25">
      <c r="A1369" s="4" t="str">
        <f t="shared" si="21"/>
        <v>C1368</v>
      </c>
      <c r="B1369" s="4">
        <v>20</v>
      </c>
      <c r="C1369" s="5" t="str">
        <f>IF(recruitment_data3[[#This Row],[Gender]]=1,"Female","Male")</f>
        <v>Male</v>
      </c>
      <c r="D1369" s="5">
        <v>0</v>
      </c>
      <c r="E1369" s="5" t="str">
        <f>_xlfn.SWITCH(recruitment_data3[[#This Row],[EducationLevel]], 1,"Bachelor Type 1", 2,"Bachelor Type 2", 3,"Masters", 4,"PhD")</f>
        <v>Masters</v>
      </c>
      <c r="F1369" s="5">
        <v>3</v>
      </c>
      <c r="G1369" s="5">
        <v>3</v>
      </c>
      <c r="H1369" s="5">
        <v>3</v>
      </c>
      <c r="I1369" s="5">
        <v>43.424110496686986</v>
      </c>
      <c r="J1369" s="5">
        <v>84</v>
      </c>
      <c r="K1369" s="5">
        <v>33</v>
      </c>
      <c r="L1369" s="5">
        <v>41</v>
      </c>
      <c r="M1369" s="5" t="str">
        <f>_xlfn.SWITCH(recruitment_data3[[#This Row],[RecruitmentStrategy]], 1,"Aggressive", 2,"Moderate", 3,"Conservative")</f>
        <v>Aggressive</v>
      </c>
      <c r="N1369" s="5">
        <v>1</v>
      </c>
      <c r="O1369" s="5" t="str">
        <f>IF(recruitment_data3[[#This Row],[HiringDecision]]=1,"Hired","Rejected")</f>
        <v>Hired</v>
      </c>
      <c r="P1369" s="6">
        <v>1</v>
      </c>
    </row>
    <row r="1370" spans="1:16" x14ac:dyDescent="0.25">
      <c r="A1370" s="4" t="str">
        <f t="shared" si="21"/>
        <v>C1369</v>
      </c>
      <c r="B1370" s="4">
        <v>50</v>
      </c>
      <c r="C1370" s="5" t="str">
        <f>IF(recruitment_data3[[#This Row],[Gender]]=1,"Female","Male")</f>
        <v>Female</v>
      </c>
      <c r="D1370" s="5">
        <v>1</v>
      </c>
      <c r="E1370" s="5" t="str">
        <f>_xlfn.SWITCH(recruitment_data3[[#This Row],[EducationLevel]], 1,"Bachelor Type 1", 2,"Bachelor Type 2", 3,"Masters", 4,"PhD")</f>
        <v>Bachelor Type 2</v>
      </c>
      <c r="F1370" s="5">
        <v>2</v>
      </c>
      <c r="G1370" s="5">
        <v>9</v>
      </c>
      <c r="H1370" s="5">
        <v>5</v>
      </c>
      <c r="I1370" s="5">
        <v>46.300953552218161</v>
      </c>
      <c r="J1370" s="5">
        <v>73</v>
      </c>
      <c r="K1370" s="5">
        <v>44</v>
      </c>
      <c r="L1370" s="5">
        <v>87</v>
      </c>
      <c r="M1370" s="5" t="str">
        <f>_xlfn.SWITCH(recruitment_data3[[#This Row],[RecruitmentStrategy]], 1,"Aggressive", 2,"Moderate", 3,"Conservative")</f>
        <v>Conservative</v>
      </c>
      <c r="N1370" s="5">
        <v>3</v>
      </c>
      <c r="O1370" s="5" t="str">
        <f>IF(recruitment_data3[[#This Row],[HiringDecision]]=1,"Hired","Rejected")</f>
        <v>Rejected</v>
      </c>
      <c r="P1370" s="6">
        <v>0</v>
      </c>
    </row>
    <row r="1371" spans="1:16" x14ac:dyDescent="0.25">
      <c r="A1371" s="4" t="str">
        <f t="shared" si="21"/>
        <v>C1370</v>
      </c>
      <c r="B1371" s="4">
        <v>24</v>
      </c>
      <c r="C1371" s="5" t="str">
        <f>IF(recruitment_data3[[#This Row],[Gender]]=1,"Female","Male")</f>
        <v>Male</v>
      </c>
      <c r="D1371" s="5">
        <v>0</v>
      </c>
      <c r="E1371" s="5" t="str">
        <f>_xlfn.SWITCH(recruitment_data3[[#This Row],[EducationLevel]], 1,"Bachelor Type 1", 2,"Bachelor Type 2", 3,"Masters", 4,"PhD")</f>
        <v>Bachelor Type 2</v>
      </c>
      <c r="F1371" s="5">
        <v>2</v>
      </c>
      <c r="G1371" s="5">
        <v>15</v>
      </c>
      <c r="H1371" s="5">
        <v>1</v>
      </c>
      <c r="I1371" s="5">
        <v>28.079846139924346</v>
      </c>
      <c r="J1371" s="5">
        <v>79</v>
      </c>
      <c r="K1371" s="5">
        <v>87</v>
      </c>
      <c r="L1371" s="5">
        <v>39</v>
      </c>
      <c r="M1371" s="5" t="str">
        <f>_xlfn.SWITCH(recruitment_data3[[#This Row],[RecruitmentStrategy]], 1,"Aggressive", 2,"Moderate", 3,"Conservative")</f>
        <v>Moderate</v>
      </c>
      <c r="N1371" s="5">
        <v>2</v>
      </c>
      <c r="O1371" s="5" t="str">
        <f>IF(recruitment_data3[[#This Row],[HiringDecision]]=1,"Hired","Rejected")</f>
        <v>Rejected</v>
      </c>
      <c r="P1371" s="6">
        <v>0</v>
      </c>
    </row>
    <row r="1372" spans="1:16" x14ac:dyDescent="0.25">
      <c r="A1372" s="4" t="str">
        <f t="shared" si="21"/>
        <v>C1371</v>
      </c>
      <c r="B1372" s="4">
        <v>28</v>
      </c>
      <c r="C1372" s="5" t="str">
        <f>IF(recruitment_data3[[#This Row],[Gender]]=1,"Female","Male")</f>
        <v>Male</v>
      </c>
      <c r="D1372" s="5">
        <v>0</v>
      </c>
      <c r="E1372" s="5" t="str">
        <f>_xlfn.SWITCH(recruitment_data3[[#This Row],[EducationLevel]], 1,"Bachelor Type 1", 2,"Bachelor Type 2", 3,"Masters", 4,"PhD")</f>
        <v>Bachelor Type 1</v>
      </c>
      <c r="F1372" s="5">
        <v>1</v>
      </c>
      <c r="G1372" s="5">
        <v>0</v>
      </c>
      <c r="H1372" s="5">
        <v>5</v>
      </c>
      <c r="I1372" s="5">
        <v>32.47118555585503</v>
      </c>
      <c r="J1372" s="5">
        <v>6</v>
      </c>
      <c r="K1372" s="5">
        <v>8</v>
      </c>
      <c r="L1372" s="5">
        <v>5</v>
      </c>
      <c r="M1372" s="5" t="str">
        <f>_xlfn.SWITCH(recruitment_data3[[#This Row],[RecruitmentStrategy]], 1,"Aggressive", 2,"Moderate", 3,"Conservative")</f>
        <v>Conservative</v>
      </c>
      <c r="N1372" s="5">
        <v>3</v>
      </c>
      <c r="O1372" s="5" t="str">
        <f>IF(recruitment_data3[[#This Row],[HiringDecision]]=1,"Hired","Rejected")</f>
        <v>Rejected</v>
      </c>
      <c r="P1372" s="6">
        <v>0</v>
      </c>
    </row>
    <row r="1373" spans="1:16" x14ac:dyDescent="0.25">
      <c r="A1373" s="4" t="str">
        <f t="shared" si="21"/>
        <v>C1372</v>
      </c>
      <c r="B1373" s="4">
        <v>36</v>
      </c>
      <c r="C1373" s="5" t="str">
        <f>IF(recruitment_data3[[#This Row],[Gender]]=1,"Female","Male")</f>
        <v>Female</v>
      </c>
      <c r="D1373" s="5">
        <v>1</v>
      </c>
      <c r="E1373" s="5" t="str">
        <f>_xlfn.SWITCH(recruitment_data3[[#This Row],[EducationLevel]], 1,"Bachelor Type 1", 2,"Bachelor Type 2", 3,"Masters", 4,"PhD")</f>
        <v>Bachelor Type 2</v>
      </c>
      <c r="F1373" s="5">
        <v>2</v>
      </c>
      <c r="G1373" s="5">
        <v>8</v>
      </c>
      <c r="H1373" s="5">
        <v>1</v>
      </c>
      <c r="I1373" s="5">
        <v>13.845714234614668</v>
      </c>
      <c r="J1373" s="5">
        <v>3</v>
      </c>
      <c r="K1373" s="5">
        <v>6</v>
      </c>
      <c r="L1373" s="5">
        <v>19</v>
      </c>
      <c r="M1373" s="5" t="str">
        <f>_xlfn.SWITCH(recruitment_data3[[#This Row],[RecruitmentStrategy]], 1,"Aggressive", 2,"Moderate", 3,"Conservative")</f>
        <v>Aggressive</v>
      </c>
      <c r="N1373" s="5">
        <v>1</v>
      </c>
      <c r="O1373" s="5" t="str">
        <f>IF(recruitment_data3[[#This Row],[HiringDecision]]=1,"Hired","Rejected")</f>
        <v>Rejected</v>
      </c>
      <c r="P1373" s="6">
        <v>0</v>
      </c>
    </row>
    <row r="1374" spans="1:16" x14ac:dyDescent="0.25">
      <c r="A1374" s="4" t="str">
        <f t="shared" si="21"/>
        <v>C1373</v>
      </c>
      <c r="B1374" s="4">
        <v>28</v>
      </c>
      <c r="C1374" s="5" t="str">
        <f>IF(recruitment_data3[[#This Row],[Gender]]=1,"Female","Male")</f>
        <v>Female</v>
      </c>
      <c r="D1374" s="5">
        <v>1</v>
      </c>
      <c r="E1374" s="5" t="str">
        <f>_xlfn.SWITCH(recruitment_data3[[#This Row],[EducationLevel]], 1,"Bachelor Type 1", 2,"Bachelor Type 2", 3,"Masters", 4,"PhD")</f>
        <v>PhD</v>
      </c>
      <c r="F1374" s="5">
        <v>4</v>
      </c>
      <c r="G1374" s="5">
        <v>3</v>
      </c>
      <c r="H1374" s="5">
        <v>1</v>
      </c>
      <c r="I1374" s="5">
        <v>41.040134398926227</v>
      </c>
      <c r="J1374" s="5">
        <v>90</v>
      </c>
      <c r="K1374" s="5">
        <v>15</v>
      </c>
      <c r="L1374" s="5">
        <v>10</v>
      </c>
      <c r="M1374" s="5" t="str">
        <f>_xlfn.SWITCH(recruitment_data3[[#This Row],[RecruitmentStrategy]], 1,"Aggressive", 2,"Moderate", 3,"Conservative")</f>
        <v>Aggressive</v>
      </c>
      <c r="N1374" s="5">
        <v>1</v>
      </c>
      <c r="O1374" s="5" t="str">
        <f>IF(recruitment_data3[[#This Row],[HiringDecision]]=1,"Hired","Rejected")</f>
        <v>Hired</v>
      </c>
      <c r="P1374" s="6">
        <v>1</v>
      </c>
    </row>
    <row r="1375" spans="1:16" x14ac:dyDescent="0.25">
      <c r="A1375" s="4" t="str">
        <f t="shared" si="21"/>
        <v>C1374</v>
      </c>
      <c r="B1375" s="4">
        <v>30</v>
      </c>
      <c r="C1375" s="5" t="str">
        <f>IF(recruitment_data3[[#This Row],[Gender]]=1,"Female","Male")</f>
        <v>Female</v>
      </c>
      <c r="D1375" s="5">
        <v>1</v>
      </c>
      <c r="E1375" s="5" t="str">
        <f>_xlfn.SWITCH(recruitment_data3[[#This Row],[EducationLevel]], 1,"Bachelor Type 1", 2,"Bachelor Type 2", 3,"Masters", 4,"PhD")</f>
        <v>Bachelor Type 2</v>
      </c>
      <c r="F1375" s="5">
        <v>2</v>
      </c>
      <c r="G1375" s="5">
        <v>6</v>
      </c>
      <c r="H1375" s="5">
        <v>5</v>
      </c>
      <c r="I1375" s="5">
        <v>32.606121422451153</v>
      </c>
      <c r="J1375" s="5">
        <v>51</v>
      </c>
      <c r="K1375" s="5">
        <v>18</v>
      </c>
      <c r="L1375" s="5">
        <v>95</v>
      </c>
      <c r="M1375" s="5" t="str">
        <f>_xlfn.SWITCH(recruitment_data3[[#This Row],[RecruitmentStrategy]], 1,"Aggressive", 2,"Moderate", 3,"Conservative")</f>
        <v>Aggressive</v>
      </c>
      <c r="N1375" s="5">
        <v>1</v>
      </c>
      <c r="O1375" s="5" t="str">
        <f>IF(recruitment_data3[[#This Row],[HiringDecision]]=1,"Hired","Rejected")</f>
        <v>Hired</v>
      </c>
      <c r="P1375" s="6">
        <v>1</v>
      </c>
    </row>
    <row r="1376" spans="1:16" x14ac:dyDescent="0.25">
      <c r="A1376" s="4" t="str">
        <f t="shared" si="21"/>
        <v>C1375</v>
      </c>
      <c r="B1376" s="4">
        <v>34</v>
      </c>
      <c r="C1376" s="5" t="str">
        <f>IF(recruitment_data3[[#This Row],[Gender]]=1,"Female","Male")</f>
        <v>Female</v>
      </c>
      <c r="D1376" s="5">
        <v>1</v>
      </c>
      <c r="E1376" s="5" t="str">
        <f>_xlfn.SWITCH(recruitment_data3[[#This Row],[EducationLevel]], 1,"Bachelor Type 1", 2,"Bachelor Type 2", 3,"Masters", 4,"PhD")</f>
        <v>Bachelor Type 2</v>
      </c>
      <c r="F1376" s="5">
        <v>2</v>
      </c>
      <c r="G1376" s="5">
        <v>11</v>
      </c>
      <c r="H1376" s="5">
        <v>1</v>
      </c>
      <c r="I1376" s="5">
        <v>26.17567556489983</v>
      </c>
      <c r="J1376" s="5">
        <v>88</v>
      </c>
      <c r="K1376" s="5">
        <v>5</v>
      </c>
      <c r="L1376" s="5">
        <v>26</v>
      </c>
      <c r="M1376" s="5" t="str">
        <f>_xlfn.SWITCH(recruitment_data3[[#This Row],[RecruitmentStrategy]], 1,"Aggressive", 2,"Moderate", 3,"Conservative")</f>
        <v>Conservative</v>
      </c>
      <c r="N1376" s="5">
        <v>3</v>
      </c>
      <c r="O1376" s="5" t="str">
        <f>IF(recruitment_data3[[#This Row],[HiringDecision]]=1,"Hired","Rejected")</f>
        <v>Rejected</v>
      </c>
      <c r="P1376" s="6">
        <v>0</v>
      </c>
    </row>
    <row r="1377" spans="1:16" x14ac:dyDescent="0.25">
      <c r="A1377" s="4" t="str">
        <f t="shared" si="21"/>
        <v>C1376</v>
      </c>
      <c r="B1377" s="4">
        <v>43</v>
      </c>
      <c r="C1377" s="5" t="str">
        <f>IF(recruitment_data3[[#This Row],[Gender]]=1,"Female","Male")</f>
        <v>Female</v>
      </c>
      <c r="D1377" s="5">
        <v>1</v>
      </c>
      <c r="E1377" s="5" t="str">
        <f>_xlfn.SWITCH(recruitment_data3[[#This Row],[EducationLevel]], 1,"Bachelor Type 1", 2,"Bachelor Type 2", 3,"Masters", 4,"PhD")</f>
        <v>Bachelor Type 2</v>
      </c>
      <c r="F1377" s="5">
        <v>2</v>
      </c>
      <c r="G1377" s="5">
        <v>13</v>
      </c>
      <c r="H1377" s="5">
        <v>2</v>
      </c>
      <c r="I1377" s="5">
        <v>4.0054278039197913</v>
      </c>
      <c r="J1377" s="5">
        <v>30</v>
      </c>
      <c r="K1377" s="5">
        <v>10</v>
      </c>
      <c r="L1377" s="5">
        <v>20</v>
      </c>
      <c r="M1377" s="5" t="str">
        <f>_xlfn.SWITCH(recruitment_data3[[#This Row],[RecruitmentStrategy]], 1,"Aggressive", 2,"Moderate", 3,"Conservative")</f>
        <v>Conservative</v>
      </c>
      <c r="N1377" s="5">
        <v>3</v>
      </c>
      <c r="O1377" s="5" t="str">
        <f>IF(recruitment_data3[[#This Row],[HiringDecision]]=1,"Hired","Rejected")</f>
        <v>Rejected</v>
      </c>
      <c r="P1377" s="6">
        <v>0</v>
      </c>
    </row>
    <row r="1378" spans="1:16" x14ac:dyDescent="0.25">
      <c r="A1378" s="4" t="str">
        <f t="shared" si="21"/>
        <v>C1377</v>
      </c>
      <c r="B1378" s="4">
        <v>25</v>
      </c>
      <c r="C1378" s="5" t="str">
        <f>IF(recruitment_data3[[#This Row],[Gender]]=1,"Female","Male")</f>
        <v>Female</v>
      </c>
      <c r="D1378" s="5">
        <v>1</v>
      </c>
      <c r="E1378" s="5" t="str">
        <f>_xlfn.SWITCH(recruitment_data3[[#This Row],[EducationLevel]], 1,"Bachelor Type 1", 2,"Bachelor Type 2", 3,"Masters", 4,"PhD")</f>
        <v>Bachelor Type 2</v>
      </c>
      <c r="F1378" s="5">
        <v>2</v>
      </c>
      <c r="G1378" s="5">
        <v>2</v>
      </c>
      <c r="H1378" s="5">
        <v>1</v>
      </c>
      <c r="I1378" s="5">
        <v>46.796748125557684</v>
      </c>
      <c r="J1378" s="5">
        <v>74</v>
      </c>
      <c r="K1378" s="5">
        <v>75</v>
      </c>
      <c r="L1378" s="5">
        <v>12</v>
      </c>
      <c r="M1378" s="5" t="str">
        <f>_xlfn.SWITCH(recruitment_data3[[#This Row],[RecruitmentStrategy]], 1,"Aggressive", 2,"Moderate", 3,"Conservative")</f>
        <v>Aggressive</v>
      </c>
      <c r="N1378" s="5">
        <v>1</v>
      </c>
      <c r="O1378" s="5" t="str">
        <f>IF(recruitment_data3[[#This Row],[HiringDecision]]=1,"Hired","Rejected")</f>
        <v>Hired</v>
      </c>
      <c r="P1378" s="6">
        <v>1</v>
      </c>
    </row>
    <row r="1379" spans="1:16" x14ac:dyDescent="0.25">
      <c r="A1379" s="4" t="str">
        <f t="shared" si="21"/>
        <v>C1378</v>
      </c>
      <c r="B1379" s="4">
        <v>42</v>
      </c>
      <c r="C1379" s="5" t="str">
        <f>IF(recruitment_data3[[#This Row],[Gender]]=1,"Female","Male")</f>
        <v>Female</v>
      </c>
      <c r="D1379" s="5">
        <v>1</v>
      </c>
      <c r="E1379" s="5" t="str">
        <f>_xlfn.SWITCH(recruitment_data3[[#This Row],[EducationLevel]], 1,"Bachelor Type 1", 2,"Bachelor Type 2", 3,"Masters", 4,"PhD")</f>
        <v>Bachelor Type 1</v>
      </c>
      <c r="F1379" s="5">
        <v>1</v>
      </c>
      <c r="G1379" s="5">
        <v>9</v>
      </c>
      <c r="H1379" s="5">
        <v>4</v>
      </c>
      <c r="I1379" s="5">
        <v>31.772571019220301</v>
      </c>
      <c r="J1379" s="5">
        <v>83</v>
      </c>
      <c r="K1379" s="5">
        <v>60</v>
      </c>
      <c r="L1379" s="5">
        <v>85</v>
      </c>
      <c r="M1379" s="5" t="str">
        <f>_xlfn.SWITCH(recruitment_data3[[#This Row],[RecruitmentStrategy]], 1,"Aggressive", 2,"Moderate", 3,"Conservative")</f>
        <v>Aggressive</v>
      </c>
      <c r="N1379" s="5">
        <v>1</v>
      </c>
      <c r="O1379" s="5" t="str">
        <f>IF(recruitment_data3[[#This Row],[HiringDecision]]=1,"Hired","Rejected")</f>
        <v>Hired</v>
      </c>
      <c r="P1379" s="6">
        <v>1</v>
      </c>
    </row>
    <row r="1380" spans="1:16" x14ac:dyDescent="0.25">
      <c r="A1380" s="4" t="str">
        <f t="shared" si="21"/>
        <v>C1379</v>
      </c>
      <c r="B1380" s="4">
        <v>22</v>
      </c>
      <c r="C1380" s="5" t="str">
        <f>IF(recruitment_data3[[#This Row],[Gender]]=1,"Female","Male")</f>
        <v>Male</v>
      </c>
      <c r="D1380" s="5">
        <v>0</v>
      </c>
      <c r="E1380" s="5" t="str">
        <f>_xlfn.SWITCH(recruitment_data3[[#This Row],[EducationLevel]], 1,"Bachelor Type 1", 2,"Bachelor Type 2", 3,"Masters", 4,"PhD")</f>
        <v>Bachelor Type 2</v>
      </c>
      <c r="F1380" s="5">
        <v>2</v>
      </c>
      <c r="G1380" s="5">
        <v>11</v>
      </c>
      <c r="H1380" s="5">
        <v>1</v>
      </c>
      <c r="I1380" s="5">
        <v>10.634554734648399</v>
      </c>
      <c r="J1380" s="5">
        <v>35</v>
      </c>
      <c r="K1380" s="5">
        <v>41</v>
      </c>
      <c r="L1380" s="5">
        <v>34</v>
      </c>
      <c r="M1380" s="5" t="str">
        <f>_xlfn.SWITCH(recruitment_data3[[#This Row],[RecruitmentStrategy]], 1,"Aggressive", 2,"Moderate", 3,"Conservative")</f>
        <v>Moderate</v>
      </c>
      <c r="N1380" s="5">
        <v>2</v>
      </c>
      <c r="O1380" s="5" t="str">
        <f>IF(recruitment_data3[[#This Row],[HiringDecision]]=1,"Hired","Rejected")</f>
        <v>Rejected</v>
      </c>
      <c r="P1380" s="6">
        <v>0</v>
      </c>
    </row>
    <row r="1381" spans="1:16" x14ac:dyDescent="0.25">
      <c r="A1381" s="4" t="str">
        <f t="shared" si="21"/>
        <v>C1380</v>
      </c>
      <c r="B1381" s="4">
        <v>49</v>
      </c>
      <c r="C1381" s="5" t="str">
        <f>IF(recruitment_data3[[#This Row],[Gender]]=1,"Female","Male")</f>
        <v>Male</v>
      </c>
      <c r="D1381" s="5">
        <v>0</v>
      </c>
      <c r="E1381" s="5" t="str">
        <f>_xlfn.SWITCH(recruitment_data3[[#This Row],[EducationLevel]], 1,"Bachelor Type 1", 2,"Bachelor Type 2", 3,"Masters", 4,"PhD")</f>
        <v>Masters</v>
      </c>
      <c r="F1381" s="5">
        <v>3</v>
      </c>
      <c r="G1381" s="5">
        <v>2</v>
      </c>
      <c r="H1381" s="5">
        <v>4</v>
      </c>
      <c r="I1381" s="5">
        <v>31.319305849152638</v>
      </c>
      <c r="J1381" s="5">
        <v>53</v>
      </c>
      <c r="K1381" s="5">
        <v>12</v>
      </c>
      <c r="L1381" s="5">
        <v>46</v>
      </c>
      <c r="M1381" s="5" t="str">
        <f>_xlfn.SWITCH(recruitment_data3[[#This Row],[RecruitmentStrategy]], 1,"Aggressive", 2,"Moderate", 3,"Conservative")</f>
        <v>Aggressive</v>
      </c>
      <c r="N1381" s="5">
        <v>1</v>
      </c>
      <c r="O1381" s="5" t="str">
        <f>IF(recruitment_data3[[#This Row],[HiringDecision]]=1,"Hired","Rejected")</f>
        <v>Rejected</v>
      </c>
      <c r="P1381" s="6">
        <v>0</v>
      </c>
    </row>
    <row r="1382" spans="1:16" x14ac:dyDescent="0.25">
      <c r="A1382" s="4" t="str">
        <f t="shared" si="21"/>
        <v>C1381</v>
      </c>
      <c r="B1382" s="4">
        <v>50</v>
      </c>
      <c r="C1382" s="5" t="str">
        <f>IF(recruitment_data3[[#This Row],[Gender]]=1,"Female","Male")</f>
        <v>Male</v>
      </c>
      <c r="D1382" s="5">
        <v>0</v>
      </c>
      <c r="E1382" s="5" t="str">
        <f>_xlfn.SWITCH(recruitment_data3[[#This Row],[EducationLevel]], 1,"Bachelor Type 1", 2,"Bachelor Type 2", 3,"Masters", 4,"PhD")</f>
        <v>Bachelor Type 2</v>
      </c>
      <c r="F1382" s="5">
        <v>2</v>
      </c>
      <c r="G1382" s="5">
        <v>13</v>
      </c>
      <c r="H1382" s="5">
        <v>1</v>
      </c>
      <c r="I1382" s="5">
        <v>34.873167711998668</v>
      </c>
      <c r="J1382" s="5">
        <v>53</v>
      </c>
      <c r="K1382" s="5">
        <v>11</v>
      </c>
      <c r="L1382" s="5">
        <v>85</v>
      </c>
      <c r="M1382" s="5" t="str">
        <f>_xlfn.SWITCH(recruitment_data3[[#This Row],[RecruitmentStrategy]], 1,"Aggressive", 2,"Moderate", 3,"Conservative")</f>
        <v>Aggressive</v>
      </c>
      <c r="N1382" s="5">
        <v>1</v>
      </c>
      <c r="O1382" s="5" t="str">
        <f>IF(recruitment_data3[[#This Row],[HiringDecision]]=1,"Hired","Rejected")</f>
        <v>Hired</v>
      </c>
      <c r="P1382" s="6">
        <v>1</v>
      </c>
    </row>
    <row r="1383" spans="1:16" x14ac:dyDescent="0.25">
      <c r="A1383" s="4" t="str">
        <f t="shared" si="21"/>
        <v>C1382</v>
      </c>
      <c r="B1383" s="4">
        <v>36</v>
      </c>
      <c r="C1383" s="5" t="str">
        <f>IF(recruitment_data3[[#This Row],[Gender]]=1,"Female","Male")</f>
        <v>Male</v>
      </c>
      <c r="D1383" s="5">
        <v>0</v>
      </c>
      <c r="E1383" s="5" t="str">
        <f>_xlfn.SWITCH(recruitment_data3[[#This Row],[EducationLevel]], 1,"Bachelor Type 1", 2,"Bachelor Type 2", 3,"Masters", 4,"PhD")</f>
        <v>Bachelor Type 2</v>
      </c>
      <c r="F1383" s="5">
        <v>2</v>
      </c>
      <c r="G1383" s="5">
        <v>7</v>
      </c>
      <c r="H1383" s="5">
        <v>1</v>
      </c>
      <c r="I1383" s="5">
        <v>27.288516834161275</v>
      </c>
      <c r="J1383" s="5">
        <v>16</v>
      </c>
      <c r="K1383" s="5">
        <v>84</v>
      </c>
      <c r="L1383" s="5">
        <v>27</v>
      </c>
      <c r="M1383" s="5" t="str">
        <f>_xlfn.SWITCH(recruitment_data3[[#This Row],[RecruitmentStrategy]], 1,"Aggressive", 2,"Moderate", 3,"Conservative")</f>
        <v>Aggressive</v>
      </c>
      <c r="N1383" s="5">
        <v>1</v>
      </c>
      <c r="O1383" s="5" t="str">
        <f>IF(recruitment_data3[[#This Row],[HiringDecision]]=1,"Hired","Rejected")</f>
        <v>Hired</v>
      </c>
      <c r="P1383" s="6">
        <v>1</v>
      </c>
    </row>
    <row r="1384" spans="1:16" x14ac:dyDescent="0.25">
      <c r="A1384" s="4" t="str">
        <f t="shared" si="21"/>
        <v>C1383</v>
      </c>
      <c r="B1384" s="4">
        <v>24</v>
      </c>
      <c r="C1384" s="5" t="str">
        <f>IF(recruitment_data3[[#This Row],[Gender]]=1,"Female","Male")</f>
        <v>Male</v>
      </c>
      <c r="D1384" s="5">
        <v>0</v>
      </c>
      <c r="E1384" s="5" t="str">
        <f>_xlfn.SWITCH(recruitment_data3[[#This Row],[EducationLevel]], 1,"Bachelor Type 1", 2,"Bachelor Type 2", 3,"Masters", 4,"PhD")</f>
        <v>Bachelor Type 1</v>
      </c>
      <c r="F1384" s="5">
        <v>1</v>
      </c>
      <c r="G1384" s="5">
        <v>7</v>
      </c>
      <c r="H1384" s="5">
        <v>5</v>
      </c>
      <c r="I1384" s="5">
        <v>36.905086897801127</v>
      </c>
      <c r="J1384" s="5">
        <v>74</v>
      </c>
      <c r="K1384" s="5">
        <v>73</v>
      </c>
      <c r="L1384" s="5">
        <v>20</v>
      </c>
      <c r="M1384" s="5" t="str">
        <f>_xlfn.SWITCH(recruitment_data3[[#This Row],[RecruitmentStrategy]], 1,"Aggressive", 2,"Moderate", 3,"Conservative")</f>
        <v>Aggressive</v>
      </c>
      <c r="N1384" s="5">
        <v>1</v>
      </c>
      <c r="O1384" s="5" t="str">
        <f>IF(recruitment_data3[[#This Row],[HiringDecision]]=1,"Hired","Rejected")</f>
        <v>Hired</v>
      </c>
      <c r="P1384" s="6">
        <v>1</v>
      </c>
    </row>
    <row r="1385" spans="1:16" x14ac:dyDescent="0.25">
      <c r="A1385" s="4" t="str">
        <f t="shared" si="21"/>
        <v>C1384</v>
      </c>
      <c r="B1385" s="4">
        <v>49</v>
      </c>
      <c r="C1385" s="5" t="str">
        <f>IF(recruitment_data3[[#This Row],[Gender]]=1,"Female","Male")</f>
        <v>Female</v>
      </c>
      <c r="D1385" s="5">
        <v>1</v>
      </c>
      <c r="E1385" s="5" t="str">
        <f>_xlfn.SWITCH(recruitment_data3[[#This Row],[EducationLevel]], 1,"Bachelor Type 1", 2,"Bachelor Type 2", 3,"Masters", 4,"PhD")</f>
        <v>Bachelor Type 2</v>
      </c>
      <c r="F1385" s="5">
        <v>2</v>
      </c>
      <c r="G1385" s="5">
        <v>10</v>
      </c>
      <c r="H1385" s="5">
        <v>2</v>
      </c>
      <c r="I1385" s="5">
        <v>30.072697396431213</v>
      </c>
      <c r="J1385" s="5">
        <v>29</v>
      </c>
      <c r="K1385" s="5">
        <v>19</v>
      </c>
      <c r="L1385" s="5">
        <v>17</v>
      </c>
      <c r="M1385" s="5" t="str">
        <f>_xlfn.SWITCH(recruitment_data3[[#This Row],[RecruitmentStrategy]], 1,"Aggressive", 2,"Moderate", 3,"Conservative")</f>
        <v>Aggressive</v>
      </c>
      <c r="N1385" s="5">
        <v>1</v>
      </c>
      <c r="O1385" s="5" t="str">
        <f>IF(recruitment_data3[[#This Row],[HiringDecision]]=1,"Hired","Rejected")</f>
        <v>Hired</v>
      </c>
      <c r="P1385" s="6">
        <v>1</v>
      </c>
    </row>
    <row r="1386" spans="1:16" x14ac:dyDescent="0.25">
      <c r="A1386" s="4" t="str">
        <f t="shared" si="21"/>
        <v>C1385</v>
      </c>
      <c r="B1386" s="4">
        <v>47</v>
      </c>
      <c r="C1386" s="5" t="str">
        <f>IF(recruitment_data3[[#This Row],[Gender]]=1,"Female","Male")</f>
        <v>Male</v>
      </c>
      <c r="D1386" s="5">
        <v>0</v>
      </c>
      <c r="E1386" s="5" t="str">
        <f>_xlfn.SWITCH(recruitment_data3[[#This Row],[EducationLevel]], 1,"Bachelor Type 1", 2,"Bachelor Type 2", 3,"Masters", 4,"PhD")</f>
        <v>Masters</v>
      </c>
      <c r="F1386" s="5">
        <v>3</v>
      </c>
      <c r="G1386" s="5">
        <v>11</v>
      </c>
      <c r="H1386" s="5">
        <v>2</v>
      </c>
      <c r="I1386" s="5">
        <v>48.388479101607409</v>
      </c>
      <c r="J1386" s="5">
        <v>98</v>
      </c>
      <c r="K1386" s="5">
        <v>49</v>
      </c>
      <c r="L1386" s="5">
        <v>30</v>
      </c>
      <c r="M1386" s="5" t="str">
        <f>_xlfn.SWITCH(recruitment_data3[[#This Row],[RecruitmentStrategy]], 1,"Aggressive", 2,"Moderate", 3,"Conservative")</f>
        <v>Aggressive</v>
      </c>
      <c r="N1386" s="5">
        <v>1</v>
      </c>
      <c r="O1386" s="5" t="str">
        <f>IF(recruitment_data3[[#This Row],[HiringDecision]]=1,"Hired","Rejected")</f>
        <v>Rejected</v>
      </c>
      <c r="P1386" s="6">
        <v>0</v>
      </c>
    </row>
    <row r="1387" spans="1:16" x14ac:dyDescent="0.25">
      <c r="A1387" s="4" t="str">
        <f t="shared" si="21"/>
        <v>C1386</v>
      </c>
      <c r="B1387" s="4">
        <v>31</v>
      </c>
      <c r="C1387" s="5" t="str">
        <f>IF(recruitment_data3[[#This Row],[Gender]]=1,"Female","Male")</f>
        <v>Male</v>
      </c>
      <c r="D1387" s="5">
        <v>0</v>
      </c>
      <c r="E1387" s="5" t="str">
        <f>_xlfn.SWITCH(recruitment_data3[[#This Row],[EducationLevel]], 1,"Bachelor Type 1", 2,"Bachelor Type 2", 3,"Masters", 4,"PhD")</f>
        <v>Bachelor Type 1</v>
      </c>
      <c r="F1387" s="5">
        <v>1</v>
      </c>
      <c r="G1387" s="5">
        <v>0</v>
      </c>
      <c r="H1387" s="5">
        <v>3</v>
      </c>
      <c r="I1387" s="5">
        <v>3.6848539299653416</v>
      </c>
      <c r="J1387" s="5">
        <v>21</v>
      </c>
      <c r="K1387" s="5">
        <v>35</v>
      </c>
      <c r="L1387" s="5">
        <v>59</v>
      </c>
      <c r="M1387" s="5" t="str">
        <f>_xlfn.SWITCH(recruitment_data3[[#This Row],[RecruitmentStrategy]], 1,"Aggressive", 2,"Moderate", 3,"Conservative")</f>
        <v>Moderate</v>
      </c>
      <c r="N1387" s="5">
        <v>2</v>
      </c>
      <c r="O1387" s="5" t="str">
        <f>IF(recruitment_data3[[#This Row],[HiringDecision]]=1,"Hired","Rejected")</f>
        <v>Hired</v>
      </c>
      <c r="P1387" s="6">
        <v>1</v>
      </c>
    </row>
    <row r="1388" spans="1:16" x14ac:dyDescent="0.25">
      <c r="A1388" s="4" t="str">
        <f t="shared" si="21"/>
        <v>C1387</v>
      </c>
      <c r="B1388" s="4">
        <v>37</v>
      </c>
      <c r="C1388" s="5" t="str">
        <f>IF(recruitment_data3[[#This Row],[Gender]]=1,"Female","Male")</f>
        <v>Male</v>
      </c>
      <c r="D1388" s="5">
        <v>0</v>
      </c>
      <c r="E1388" s="5" t="str">
        <f>_xlfn.SWITCH(recruitment_data3[[#This Row],[EducationLevel]], 1,"Bachelor Type 1", 2,"Bachelor Type 2", 3,"Masters", 4,"PhD")</f>
        <v>Bachelor Type 1</v>
      </c>
      <c r="F1388" s="5">
        <v>1</v>
      </c>
      <c r="G1388" s="5">
        <v>9</v>
      </c>
      <c r="H1388" s="5">
        <v>5</v>
      </c>
      <c r="I1388" s="5">
        <v>6.3122854234780252</v>
      </c>
      <c r="J1388" s="5">
        <v>42</v>
      </c>
      <c r="K1388" s="5">
        <v>91</v>
      </c>
      <c r="L1388" s="5">
        <v>36</v>
      </c>
      <c r="M1388" s="5" t="str">
        <f>_xlfn.SWITCH(recruitment_data3[[#This Row],[RecruitmentStrategy]], 1,"Aggressive", 2,"Moderate", 3,"Conservative")</f>
        <v>Conservative</v>
      </c>
      <c r="N1388" s="5">
        <v>3</v>
      </c>
      <c r="O1388" s="5" t="str">
        <f>IF(recruitment_data3[[#This Row],[HiringDecision]]=1,"Hired","Rejected")</f>
        <v>Hired</v>
      </c>
      <c r="P1388" s="6">
        <v>1</v>
      </c>
    </row>
    <row r="1389" spans="1:16" x14ac:dyDescent="0.25">
      <c r="A1389" s="4" t="str">
        <f t="shared" si="21"/>
        <v>C1388</v>
      </c>
      <c r="B1389" s="4">
        <v>33</v>
      </c>
      <c r="C1389" s="5" t="str">
        <f>IF(recruitment_data3[[#This Row],[Gender]]=1,"Female","Male")</f>
        <v>Male</v>
      </c>
      <c r="D1389" s="5">
        <v>0</v>
      </c>
      <c r="E1389" s="5" t="str">
        <f>_xlfn.SWITCH(recruitment_data3[[#This Row],[EducationLevel]], 1,"Bachelor Type 1", 2,"Bachelor Type 2", 3,"Masters", 4,"PhD")</f>
        <v>Bachelor Type 2</v>
      </c>
      <c r="F1389" s="5">
        <v>2</v>
      </c>
      <c r="G1389" s="5">
        <v>1</v>
      </c>
      <c r="H1389" s="5">
        <v>5</v>
      </c>
      <c r="I1389" s="5">
        <v>9.6835818477169919</v>
      </c>
      <c r="J1389" s="5">
        <v>26</v>
      </c>
      <c r="K1389" s="5">
        <v>87</v>
      </c>
      <c r="L1389" s="5">
        <v>20</v>
      </c>
      <c r="M1389" s="5" t="str">
        <f>_xlfn.SWITCH(recruitment_data3[[#This Row],[RecruitmentStrategy]], 1,"Aggressive", 2,"Moderate", 3,"Conservative")</f>
        <v>Moderate</v>
      </c>
      <c r="N1389" s="5">
        <v>2</v>
      </c>
      <c r="O1389" s="5" t="str">
        <f>IF(recruitment_data3[[#This Row],[HiringDecision]]=1,"Hired","Rejected")</f>
        <v>Hired</v>
      </c>
      <c r="P1389" s="6">
        <v>1</v>
      </c>
    </row>
    <row r="1390" spans="1:16" x14ac:dyDescent="0.25">
      <c r="A1390" s="4" t="str">
        <f t="shared" si="21"/>
        <v>C1389</v>
      </c>
      <c r="B1390" s="4">
        <v>40</v>
      </c>
      <c r="C1390" s="5" t="str">
        <f>IF(recruitment_data3[[#This Row],[Gender]]=1,"Female","Male")</f>
        <v>Male</v>
      </c>
      <c r="D1390" s="5">
        <v>0</v>
      </c>
      <c r="E1390" s="5" t="str">
        <f>_xlfn.SWITCH(recruitment_data3[[#This Row],[EducationLevel]], 1,"Bachelor Type 1", 2,"Bachelor Type 2", 3,"Masters", 4,"PhD")</f>
        <v>Masters</v>
      </c>
      <c r="F1390" s="5">
        <v>3</v>
      </c>
      <c r="G1390" s="5">
        <v>15</v>
      </c>
      <c r="H1390" s="5">
        <v>2</v>
      </c>
      <c r="I1390" s="5">
        <v>35.508553530216609</v>
      </c>
      <c r="J1390" s="5">
        <v>36</v>
      </c>
      <c r="K1390" s="5">
        <v>68</v>
      </c>
      <c r="L1390" s="5">
        <v>13</v>
      </c>
      <c r="M1390" s="5" t="str">
        <f>_xlfn.SWITCH(recruitment_data3[[#This Row],[RecruitmentStrategy]], 1,"Aggressive", 2,"Moderate", 3,"Conservative")</f>
        <v>Moderate</v>
      </c>
      <c r="N1390" s="5">
        <v>2</v>
      </c>
      <c r="O1390" s="5" t="str">
        <f>IF(recruitment_data3[[#This Row],[HiringDecision]]=1,"Hired","Rejected")</f>
        <v>Rejected</v>
      </c>
      <c r="P1390" s="6">
        <v>0</v>
      </c>
    </row>
    <row r="1391" spans="1:16" x14ac:dyDescent="0.25">
      <c r="A1391" s="4" t="str">
        <f t="shared" si="21"/>
        <v>C1390</v>
      </c>
      <c r="B1391" s="4">
        <v>43</v>
      </c>
      <c r="C1391" s="5" t="str">
        <f>IF(recruitment_data3[[#This Row],[Gender]]=1,"Female","Male")</f>
        <v>Male</v>
      </c>
      <c r="D1391" s="5">
        <v>0</v>
      </c>
      <c r="E1391" s="5" t="str">
        <f>_xlfn.SWITCH(recruitment_data3[[#This Row],[EducationLevel]], 1,"Bachelor Type 1", 2,"Bachelor Type 2", 3,"Masters", 4,"PhD")</f>
        <v>Bachelor Type 2</v>
      </c>
      <c r="F1391" s="5">
        <v>2</v>
      </c>
      <c r="G1391" s="5">
        <v>7</v>
      </c>
      <c r="H1391" s="5">
        <v>5</v>
      </c>
      <c r="I1391" s="5">
        <v>33.279793637490435</v>
      </c>
      <c r="J1391" s="5">
        <v>45</v>
      </c>
      <c r="K1391" s="5">
        <v>36</v>
      </c>
      <c r="L1391" s="5">
        <v>88</v>
      </c>
      <c r="M1391" s="5" t="str">
        <f>_xlfn.SWITCH(recruitment_data3[[#This Row],[RecruitmentStrategy]], 1,"Aggressive", 2,"Moderate", 3,"Conservative")</f>
        <v>Aggressive</v>
      </c>
      <c r="N1391" s="5">
        <v>1</v>
      </c>
      <c r="O1391" s="5" t="str">
        <f>IF(recruitment_data3[[#This Row],[HiringDecision]]=1,"Hired","Rejected")</f>
        <v>Hired</v>
      </c>
      <c r="P1391" s="6">
        <v>1</v>
      </c>
    </row>
    <row r="1392" spans="1:16" x14ac:dyDescent="0.25">
      <c r="A1392" s="4" t="str">
        <f t="shared" si="21"/>
        <v>C1391</v>
      </c>
      <c r="B1392" s="4">
        <v>30</v>
      </c>
      <c r="C1392" s="5" t="str">
        <f>IF(recruitment_data3[[#This Row],[Gender]]=1,"Female","Male")</f>
        <v>Male</v>
      </c>
      <c r="D1392" s="5">
        <v>0</v>
      </c>
      <c r="E1392" s="5" t="str">
        <f>_xlfn.SWITCH(recruitment_data3[[#This Row],[EducationLevel]], 1,"Bachelor Type 1", 2,"Bachelor Type 2", 3,"Masters", 4,"PhD")</f>
        <v>Bachelor Type 2</v>
      </c>
      <c r="F1392" s="5">
        <v>2</v>
      </c>
      <c r="G1392" s="5">
        <v>0</v>
      </c>
      <c r="H1392" s="5">
        <v>2</v>
      </c>
      <c r="I1392" s="5">
        <v>45.602943010484701</v>
      </c>
      <c r="J1392" s="5">
        <v>34</v>
      </c>
      <c r="K1392" s="5">
        <v>11</v>
      </c>
      <c r="L1392" s="5">
        <v>90</v>
      </c>
      <c r="M1392" s="5" t="str">
        <f>_xlfn.SWITCH(recruitment_data3[[#This Row],[RecruitmentStrategy]], 1,"Aggressive", 2,"Moderate", 3,"Conservative")</f>
        <v>Moderate</v>
      </c>
      <c r="N1392" s="5">
        <v>2</v>
      </c>
      <c r="O1392" s="5" t="str">
        <f>IF(recruitment_data3[[#This Row],[HiringDecision]]=1,"Hired","Rejected")</f>
        <v>Hired</v>
      </c>
      <c r="P1392" s="6">
        <v>1</v>
      </c>
    </row>
    <row r="1393" spans="1:16" x14ac:dyDescent="0.25">
      <c r="A1393" s="4" t="str">
        <f t="shared" si="21"/>
        <v>C1392</v>
      </c>
      <c r="B1393" s="4">
        <v>28</v>
      </c>
      <c r="C1393" s="5" t="str">
        <f>IF(recruitment_data3[[#This Row],[Gender]]=1,"Female","Male")</f>
        <v>Female</v>
      </c>
      <c r="D1393" s="5">
        <v>1</v>
      </c>
      <c r="E1393" s="5" t="str">
        <f>_xlfn.SWITCH(recruitment_data3[[#This Row],[EducationLevel]], 1,"Bachelor Type 1", 2,"Bachelor Type 2", 3,"Masters", 4,"PhD")</f>
        <v>Masters</v>
      </c>
      <c r="F1393" s="5">
        <v>3</v>
      </c>
      <c r="G1393" s="5">
        <v>14</v>
      </c>
      <c r="H1393" s="5">
        <v>5</v>
      </c>
      <c r="I1393" s="5">
        <v>37.643872644194921</v>
      </c>
      <c r="J1393" s="5">
        <v>3</v>
      </c>
      <c r="K1393" s="5">
        <v>98</v>
      </c>
      <c r="L1393" s="5">
        <v>59</v>
      </c>
      <c r="M1393" s="5" t="str">
        <f>_xlfn.SWITCH(recruitment_data3[[#This Row],[RecruitmentStrategy]], 1,"Aggressive", 2,"Moderate", 3,"Conservative")</f>
        <v>Moderate</v>
      </c>
      <c r="N1393" s="5">
        <v>2</v>
      </c>
      <c r="O1393" s="5" t="str">
        <f>IF(recruitment_data3[[#This Row],[HiringDecision]]=1,"Hired","Rejected")</f>
        <v>Hired</v>
      </c>
      <c r="P1393" s="6">
        <v>1</v>
      </c>
    </row>
    <row r="1394" spans="1:16" x14ac:dyDescent="0.25">
      <c r="A1394" s="4" t="str">
        <f t="shared" si="21"/>
        <v>C1393</v>
      </c>
      <c r="B1394" s="4">
        <v>21</v>
      </c>
      <c r="C1394" s="5" t="str">
        <f>IF(recruitment_data3[[#This Row],[Gender]]=1,"Female","Male")</f>
        <v>Female</v>
      </c>
      <c r="D1394" s="5">
        <v>1</v>
      </c>
      <c r="E1394" s="5" t="str">
        <f>_xlfn.SWITCH(recruitment_data3[[#This Row],[EducationLevel]], 1,"Bachelor Type 1", 2,"Bachelor Type 2", 3,"Masters", 4,"PhD")</f>
        <v>Bachelor Type 2</v>
      </c>
      <c r="F1394" s="5">
        <v>2</v>
      </c>
      <c r="G1394" s="5">
        <v>11</v>
      </c>
      <c r="H1394" s="5">
        <v>1</v>
      </c>
      <c r="I1394" s="5">
        <v>26.417774378229613</v>
      </c>
      <c r="J1394" s="5">
        <v>79</v>
      </c>
      <c r="K1394" s="5">
        <v>39</v>
      </c>
      <c r="L1394" s="5">
        <v>22</v>
      </c>
      <c r="M1394" s="5" t="str">
        <f>_xlfn.SWITCH(recruitment_data3[[#This Row],[RecruitmentStrategy]], 1,"Aggressive", 2,"Moderate", 3,"Conservative")</f>
        <v>Moderate</v>
      </c>
      <c r="N1394" s="5">
        <v>2</v>
      </c>
      <c r="O1394" s="5" t="str">
        <f>IF(recruitment_data3[[#This Row],[HiringDecision]]=1,"Hired","Rejected")</f>
        <v>Rejected</v>
      </c>
      <c r="P1394" s="6">
        <v>0</v>
      </c>
    </row>
    <row r="1395" spans="1:16" x14ac:dyDescent="0.25">
      <c r="A1395" s="4" t="str">
        <f t="shared" si="21"/>
        <v>C1394</v>
      </c>
      <c r="B1395" s="4">
        <v>31</v>
      </c>
      <c r="C1395" s="5" t="str">
        <f>IF(recruitment_data3[[#This Row],[Gender]]=1,"Female","Male")</f>
        <v>Male</v>
      </c>
      <c r="D1395" s="5">
        <v>0</v>
      </c>
      <c r="E1395" s="5" t="str">
        <f>_xlfn.SWITCH(recruitment_data3[[#This Row],[EducationLevel]], 1,"Bachelor Type 1", 2,"Bachelor Type 2", 3,"Masters", 4,"PhD")</f>
        <v>Masters</v>
      </c>
      <c r="F1395" s="5">
        <v>3</v>
      </c>
      <c r="G1395" s="5">
        <v>7</v>
      </c>
      <c r="H1395" s="5">
        <v>2</v>
      </c>
      <c r="I1395" s="5">
        <v>50.591589623181513</v>
      </c>
      <c r="J1395" s="5">
        <v>79</v>
      </c>
      <c r="K1395" s="5">
        <v>53</v>
      </c>
      <c r="L1395" s="5">
        <v>94</v>
      </c>
      <c r="M1395" s="5" t="str">
        <f>_xlfn.SWITCH(recruitment_data3[[#This Row],[RecruitmentStrategy]], 1,"Aggressive", 2,"Moderate", 3,"Conservative")</f>
        <v>Aggressive</v>
      </c>
      <c r="N1395" s="5">
        <v>1</v>
      </c>
      <c r="O1395" s="5" t="str">
        <f>IF(recruitment_data3[[#This Row],[HiringDecision]]=1,"Hired","Rejected")</f>
        <v>Hired</v>
      </c>
      <c r="P1395" s="6">
        <v>1</v>
      </c>
    </row>
    <row r="1396" spans="1:16" x14ac:dyDescent="0.25">
      <c r="A1396" s="4" t="str">
        <f t="shared" si="21"/>
        <v>C1395</v>
      </c>
      <c r="B1396" s="4">
        <v>22</v>
      </c>
      <c r="C1396" s="5" t="str">
        <f>IF(recruitment_data3[[#This Row],[Gender]]=1,"Female","Male")</f>
        <v>Female</v>
      </c>
      <c r="D1396" s="5">
        <v>1</v>
      </c>
      <c r="E1396" s="5" t="str">
        <f>_xlfn.SWITCH(recruitment_data3[[#This Row],[EducationLevel]], 1,"Bachelor Type 1", 2,"Bachelor Type 2", 3,"Masters", 4,"PhD")</f>
        <v>Masters</v>
      </c>
      <c r="F1396" s="5">
        <v>3</v>
      </c>
      <c r="G1396" s="5">
        <v>7</v>
      </c>
      <c r="H1396" s="5">
        <v>2</v>
      </c>
      <c r="I1396" s="5">
        <v>14.305397808464958</v>
      </c>
      <c r="J1396" s="5">
        <v>84</v>
      </c>
      <c r="K1396" s="5">
        <v>1</v>
      </c>
      <c r="L1396" s="5">
        <v>28</v>
      </c>
      <c r="M1396" s="5" t="str">
        <f>_xlfn.SWITCH(recruitment_data3[[#This Row],[RecruitmentStrategy]], 1,"Aggressive", 2,"Moderate", 3,"Conservative")</f>
        <v>Conservative</v>
      </c>
      <c r="N1396" s="5">
        <v>3</v>
      </c>
      <c r="O1396" s="5" t="str">
        <f>IF(recruitment_data3[[#This Row],[HiringDecision]]=1,"Hired","Rejected")</f>
        <v>Rejected</v>
      </c>
      <c r="P1396" s="6">
        <v>0</v>
      </c>
    </row>
    <row r="1397" spans="1:16" x14ac:dyDescent="0.25">
      <c r="A1397" s="4" t="str">
        <f t="shared" si="21"/>
        <v>C1396</v>
      </c>
      <c r="B1397" s="4">
        <v>22</v>
      </c>
      <c r="C1397" s="5" t="str">
        <f>IF(recruitment_data3[[#This Row],[Gender]]=1,"Female","Male")</f>
        <v>Female</v>
      </c>
      <c r="D1397" s="5">
        <v>1</v>
      </c>
      <c r="E1397" s="5" t="str">
        <f>_xlfn.SWITCH(recruitment_data3[[#This Row],[EducationLevel]], 1,"Bachelor Type 1", 2,"Bachelor Type 2", 3,"Masters", 4,"PhD")</f>
        <v>Bachelor Type 2</v>
      </c>
      <c r="F1397" s="5">
        <v>2</v>
      </c>
      <c r="G1397" s="5">
        <v>15</v>
      </c>
      <c r="H1397" s="5">
        <v>4</v>
      </c>
      <c r="I1397" s="5">
        <v>42.6595829892727</v>
      </c>
      <c r="J1397" s="5">
        <v>25</v>
      </c>
      <c r="K1397" s="5">
        <v>49</v>
      </c>
      <c r="L1397" s="5">
        <v>46</v>
      </c>
      <c r="M1397" s="5" t="str">
        <f>_xlfn.SWITCH(recruitment_data3[[#This Row],[RecruitmentStrategy]], 1,"Aggressive", 2,"Moderate", 3,"Conservative")</f>
        <v>Aggressive</v>
      </c>
      <c r="N1397" s="5">
        <v>1</v>
      </c>
      <c r="O1397" s="5" t="str">
        <f>IF(recruitment_data3[[#This Row],[HiringDecision]]=1,"Hired","Rejected")</f>
        <v>Rejected</v>
      </c>
      <c r="P1397" s="6">
        <v>0</v>
      </c>
    </row>
    <row r="1398" spans="1:16" x14ac:dyDescent="0.25">
      <c r="A1398" s="4" t="str">
        <f t="shared" si="21"/>
        <v>C1397</v>
      </c>
      <c r="B1398" s="4">
        <v>20</v>
      </c>
      <c r="C1398" s="5" t="str">
        <f>IF(recruitment_data3[[#This Row],[Gender]]=1,"Female","Male")</f>
        <v>Female</v>
      </c>
      <c r="D1398" s="5">
        <v>1</v>
      </c>
      <c r="E1398" s="5" t="str">
        <f>_xlfn.SWITCH(recruitment_data3[[#This Row],[EducationLevel]], 1,"Bachelor Type 1", 2,"Bachelor Type 2", 3,"Masters", 4,"PhD")</f>
        <v>Bachelor Type 2</v>
      </c>
      <c r="F1398" s="5">
        <v>2</v>
      </c>
      <c r="G1398" s="5">
        <v>1</v>
      </c>
      <c r="H1398" s="5">
        <v>5</v>
      </c>
      <c r="I1398" s="5">
        <v>22.339518609695968</v>
      </c>
      <c r="J1398" s="5">
        <v>99</v>
      </c>
      <c r="K1398" s="5">
        <v>40</v>
      </c>
      <c r="L1398" s="5">
        <v>29</v>
      </c>
      <c r="M1398" s="5" t="str">
        <f>_xlfn.SWITCH(recruitment_data3[[#This Row],[RecruitmentStrategy]], 1,"Aggressive", 2,"Moderate", 3,"Conservative")</f>
        <v>Moderate</v>
      </c>
      <c r="N1398" s="5">
        <v>2</v>
      </c>
      <c r="O1398" s="5" t="str">
        <f>IF(recruitment_data3[[#This Row],[HiringDecision]]=1,"Hired","Rejected")</f>
        <v>Rejected</v>
      </c>
      <c r="P1398" s="6">
        <v>0</v>
      </c>
    </row>
    <row r="1399" spans="1:16" x14ac:dyDescent="0.25">
      <c r="A1399" s="4" t="str">
        <f t="shared" si="21"/>
        <v>C1398</v>
      </c>
      <c r="B1399" s="4">
        <v>27</v>
      </c>
      <c r="C1399" s="5" t="str">
        <f>IF(recruitment_data3[[#This Row],[Gender]]=1,"Female","Male")</f>
        <v>Female</v>
      </c>
      <c r="D1399" s="5">
        <v>1</v>
      </c>
      <c r="E1399" s="5" t="str">
        <f>_xlfn.SWITCH(recruitment_data3[[#This Row],[EducationLevel]], 1,"Bachelor Type 1", 2,"Bachelor Type 2", 3,"Masters", 4,"PhD")</f>
        <v>Bachelor Type 1</v>
      </c>
      <c r="F1399" s="5">
        <v>1</v>
      </c>
      <c r="G1399" s="5">
        <v>3</v>
      </c>
      <c r="H1399" s="5">
        <v>5</v>
      </c>
      <c r="I1399" s="5">
        <v>33.436756943786712</v>
      </c>
      <c r="J1399" s="5">
        <v>18</v>
      </c>
      <c r="K1399" s="5">
        <v>44</v>
      </c>
      <c r="L1399" s="5">
        <v>89</v>
      </c>
      <c r="M1399" s="5" t="str">
        <f>_xlfn.SWITCH(recruitment_data3[[#This Row],[RecruitmentStrategy]], 1,"Aggressive", 2,"Moderate", 3,"Conservative")</f>
        <v>Conservative</v>
      </c>
      <c r="N1399" s="5">
        <v>3</v>
      </c>
      <c r="O1399" s="5" t="str">
        <f>IF(recruitment_data3[[#This Row],[HiringDecision]]=1,"Hired","Rejected")</f>
        <v>Rejected</v>
      </c>
      <c r="P1399" s="6">
        <v>0</v>
      </c>
    </row>
    <row r="1400" spans="1:16" x14ac:dyDescent="0.25">
      <c r="A1400" s="4" t="str">
        <f t="shared" si="21"/>
        <v>C1399</v>
      </c>
      <c r="B1400" s="4">
        <v>41</v>
      </c>
      <c r="C1400" s="5" t="str">
        <f>IF(recruitment_data3[[#This Row],[Gender]]=1,"Female","Male")</f>
        <v>Male</v>
      </c>
      <c r="D1400" s="5">
        <v>0</v>
      </c>
      <c r="E1400" s="5" t="str">
        <f>_xlfn.SWITCH(recruitment_data3[[#This Row],[EducationLevel]], 1,"Bachelor Type 1", 2,"Bachelor Type 2", 3,"Masters", 4,"PhD")</f>
        <v>Bachelor Type 2</v>
      </c>
      <c r="F1400" s="5">
        <v>2</v>
      </c>
      <c r="G1400" s="5">
        <v>5</v>
      </c>
      <c r="H1400" s="5">
        <v>2</v>
      </c>
      <c r="I1400" s="5">
        <v>37.363423522621702</v>
      </c>
      <c r="J1400" s="5">
        <v>80</v>
      </c>
      <c r="K1400" s="5">
        <v>8</v>
      </c>
      <c r="L1400" s="5">
        <v>83</v>
      </c>
      <c r="M1400" s="5" t="str">
        <f>_xlfn.SWITCH(recruitment_data3[[#This Row],[RecruitmentStrategy]], 1,"Aggressive", 2,"Moderate", 3,"Conservative")</f>
        <v>Moderate</v>
      </c>
      <c r="N1400" s="5">
        <v>2</v>
      </c>
      <c r="O1400" s="5" t="str">
        <f>IF(recruitment_data3[[#This Row],[HiringDecision]]=1,"Hired","Rejected")</f>
        <v>Hired</v>
      </c>
      <c r="P1400" s="6">
        <v>1</v>
      </c>
    </row>
    <row r="1401" spans="1:16" x14ac:dyDescent="0.25">
      <c r="A1401" s="4" t="str">
        <f t="shared" si="21"/>
        <v>C1400</v>
      </c>
      <c r="B1401" s="4">
        <v>47</v>
      </c>
      <c r="C1401" s="5" t="str">
        <f>IF(recruitment_data3[[#This Row],[Gender]]=1,"Female","Male")</f>
        <v>Female</v>
      </c>
      <c r="D1401" s="5">
        <v>1</v>
      </c>
      <c r="E1401" s="5" t="str">
        <f>_xlfn.SWITCH(recruitment_data3[[#This Row],[EducationLevel]], 1,"Bachelor Type 1", 2,"Bachelor Type 2", 3,"Masters", 4,"PhD")</f>
        <v>PhD</v>
      </c>
      <c r="F1401" s="5">
        <v>4</v>
      </c>
      <c r="G1401" s="5">
        <v>11</v>
      </c>
      <c r="H1401" s="5">
        <v>1</v>
      </c>
      <c r="I1401" s="5">
        <v>32.687704359516815</v>
      </c>
      <c r="J1401" s="5">
        <v>44</v>
      </c>
      <c r="K1401" s="5">
        <v>61</v>
      </c>
      <c r="L1401" s="5">
        <v>37</v>
      </c>
      <c r="M1401" s="5" t="str">
        <f>_xlfn.SWITCH(recruitment_data3[[#This Row],[RecruitmentStrategy]], 1,"Aggressive", 2,"Moderate", 3,"Conservative")</f>
        <v>Moderate</v>
      </c>
      <c r="N1401" s="5">
        <v>2</v>
      </c>
      <c r="O1401" s="5" t="str">
        <f>IF(recruitment_data3[[#This Row],[HiringDecision]]=1,"Hired","Rejected")</f>
        <v>Rejected</v>
      </c>
      <c r="P1401" s="6">
        <v>0</v>
      </c>
    </row>
    <row r="1402" spans="1:16" x14ac:dyDescent="0.25">
      <c r="A1402" s="4" t="str">
        <f t="shared" si="21"/>
        <v>C1401</v>
      </c>
      <c r="B1402" s="4">
        <v>48</v>
      </c>
      <c r="C1402" s="5" t="str">
        <f>IF(recruitment_data3[[#This Row],[Gender]]=1,"Female","Male")</f>
        <v>Female</v>
      </c>
      <c r="D1402" s="5">
        <v>1</v>
      </c>
      <c r="E1402" s="5" t="str">
        <f>_xlfn.SWITCH(recruitment_data3[[#This Row],[EducationLevel]], 1,"Bachelor Type 1", 2,"Bachelor Type 2", 3,"Masters", 4,"PhD")</f>
        <v>Bachelor Type 2</v>
      </c>
      <c r="F1402" s="5">
        <v>2</v>
      </c>
      <c r="G1402" s="5">
        <v>10</v>
      </c>
      <c r="H1402" s="5">
        <v>1</v>
      </c>
      <c r="I1402" s="5">
        <v>8.0253651554296646</v>
      </c>
      <c r="J1402" s="5">
        <v>25</v>
      </c>
      <c r="K1402" s="5">
        <v>85</v>
      </c>
      <c r="L1402" s="5">
        <v>82</v>
      </c>
      <c r="M1402" s="5" t="str">
        <f>_xlfn.SWITCH(recruitment_data3[[#This Row],[RecruitmentStrategy]], 1,"Aggressive", 2,"Moderate", 3,"Conservative")</f>
        <v>Conservative</v>
      </c>
      <c r="N1402" s="5">
        <v>3</v>
      </c>
      <c r="O1402" s="5" t="str">
        <f>IF(recruitment_data3[[#This Row],[HiringDecision]]=1,"Hired","Rejected")</f>
        <v>Rejected</v>
      </c>
      <c r="P1402" s="6">
        <v>0</v>
      </c>
    </row>
    <row r="1403" spans="1:16" x14ac:dyDescent="0.25">
      <c r="A1403" s="4" t="str">
        <f t="shared" si="21"/>
        <v>C1402</v>
      </c>
      <c r="B1403" s="4">
        <v>27</v>
      </c>
      <c r="C1403" s="5" t="str">
        <f>IF(recruitment_data3[[#This Row],[Gender]]=1,"Female","Male")</f>
        <v>Female</v>
      </c>
      <c r="D1403" s="5">
        <v>1</v>
      </c>
      <c r="E1403" s="5" t="str">
        <f>_xlfn.SWITCH(recruitment_data3[[#This Row],[EducationLevel]], 1,"Bachelor Type 1", 2,"Bachelor Type 2", 3,"Masters", 4,"PhD")</f>
        <v>Bachelor Type 2</v>
      </c>
      <c r="F1403" s="5">
        <v>2</v>
      </c>
      <c r="G1403" s="5">
        <v>8</v>
      </c>
      <c r="H1403" s="5">
        <v>1</v>
      </c>
      <c r="I1403" s="5">
        <v>23.147550537396636</v>
      </c>
      <c r="J1403" s="5">
        <v>21</v>
      </c>
      <c r="K1403" s="5">
        <v>46</v>
      </c>
      <c r="L1403" s="5">
        <v>26</v>
      </c>
      <c r="M1403" s="5" t="str">
        <f>_xlfn.SWITCH(recruitment_data3[[#This Row],[RecruitmentStrategy]], 1,"Aggressive", 2,"Moderate", 3,"Conservative")</f>
        <v>Moderate</v>
      </c>
      <c r="N1403" s="5">
        <v>2</v>
      </c>
      <c r="O1403" s="5" t="str">
        <f>IF(recruitment_data3[[#This Row],[HiringDecision]]=1,"Hired","Rejected")</f>
        <v>Hired</v>
      </c>
      <c r="P1403" s="6">
        <v>1</v>
      </c>
    </row>
    <row r="1404" spans="1:16" x14ac:dyDescent="0.25">
      <c r="A1404" s="4" t="str">
        <f t="shared" si="21"/>
        <v>C1403</v>
      </c>
      <c r="B1404" s="4">
        <v>30</v>
      </c>
      <c r="C1404" s="5" t="str">
        <f>IF(recruitment_data3[[#This Row],[Gender]]=1,"Female","Male")</f>
        <v>Male</v>
      </c>
      <c r="D1404" s="5">
        <v>0</v>
      </c>
      <c r="E1404" s="5" t="str">
        <f>_xlfn.SWITCH(recruitment_data3[[#This Row],[EducationLevel]], 1,"Bachelor Type 1", 2,"Bachelor Type 2", 3,"Masters", 4,"PhD")</f>
        <v>Masters</v>
      </c>
      <c r="F1404" s="5">
        <v>3</v>
      </c>
      <c r="G1404" s="5">
        <v>14</v>
      </c>
      <c r="H1404" s="5">
        <v>5</v>
      </c>
      <c r="I1404" s="5">
        <v>29.071918896656218</v>
      </c>
      <c r="J1404" s="5">
        <v>57</v>
      </c>
      <c r="K1404" s="5">
        <v>4</v>
      </c>
      <c r="L1404" s="5">
        <v>88</v>
      </c>
      <c r="M1404" s="5" t="str">
        <f>_xlfn.SWITCH(recruitment_data3[[#This Row],[RecruitmentStrategy]], 1,"Aggressive", 2,"Moderate", 3,"Conservative")</f>
        <v>Aggressive</v>
      </c>
      <c r="N1404" s="5">
        <v>1</v>
      </c>
      <c r="O1404" s="5" t="str">
        <f>IF(recruitment_data3[[#This Row],[HiringDecision]]=1,"Hired","Rejected")</f>
        <v>Rejected</v>
      </c>
      <c r="P1404" s="6">
        <v>0</v>
      </c>
    </row>
    <row r="1405" spans="1:16" x14ac:dyDescent="0.25">
      <c r="A1405" s="4" t="str">
        <f t="shared" si="21"/>
        <v>C1404</v>
      </c>
      <c r="B1405" s="4">
        <v>28</v>
      </c>
      <c r="C1405" s="5" t="str">
        <f>IF(recruitment_data3[[#This Row],[Gender]]=1,"Female","Male")</f>
        <v>Male</v>
      </c>
      <c r="D1405" s="5">
        <v>0</v>
      </c>
      <c r="E1405" s="5" t="str">
        <f>_xlfn.SWITCH(recruitment_data3[[#This Row],[EducationLevel]], 1,"Bachelor Type 1", 2,"Bachelor Type 2", 3,"Masters", 4,"PhD")</f>
        <v>Bachelor Type 2</v>
      </c>
      <c r="F1405" s="5">
        <v>2</v>
      </c>
      <c r="G1405" s="5">
        <v>15</v>
      </c>
      <c r="H1405" s="5">
        <v>4</v>
      </c>
      <c r="I1405" s="5">
        <v>43.452187958929841</v>
      </c>
      <c r="J1405" s="5">
        <v>62</v>
      </c>
      <c r="K1405" s="5">
        <v>75</v>
      </c>
      <c r="L1405" s="5">
        <v>86</v>
      </c>
      <c r="M1405" s="5" t="str">
        <f>_xlfn.SWITCH(recruitment_data3[[#This Row],[RecruitmentStrategy]], 1,"Aggressive", 2,"Moderate", 3,"Conservative")</f>
        <v>Conservative</v>
      </c>
      <c r="N1405" s="5">
        <v>3</v>
      </c>
      <c r="O1405" s="5" t="str">
        <f>IF(recruitment_data3[[#This Row],[HiringDecision]]=1,"Hired","Rejected")</f>
        <v>Rejected</v>
      </c>
      <c r="P1405" s="6">
        <v>0</v>
      </c>
    </row>
    <row r="1406" spans="1:16" x14ac:dyDescent="0.25">
      <c r="A1406" s="4" t="str">
        <f t="shared" si="21"/>
        <v>C1405</v>
      </c>
      <c r="B1406" s="4">
        <v>24</v>
      </c>
      <c r="C1406" s="5" t="str">
        <f>IF(recruitment_data3[[#This Row],[Gender]]=1,"Female","Male")</f>
        <v>Male</v>
      </c>
      <c r="D1406" s="5">
        <v>0</v>
      </c>
      <c r="E1406" s="5" t="str">
        <f>_xlfn.SWITCH(recruitment_data3[[#This Row],[EducationLevel]], 1,"Bachelor Type 1", 2,"Bachelor Type 2", 3,"Masters", 4,"PhD")</f>
        <v>Bachelor Type 1</v>
      </c>
      <c r="F1406" s="5">
        <v>1</v>
      </c>
      <c r="G1406" s="5">
        <v>7</v>
      </c>
      <c r="H1406" s="5">
        <v>2</v>
      </c>
      <c r="I1406" s="5">
        <v>23.182287439928615</v>
      </c>
      <c r="J1406" s="5">
        <v>27</v>
      </c>
      <c r="K1406" s="5">
        <v>0</v>
      </c>
      <c r="L1406" s="5">
        <v>92</v>
      </c>
      <c r="M1406" s="5" t="str">
        <f>_xlfn.SWITCH(recruitment_data3[[#This Row],[RecruitmentStrategy]], 1,"Aggressive", 2,"Moderate", 3,"Conservative")</f>
        <v>Aggressive</v>
      </c>
      <c r="N1406" s="5">
        <v>1</v>
      </c>
      <c r="O1406" s="5" t="str">
        <f>IF(recruitment_data3[[#This Row],[HiringDecision]]=1,"Hired","Rejected")</f>
        <v>Rejected</v>
      </c>
      <c r="P1406" s="6">
        <v>0</v>
      </c>
    </row>
    <row r="1407" spans="1:16" x14ac:dyDescent="0.25">
      <c r="A1407" s="4" t="str">
        <f t="shared" si="21"/>
        <v>C1406</v>
      </c>
      <c r="B1407" s="4">
        <v>33</v>
      </c>
      <c r="C1407" s="5" t="str">
        <f>IF(recruitment_data3[[#This Row],[Gender]]=1,"Female","Male")</f>
        <v>Male</v>
      </c>
      <c r="D1407" s="5">
        <v>0</v>
      </c>
      <c r="E1407" s="5" t="str">
        <f>_xlfn.SWITCH(recruitment_data3[[#This Row],[EducationLevel]], 1,"Bachelor Type 1", 2,"Bachelor Type 2", 3,"Masters", 4,"PhD")</f>
        <v>Bachelor Type 2</v>
      </c>
      <c r="F1407" s="5">
        <v>2</v>
      </c>
      <c r="G1407" s="5">
        <v>11</v>
      </c>
      <c r="H1407" s="5">
        <v>3</v>
      </c>
      <c r="I1407" s="5">
        <v>46.937365240212571</v>
      </c>
      <c r="J1407" s="5">
        <v>64</v>
      </c>
      <c r="K1407" s="5">
        <v>43</v>
      </c>
      <c r="L1407" s="5">
        <v>14</v>
      </c>
      <c r="M1407" s="5" t="str">
        <f>_xlfn.SWITCH(recruitment_data3[[#This Row],[RecruitmentStrategy]], 1,"Aggressive", 2,"Moderate", 3,"Conservative")</f>
        <v>Conservative</v>
      </c>
      <c r="N1407" s="5">
        <v>3</v>
      </c>
      <c r="O1407" s="5" t="str">
        <f>IF(recruitment_data3[[#This Row],[HiringDecision]]=1,"Hired","Rejected")</f>
        <v>Rejected</v>
      </c>
      <c r="P1407" s="6">
        <v>0</v>
      </c>
    </row>
    <row r="1408" spans="1:16" x14ac:dyDescent="0.25">
      <c r="A1408" s="4" t="str">
        <f t="shared" si="21"/>
        <v>C1407</v>
      </c>
      <c r="B1408" s="4">
        <v>47</v>
      </c>
      <c r="C1408" s="5" t="str">
        <f>IF(recruitment_data3[[#This Row],[Gender]]=1,"Female","Male")</f>
        <v>Male</v>
      </c>
      <c r="D1408" s="5">
        <v>0</v>
      </c>
      <c r="E1408" s="5" t="str">
        <f>_xlfn.SWITCH(recruitment_data3[[#This Row],[EducationLevel]], 1,"Bachelor Type 1", 2,"Bachelor Type 2", 3,"Masters", 4,"PhD")</f>
        <v>Bachelor Type 2</v>
      </c>
      <c r="F1408" s="5">
        <v>2</v>
      </c>
      <c r="G1408" s="5">
        <v>14</v>
      </c>
      <c r="H1408" s="5">
        <v>4</v>
      </c>
      <c r="I1408" s="5">
        <v>23.018711151260533</v>
      </c>
      <c r="J1408" s="5">
        <v>43</v>
      </c>
      <c r="K1408" s="5">
        <v>21</v>
      </c>
      <c r="L1408" s="5">
        <v>58</v>
      </c>
      <c r="M1408" s="5" t="str">
        <f>_xlfn.SWITCH(recruitment_data3[[#This Row],[RecruitmentStrategy]], 1,"Aggressive", 2,"Moderate", 3,"Conservative")</f>
        <v>Aggressive</v>
      </c>
      <c r="N1408" s="5">
        <v>1</v>
      </c>
      <c r="O1408" s="5" t="str">
        <f>IF(recruitment_data3[[#This Row],[HiringDecision]]=1,"Hired","Rejected")</f>
        <v>Rejected</v>
      </c>
      <c r="P1408" s="6">
        <v>0</v>
      </c>
    </row>
    <row r="1409" spans="1:16" x14ac:dyDescent="0.25">
      <c r="A1409" s="4" t="str">
        <f t="shared" si="21"/>
        <v>C1408</v>
      </c>
      <c r="B1409" s="4">
        <v>49</v>
      </c>
      <c r="C1409" s="5" t="str">
        <f>IF(recruitment_data3[[#This Row],[Gender]]=1,"Female","Male")</f>
        <v>Male</v>
      </c>
      <c r="D1409" s="5">
        <v>0</v>
      </c>
      <c r="E1409" s="5" t="str">
        <f>_xlfn.SWITCH(recruitment_data3[[#This Row],[EducationLevel]], 1,"Bachelor Type 1", 2,"Bachelor Type 2", 3,"Masters", 4,"PhD")</f>
        <v>Masters</v>
      </c>
      <c r="F1409" s="5">
        <v>3</v>
      </c>
      <c r="G1409" s="5">
        <v>7</v>
      </c>
      <c r="H1409" s="5">
        <v>3</v>
      </c>
      <c r="I1409" s="5">
        <v>28.438992963150582</v>
      </c>
      <c r="J1409" s="5">
        <v>99</v>
      </c>
      <c r="K1409" s="5">
        <v>37</v>
      </c>
      <c r="L1409" s="5">
        <v>2</v>
      </c>
      <c r="M1409" s="5" t="str">
        <f>_xlfn.SWITCH(recruitment_data3[[#This Row],[RecruitmentStrategy]], 1,"Aggressive", 2,"Moderate", 3,"Conservative")</f>
        <v>Moderate</v>
      </c>
      <c r="N1409" s="5">
        <v>2</v>
      </c>
      <c r="O1409" s="5" t="str">
        <f>IF(recruitment_data3[[#This Row],[HiringDecision]]=1,"Hired","Rejected")</f>
        <v>Rejected</v>
      </c>
      <c r="P1409" s="6">
        <v>0</v>
      </c>
    </row>
    <row r="1410" spans="1:16" x14ac:dyDescent="0.25">
      <c r="A1410" s="4" t="str">
        <f t="shared" ref="A1410:A1473" si="22">"C"&amp;TEXT(ROW()-1,"0000")</f>
        <v>C1409</v>
      </c>
      <c r="B1410" s="4">
        <v>22</v>
      </c>
      <c r="C1410" s="5" t="str">
        <f>IF(recruitment_data3[[#This Row],[Gender]]=1,"Female","Male")</f>
        <v>Male</v>
      </c>
      <c r="D1410" s="5">
        <v>0</v>
      </c>
      <c r="E1410" s="5" t="str">
        <f>_xlfn.SWITCH(recruitment_data3[[#This Row],[EducationLevel]], 1,"Bachelor Type 1", 2,"Bachelor Type 2", 3,"Masters", 4,"PhD")</f>
        <v>Bachelor Type 1</v>
      </c>
      <c r="F1410" s="5">
        <v>1</v>
      </c>
      <c r="G1410" s="5">
        <v>6</v>
      </c>
      <c r="H1410" s="5">
        <v>4</v>
      </c>
      <c r="I1410" s="5">
        <v>40.81428414714005</v>
      </c>
      <c r="J1410" s="5">
        <v>42</v>
      </c>
      <c r="K1410" s="5">
        <v>18</v>
      </c>
      <c r="L1410" s="5">
        <v>9</v>
      </c>
      <c r="M1410" s="5" t="str">
        <f>_xlfn.SWITCH(recruitment_data3[[#This Row],[RecruitmentStrategy]], 1,"Aggressive", 2,"Moderate", 3,"Conservative")</f>
        <v>Moderate</v>
      </c>
      <c r="N1410" s="5">
        <v>2</v>
      </c>
      <c r="O1410" s="5" t="str">
        <f>IF(recruitment_data3[[#This Row],[HiringDecision]]=1,"Hired","Rejected")</f>
        <v>Hired</v>
      </c>
      <c r="P1410" s="6">
        <v>1</v>
      </c>
    </row>
    <row r="1411" spans="1:16" x14ac:dyDescent="0.25">
      <c r="A1411" s="4" t="str">
        <f t="shared" si="22"/>
        <v>C1410</v>
      </c>
      <c r="B1411" s="4">
        <v>40</v>
      </c>
      <c r="C1411" s="5" t="str">
        <f>IF(recruitment_data3[[#This Row],[Gender]]=1,"Female","Male")</f>
        <v>Female</v>
      </c>
      <c r="D1411" s="5">
        <v>1</v>
      </c>
      <c r="E1411" s="5" t="str">
        <f>_xlfn.SWITCH(recruitment_data3[[#This Row],[EducationLevel]], 1,"Bachelor Type 1", 2,"Bachelor Type 2", 3,"Masters", 4,"PhD")</f>
        <v>Bachelor Type 2</v>
      </c>
      <c r="F1411" s="5">
        <v>2</v>
      </c>
      <c r="G1411" s="5">
        <v>13</v>
      </c>
      <c r="H1411" s="5">
        <v>1</v>
      </c>
      <c r="I1411" s="5">
        <v>30.153384221107181</v>
      </c>
      <c r="J1411" s="5">
        <v>36</v>
      </c>
      <c r="K1411" s="5">
        <v>79</v>
      </c>
      <c r="L1411" s="5">
        <v>78</v>
      </c>
      <c r="M1411" s="5" t="str">
        <f>_xlfn.SWITCH(recruitment_data3[[#This Row],[RecruitmentStrategy]], 1,"Aggressive", 2,"Moderate", 3,"Conservative")</f>
        <v>Conservative</v>
      </c>
      <c r="N1411" s="5">
        <v>3</v>
      </c>
      <c r="O1411" s="5" t="str">
        <f>IF(recruitment_data3[[#This Row],[HiringDecision]]=1,"Hired","Rejected")</f>
        <v>Hired</v>
      </c>
      <c r="P1411" s="6">
        <v>1</v>
      </c>
    </row>
    <row r="1412" spans="1:16" x14ac:dyDescent="0.25">
      <c r="A1412" s="4" t="str">
        <f t="shared" si="22"/>
        <v>C1411</v>
      </c>
      <c r="B1412" s="4">
        <v>24</v>
      </c>
      <c r="C1412" s="5" t="str">
        <f>IF(recruitment_data3[[#This Row],[Gender]]=1,"Female","Male")</f>
        <v>Female</v>
      </c>
      <c r="D1412" s="5">
        <v>1</v>
      </c>
      <c r="E1412" s="5" t="str">
        <f>_xlfn.SWITCH(recruitment_data3[[#This Row],[EducationLevel]], 1,"Bachelor Type 1", 2,"Bachelor Type 2", 3,"Masters", 4,"PhD")</f>
        <v>Bachelor Type 2</v>
      </c>
      <c r="F1412" s="5">
        <v>2</v>
      </c>
      <c r="G1412" s="5">
        <v>12</v>
      </c>
      <c r="H1412" s="5">
        <v>5</v>
      </c>
      <c r="I1412" s="5">
        <v>49.010903619141232</v>
      </c>
      <c r="J1412" s="5">
        <v>65</v>
      </c>
      <c r="K1412" s="5">
        <v>30</v>
      </c>
      <c r="L1412" s="5">
        <v>79</v>
      </c>
      <c r="M1412" s="5" t="str">
        <f>_xlfn.SWITCH(recruitment_data3[[#This Row],[RecruitmentStrategy]], 1,"Aggressive", 2,"Moderate", 3,"Conservative")</f>
        <v>Moderate</v>
      </c>
      <c r="N1412" s="5">
        <v>2</v>
      </c>
      <c r="O1412" s="5" t="str">
        <f>IF(recruitment_data3[[#This Row],[HiringDecision]]=1,"Hired","Rejected")</f>
        <v>Hired</v>
      </c>
      <c r="P1412" s="6">
        <v>1</v>
      </c>
    </row>
    <row r="1413" spans="1:16" x14ac:dyDescent="0.25">
      <c r="A1413" s="4" t="str">
        <f t="shared" si="22"/>
        <v>C1412</v>
      </c>
      <c r="B1413" s="4">
        <v>24</v>
      </c>
      <c r="C1413" s="5" t="str">
        <f>IF(recruitment_data3[[#This Row],[Gender]]=1,"Female","Male")</f>
        <v>Female</v>
      </c>
      <c r="D1413" s="5">
        <v>1</v>
      </c>
      <c r="E1413" s="5" t="str">
        <f>_xlfn.SWITCH(recruitment_data3[[#This Row],[EducationLevel]], 1,"Bachelor Type 1", 2,"Bachelor Type 2", 3,"Masters", 4,"PhD")</f>
        <v>Bachelor Type 2</v>
      </c>
      <c r="F1413" s="5">
        <v>2</v>
      </c>
      <c r="G1413" s="5">
        <v>8</v>
      </c>
      <c r="H1413" s="5">
        <v>3</v>
      </c>
      <c r="I1413" s="5">
        <v>34.016791525706381</v>
      </c>
      <c r="J1413" s="5">
        <v>16</v>
      </c>
      <c r="K1413" s="5">
        <v>66</v>
      </c>
      <c r="L1413" s="5">
        <v>16</v>
      </c>
      <c r="M1413" s="5" t="str">
        <f>_xlfn.SWITCH(recruitment_data3[[#This Row],[RecruitmentStrategy]], 1,"Aggressive", 2,"Moderate", 3,"Conservative")</f>
        <v>Aggressive</v>
      </c>
      <c r="N1413" s="5">
        <v>1</v>
      </c>
      <c r="O1413" s="5" t="str">
        <f>IF(recruitment_data3[[#This Row],[HiringDecision]]=1,"Hired","Rejected")</f>
        <v>Hired</v>
      </c>
      <c r="P1413" s="6">
        <v>1</v>
      </c>
    </row>
    <row r="1414" spans="1:16" x14ac:dyDescent="0.25">
      <c r="A1414" s="4" t="str">
        <f t="shared" si="22"/>
        <v>C1413</v>
      </c>
      <c r="B1414" s="4">
        <v>38</v>
      </c>
      <c r="C1414" s="5" t="str">
        <f>IF(recruitment_data3[[#This Row],[Gender]]=1,"Female","Male")</f>
        <v>Male</v>
      </c>
      <c r="D1414" s="5">
        <v>0</v>
      </c>
      <c r="E1414" s="5" t="str">
        <f>_xlfn.SWITCH(recruitment_data3[[#This Row],[EducationLevel]], 1,"Bachelor Type 1", 2,"Bachelor Type 2", 3,"Masters", 4,"PhD")</f>
        <v>Bachelor Type 2</v>
      </c>
      <c r="F1414" s="5">
        <v>2</v>
      </c>
      <c r="G1414" s="5">
        <v>14</v>
      </c>
      <c r="H1414" s="5">
        <v>4</v>
      </c>
      <c r="I1414" s="5">
        <v>27.135472703380053</v>
      </c>
      <c r="J1414" s="5">
        <v>39</v>
      </c>
      <c r="K1414" s="5">
        <v>86</v>
      </c>
      <c r="L1414" s="5">
        <v>82</v>
      </c>
      <c r="M1414" s="5" t="str">
        <f>_xlfn.SWITCH(recruitment_data3[[#This Row],[RecruitmentStrategy]], 1,"Aggressive", 2,"Moderate", 3,"Conservative")</f>
        <v>Moderate</v>
      </c>
      <c r="N1414" s="5">
        <v>2</v>
      </c>
      <c r="O1414" s="5" t="str">
        <f>IF(recruitment_data3[[#This Row],[HiringDecision]]=1,"Hired","Rejected")</f>
        <v>Rejected</v>
      </c>
      <c r="P1414" s="6">
        <v>0</v>
      </c>
    </row>
    <row r="1415" spans="1:16" x14ac:dyDescent="0.25">
      <c r="A1415" s="4" t="str">
        <f t="shared" si="22"/>
        <v>C1414</v>
      </c>
      <c r="B1415" s="4">
        <v>46</v>
      </c>
      <c r="C1415" s="5" t="str">
        <f>IF(recruitment_data3[[#This Row],[Gender]]=1,"Female","Male")</f>
        <v>Male</v>
      </c>
      <c r="D1415" s="5">
        <v>0</v>
      </c>
      <c r="E1415" s="5" t="str">
        <f>_xlfn.SWITCH(recruitment_data3[[#This Row],[EducationLevel]], 1,"Bachelor Type 1", 2,"Bachelor Type 2", 3,"Masters", 4,"PhD")</f>
        <v>Bachelor Type 2</v>
      </c>
      <c r="F1415" s="5">
        <v>2</v>
      </c>
      <c r="G1415" s="5">
        <v>1</v>
      </c>
      <c r="H1415" s="5">
        <v>5</v>
      </c>
      <c r="I1415" s="5">
        <v>2.1795983890397932</v>
      </c>
      <c r="J1415" s="5">
        <v>37</v>
      </c>
      <c r="K1415" s="5">
        <v>41</v>
      </c>
      <c r="L1415" s="5">
        <v>10</v>
      </c>
      <c r="M1415" s="5" t="str">
        <f>_xlfn.SWITCH(recruitment_data3[[#This Row],[RecruitmentStrategy]], 1,"Aggressive", 2,"Moderate", 3,"Conservative")</f>
        <v>Aggressive</v>
      </c>
      <c r="N1415" s="5">
        <v>1</v>
      </c>
      <c r="O1415" s="5" t="str">
        <f>IF(recruitment_data3[[#This Row],[HiringDecision]]=1,"Hired","Rejected")</f>
        <v>Rejected</v>
      </c>
      <c r="P1415" s="6">
        <v>0</v>
      </c>
    </row>
    <row r="1416" spans="1:16" x14ac:dyDescent="0.25">
      <c r="A1416" s="4" t="str">
        <f t="shared" si="22"/>
        <v>C1415</v>
      </c>
      <c r="B1416" s="4">
        <v>33</v>
      </c>
      <c r="C1416" s="5" t="str">
        <f>IF(recruitment_data3[[#This Row],[Gender]]=1,"Female","Male")</f>
        <v>Male</v>
      </c>
      <c r="D1416" s="5">
        <v>0</v>
      </c>
      <c r="E1416" s="5" t="str">
        <f>_xlfn.SWITCH(recruitment_data3[[#This Row],[EducationLevel]], 1,"Bachelor Type 1", 2,"Bachelor Type 2", 3,"Masters", 4,"PhD")</f>
        <v>Bachelor Type 2</v>
      </c>
      <c r="F1416" s="5">
        <v>2</v>
      </c>
      <c r="G1416" s="5">
        <v>2</v>
      </c>
      <c r="H1416" s="5">
        <v>3</v>
      </c>
      <c r="I1416" s="5">
        <v>21.686644879016491</v>
      </c>
      <c r="J1416" s="5">
        <v>84</v>
      </c>
      <c r="K1416" s="5">
        <v>81</v>
      </c>
      <c r="L1416" s="5">
        <v>47</v>
      </c>
      <c r="M1416" s="5" t="str">
        <f>_xlfn.SWITCH(recruitment_data3[[#This Row],[RecruitmentStrategy]], 1,"Aggressive", 2,"Moderate", 3,"Conservative")</f>
        <v>Moderate</v>
      </c>
      <c r="N1416" s="5">
        <v>2</v>
      </c>
      <c r="O1416" s="5" t="str">
        <f>IF(recruitment_data3[[#This Row],[HiringDecision]]=1,"Hired","Rejected")</f>
        <v>Rejected</v>
      </c>
      <c r="P1416" s="6">
        <v>0</v>
      </c>
    </row>
    <row r="1417" spans="1:16" x14ac:dyDescent="0.25">
      <c r="A1417" s="4" t="str">
        <f t="shared" si="22"/>
        <v>C1416</v>
      </c>
      <c r="B1417" s="4">
        <v>45</v>
      </c>
      <c r="C1417" s="5" t="str">
        <f>IF(recruitment_data3[[#This Row],[Gender]]=1,"Female","Male")</f>
        <v>Male</v>
      </c>
      <c r="D1417" s="5">
        <v>0</v>
      </c>
      <c r="E1417" s="5" t="str">
        <f>_xlfn.SWITCH(recruitment_data3[[#This Row],[EducationLevel]], 1,"Bachelor Type 1", 2,"Bachelor Type 2", 3,"Masters", 4,"PhD")</f>
        <v>PhD</v>
      </c>
      <c r="F1417" s="5">
        <v>4</v>
      </c>
      <c r="G1417" s="5">
        <v>9</v>
      </c>
      <c r="H1417" s="5">
        <v>2</v>
      </c>
      <c r="I1417" s="5">
        <v>15.962420963008022</v>
      </c>
      <c r="J1417" s="5">
        <v>60</v>
      </c>
      <c r="K1417" s="5">
        <v>25</v>
      </c>
      <c r="L1417" s="5">
        <v>4</v>
      </c>
      <c r="M1417" s="5" t="str">
        <f>_xlfn.SWITCH(recruitment_data3[[#This Row],[RecruitmentStrategy]], 1,"Aggressive", 2,"Moderate", 3,"Conservative")</f>
        <v>Conservative</v>
      </c>
      <c r="N1417" s="5">
        <v>3</v>
      </c>
      <c r="O1417" s="5" t="str">
        <f>IF(recruitment_data3[[#This Row],[HiringDecision]]=1,"Hired","Rejected")</f>
        <v>Hired</v>
      </c>
      <c r="P1417" s="6">
        <v>1</v>
      </c>
    </row>
    <row r="1418" spans="1:16" x14ac:dyDescent="0.25">
      <c r="A1418" s="4" t="str">
        <f t="shared" si="22"/>
        <v>C1417</v>
      </c>
      <c r="B1418" s="4">
        <v>49</v>
      </c>
      <c r="C1418" s="5" t="str">
        <f>IF(recruitment_data3[[#This Row],[Gender]]=1,"Female","Male")</f>
        <v>Male</v>
      </c>
      <c r="D1418" s="5">
        <v>0</v>
      </c>
      <c r="E1418" s="5" t="str">
        <f>_xlfn.SWITCH(recruitment_data3[[#This Row],[EducationLevel]], 1,"Bachelor Type 1", 2,"Bachelor Type 2", 3,"Masters", 4,"PhD")</f>
        <v>Bachelor Type 2</v>
      </c>
      <c r="F1418" s="5">
        <v>2</v>
      </c>
      <c r="G1418" s="5">
        <v>7</v>
      </c>
      <c r="H1418" s="5">
        <v>4</v>
      </c>
      <c r="I1418" s="5">
        <v>38.405283394374464</v>
      </c>
      <c r="J1418" s="5">
        <v>8</v>
      </c>
      <c r="K1418" s="5">
        <v>12</v>
      </c>
      <c r="L1418" s="5">
        <v>68</v>
      </c>
      <c r="M1418" s="5" t="str">
        <f>_xlfn.SWITCH(recruitment_data3[[#This Row],[RecruitmentStrategy]], 1,"Aggressive", 2,"Moderate", 3,"Conservative")</f>
        <v>Moderate</v>
      </c>
      <c r="N1418" s="5">
        <v>2</v>
      </c>
      <c r="O1418" s="5" t="str">
        <f>IF(recruitment_data3[[#This Row],[HiringDecision]]=1,"Hired","Rejected")</f>
        <v>Hired</v>
      </c>
      <c r="P1418" s="6">
        <v>1</v>
      </c>
    </row>
    <row r="1419" spans="1:16" x14ac:dyDescent="0.25">
      <c r="A1419" s="4" t="str">
        <f t="shared" si="22"/>
        <v>C1418</v>
      </c>
      <c r="B1419" s="4">
        <v>23</v>
      </c>
      <c r="C1419" s="5" t="str">
        <f>IF(recruitment_data3[[#This Row],[Gender]]=1,"Female","Male")</f>
        <v>Female</v>
      </c>
      <c r="D1419" s="5">
        <v>1</v>
      </c>
      <c r="E1419" s="5" t="str">
        <f>_xlfn.SWITCH(recruitment_data3[[#This Row],[EducationLevel]], 1,"Bachelor Type 1", 2,"Bachelor Type 2", 3,"Masters", 4,"PhD")</f>
        <v>Bachelor Type 1</v>
      </c>
      <c r="F1419" s="5">
        <v>1</v>
      </c>
      <c r="G1419" s="5">
        <v>13</v>
      </c>
      <c r="H1419" s="5">
        <v>2</v>
      </c>
      <c r="I1419" s="5">
        <v>11.41388375767729</v>
      </c>
      <c r="J1419" s="5">
        <v>76</v>
      </c>
      <c r="K1419" s="5">
        <v>57</v>
      </c>
      <c r="L1419" s="5">
        <v>63</v>
      </c>
      <c r="M1419" s="5" t="str">
        <f>_xlfn.SWITCH(recruitment_data3[[#This Row],[RecruitmentStrategy]], 1,"Aggressive", 2,"Moderate", 3,"Conservative")</f>
        <v>Moderate</v>
      </c>
      <c r="N1419" s="5">
        <v>2</v>
      </c>
      <c r="O1419" s="5" t="str">
        <f>IF(recruitment_data3[[#This Row],[HiringDecision]]=1,"Hired","Rejected")</f>
        <v>Rejected</v>
      </c>
      <c r="P1419" s="6">
        <v>0</v>
      </c>
    </row>
    <row r="1420" spans="1:16" x14ac:dyDescent="0.25">
      <c r="A1420" s="4" t="str">
        <f t="shared" si="22"/>
        <v>C1419</v>
      </c>
      <c r="B1420" s="4">
        <v>44</v>
      </c>
      <c r="C1420" s="5" t="str">
        <f>IF(recruitment_data3[[#This Row],[Gender]]=1,"Female","Male")</f>
        <v>Female</v>
      </c>
      <c r="D1420" s="5">
        <v>1</v>
      </c>
      <c r="E1420" s="5" t="str">
        <f>_xlfn.SWITCH(recruitment_data3[[#This Row],[EducationLevel]], 1,"Bachelor Type 1", 2,"Bachelor Type 2", 3,"Masters", 4,"PhD")</f>
        <v>Bachelor Type 2</v>
      </c>
      <c r="F1420" s="5">
        <v>2</v>
      </c>
      <c r="G1420" s="5">
        <v>5</v>
      </c>
      <c r="H1420" s="5">
        <v>1</v>
      </c>
      <c r="I1420" s="5">
        <v>11.261004364703592</v>
      </c>
      <c r="J1420" s="5">
        <v>74</v>
      </c>
      <c r="K1420" s="5">
        <v>17</v>
      </c>
      <c r="L1420" s="5">
        <v>13</v>
      </c>
      <c r="M1420" s="5" t="str">
        <f>_xlfn.SWITCH(recruitment_data3[[#This Row],[RecruitmentStrategy]], 1,"Aggressive", 2,"Moderate", 3,"Conservative")</f>
        <v>Aggressive</v>
      </c>
      <c r="N1420" s="5">
        <v>1</v>
      </c>
      <c r="O1420" s="5" t="str">
        <f>IF(recruitment_data3[[#This Row],[HiringDecision]]=1,"Hired","Rejected")</f>
        <v>Rejected</v>
      </c>
      <c r="P1420" s="6">
        <v>0</v>
      </c>
    </row>
    <row r="1421" spans="1:16" x14ac:dyDescent="0.25">
      <c r="A1421" s="4" t="str">
        <f t="shared" si="22"/>
        <v>C1420</v>
      </c>
      <c r="B1421" s="4">
        <v>32</v>
      </c>
      <c r="C1421" s="5" t="str">
        <f>IF(recruitment_data3[[#This Row],[Gender]]=1,"Female","Male")</f>
        <v>Male</v>
      </c>
      <c r="D1421" s="5">
        <v>0</v>
      </c>
      <c r="E1421" s="5" t="str">
        <f>_xlfn.SWITCH(recruitment_data3[[#This Row],[EducationLevel]], 1,"Bachelor Type 1", 2,"Bachelor Type 2", 3,"Masters", 4,"PhD")</f>
        <v>Masters</v>
      </c>
      <c r="F1421" s="5">
        <v>3</v>
      </c>
      <c r="G1421" s="5">
        <v>9</v>
      </c>
      <c r="H1421" s="5">
        <v>2</v>
      </c>
      <c r="I1421" s="5">
        <v>10.47595216186884</v>
      </c>
      <c r="J1421" s="5">
        <v>60</v>
      </c>
      <c r="K1421" s="5">
        <v>66</v>
      </c>
      <c r="L1421" s="5">
        <v>49</v>
      </c>
      <c r="M1421" s="5" t="str">
        <f>_xlfn.SWITCH(recruitment_data3[[#This Row],[RecruitmentStrategy]], 1,"Aggressive", 2,"Moderate", 3,"Conservative")</f>
        <v>Moderate</v>
      </c>
      <c r="N1421" s="5">
        <v>2</v>
      </c>
      <c r="O1421" s="5" t="str">
        <f>IF(recruitment_data3[[#This Row],[HiringDecision]]=1,"Hired","Rejected")</f>
        <v>Hired</v>
      </c>
      <c r="P1421" s="6">
        <v>1</v>
      </c>
    </row>
    <row r="1422" spans="1:16" x14ac:dyDescent="0.25">
      <c r="A1422" s="4" t="str">
        <f t="shared" si="22"/>
        <v>C1421</v>
      </c>
      <c r="B1422" s="4">
        <v>29</v>
      </c>
      <c r="C1422" s="5" t="str">
        <f>IF(recruitment_data3[[#This Row],[Gender]]=1,"Female","Male")</f>
        <v>Male</v>
      </c>
      <c r="D1422" s="5">
        <v>0</v>
      </c>
      <c r="E1422" s="5" t="str">
        <f>_xlfn.SWITCH(recruitment_data3[[#This Row],[EducationLevel]], 1,"Bachelor Type 1", 2,"Bachelor Type 2", 3,"Masters", 4,"PhD")</f>
        <v>Masters</v>
      </c>
      <c r="F1422" s="5">
        <v>3</v>
      </c>
      <c r="G1422" s="5">
        <v>8</v>
      </c>
      <c r="H1422" s="5">
        <v>2</v>
      </c>
      <c r="I1422" s="5">
        <v>7.2807806578117962</v>
      </c>
      <c r="J1422" s="5">
        <v>79</v>
      </c>
      <c r="K1422" s="5">
        <v>86</v>
      </c>
      <c r="L1422" s="5">
        <v>25</v>
      </c>
      <c r="M1422" s="5" t="str">
        <f>_xlfn.SWITCH(recruitment_data3[[#This Row],[RecruitmentStrategy]], 1,"Aggressive", 2,"Moderate", 3,"Conservative")</f>
        <v>Moderate</v>
      </c>
      <c r="N1422" s="5">
        <v>2</v>
      </c>
      <c r="O1422" s="5" t="str">
        <f>IF(recruitment_data3[[#This Row],[HiringDecision]]=1,"Hired","Rejected")</f>
        <v>Hired</v>
      </c>
      <c r="P1422" s="6">
        <v>1</v>
      </c>
    </row>
    <row r="1423" spans="1:16" x14ac:dyDescent="0.25">
      <c r="A1423" s="4" t="str">
        <f t="shared" si="22"/>
        <v>C1422</v>
      </c>
      <c r="B1423" s="4">
        <v>44</v>
      </c>
      <c r="C1423" s="5" t="str">
        <f>IF(recruitment_data3[[#This Row],[Gender]]=1,"Female","Male")</f>
        <v>Male</v>
      </c>
      <c r="D1423" s="5">
        <v>0</v>
      </c>
      <c r="E1423" s="5" t="str">
        <f>_xlfn.SWITCH(recruitment_data3[[#This Row],[EducationLevel]], 1,"Bachelor Type 1", 2,"Bachelor Type 2", 3,"Masters", 4,"PhD")</f>
        <v>Bachelor Type 1</v>
      </c>
      <c r="F1423" s="5">
        <v>1</v>
      </c>
      <c r="G1423" s="5">
        <v>9</v>
      </c>
      <c r="H1423" s="5">
        <v>4</v>
      </c>
      <c r="I1423" s="5">
        <v>16.550350183544371</v>
      </c>
      <c r="J1423" s="5">
        <v>15</v>
      </c>
      <c r="K1423" s="5">
        <v>2</v>
      </c>
      <c r="L1423" s="5">
        <v>71</v>
      </c>
      <c r="M1423" s="5" t="str">
        <f>_xlfn.SWITCH(recruitment_data3[[#This Row],[RecruitmentStrategy]], 1,"Aggressive", 2,"Moderate", 3,"Conservative")</f>
        <v>Moderate</v>
      </c>
      <c r="N1423" s="5">
        <v>2</v>
      </c>
      <c r="O1423" s="5" t="str">
        <f>IF(recruitment_data3[[#This Row],[HiringDecision]]=1,"Hired","Rejected")</f>
        <v>Hired</v>
      </c>
      <c r="P1423" s="6">
        <v>1</v>
      </c>
    </row>
    <row r="1424" spans="1:16" x14ac:dyDescent="0.25">
      <c r="A1424" s="4" t="str">
        <f t="shared" si="22"/>
        <v>C1423</v>
      </c>
      <c r="B1424" s="4">
        <v>37</v>
      </c>
      <c r="C1424" s="5" t="str">
        <f>IF(recruitment_data3[[#This Row],[Gender]]=1,"Female","Male")</f>
        <v>Male</v>
      </c>
      <c r="D1424" s="5">
        <v>0</v>
      </c>
      <c r="E1424" s="5" t="str">
        <f>_xlfn.SWITCH(recruitment_data3[[#This Row],[EducationLevel]], 1,"Bachelor Type 1", 2,"Bachelor Type 2", 3,"Masters", 4,"PhD")</f>
        <v>PhD</v>
      </c>
      <c r="F1424" s="5">
        <v>4</v>
      </c>
      <c r="G1424" s="5">
        <v>3</v>
      </c>
      <c r="H1424" s="5">
        <v>1</v>
      </c>
      <c r="I1424" s="5">
        <v>45.296105722171255</v>
      </c>
      <c r="J1424" s="5">
        <v>1</v>
      </c>
      <c r="K1424" s="5">
        <v>54</v>
      </c>
      <c r="L1424" s="5">
        <v>68</v>
      </c>
      <c r="M1424" s="5" t="str">
        <f>_xlfn.SWITCH(recruitment_data3[[#This Row],[RecruitmentStrategy]], 1,"Aggressive", 2,"Moderate", 3,"Conservative")</f>
        <v>Aggressive</v>
      </c>
      <c r="N1424" s="5">
        <v>1</v>
      </c>
      <c r="O1424" s="5" t="str">
        <f>IF(recruitment_data3[[#This Row],[HiringDecision]]=1,"Hired","Rejected")</f>
        <v>Hired</v>
      </c>
      <c r="P1424" s="6">
        <v>1</v>
      </c>
    </row>
    <row r="1425" spans="1:16" x14ac:dyDescent="0.25">
      <c r="A1425" s="4" t="str">
        <f t="shared" si="22"/>
        <v>C1424</v>
      </c>
      <c r="B1425" s="4">
        <v>27</v>
      </c>
      <c r="C1425" s="5" t="str">
        <f>IF(recruitment_data3[[#This Row],[Gender]]=1,"Female","Male")</f>
        <v>Female</v>
      </c>
      <c r="D1425" s="5">
        <v>1</v>
      </c>
      <c r="E1425" s="5" t="str">
        <f>_xlfn.SWITCH(recruitment_data3[[#This Row],[EducationLevel]], 1,"Bachelor Type 1", 2,"Bachelor Type 2", 3,"Masters", 4,"PhD")</f>
        <v>Bachelor Type 2</v>
      </c>
      <c r="F1425" s="5">
        <v>2</v>
      </c>
      <c r="G1425" s="5">
        <v>15</v>
      </c>
      <c r="H1425" s="5">
        <v>2</v>
      </c>
      <c r="I1425" s="5">
        <v>39.746423615297751</v>
      </c>
      <c r="J1425" s="5">
        <v>71</v>
      </c>
      <c r="K1425" s="5">
        <v>88</v>
      </c>
      <c r="L1425" s="5">
        <v>6</v>
      </c>
      <c r="M1425" s="5" t="str">
        <f>_xlfn.SWITCH(recruitment_data3[[#This Row],[RecruitmentStrategy]], 1,"Aggressive", 2,"Moderate", 3,"Conservative")</f>
        <v>Moderate</v>
      </c>
      <c r="N1425" s="5">
        <v>2</v>
      </c>
      <c r="O1425" s="5" t="str">
        <f>IF(recruitment_data3[[#This Row],[HiringDecision]]=1,"Hired","Rejected")</f>
        <v>Rejected</v>
      </c>
      <c r="P1425" s="6">
        <v>0</v>
      </c>
    </row>
    <row r="1426" spans="1:16" x14ac:dyDescent="0.25">
      <c r="A1426" s="4" t="str">
        <f t="shared" si="22"/>
        <v>C1425</v>
      </c>
      <c r="B1426" s="4">
        <v>27</v>
      </c>
      <c r="C1426" s="5" t="str">
        <f>IF(recruitment_data3[[#This Row],[Gender]]=1,"Female","Male")</f>
        <v>Male</v>
      </c>
      <c r="D1426" s="5">
        <v>0</v>
      </c>
      <c r="E1426" s="5" t="str">
        <f>_xlfn.SWITCH(recruitment_data3[[#This Row],[EducationLevel]], 1,"Bachelor Type 1", 2,"Bachelor Type 2", 3,"Masters", 4,"PhD")</f>
        <v>Bachelor Type 1</v>
      </c>
      <c r="F1426" s="5">
        <v>1</v>
      </c>
      <c r="G1426" s="5">
        <v>7</v>
      </c>
      <c r="H1426" s="5">
        <v>5</v>
      </c>
      <c r="I1426" s="5">
        <v>37.762560815339675</v>
      </c>
      <c r="J1426" s="5">
        <v>42</v>
      </c>
      <c r="K1426" s="5">
        <v>90</v>
      </c>
      <c r="L1426" s="5">
        <v>15</v>
      </c>
      <c r="M1426" s="5" t="str">
        <f>_xlfn.SWITCH(recruitment_data3[[#This Row],[RecruitmentStrategy]], 1,"Aggressive", 2,"Moderate", 3,"Conservative")</f>
        <v>Aggressive</v>
      </c>
      <c r="N1426" s="5">
        <v>1</v>
      </c>
      <c r="O1426" s="5" t="str">
        <f>IF(recruitment_data3[[#This Row],[HiringDecision]]=1,"Hired","Rejected")</f>
        <v>Hired</v>
      </c>
      <c r="P1426" s="6">
        <v>1</v>
      </c>
    </row>
    <row r="1427" spans="1:16" x14ac:dyDescent="0.25">
      <c r="A1427" s="4" t="str">
        <f t="shared" si="22"/>
        <v>C1426</v>
      </c>
      <c r="B1427" s="4">
        <v>26</v>
      </c>
      <c r="C1427" s="5" t="str">
        <f>IF(recruitment_data3[[#This Row],[Gender]]=1,"Female","Male")</f>
        <v>Male</v>
      </c>
      <c r="D1427" s="5">
        <v>0</v>
      </c>
      <c r="E1427" s="5" t="str">
        <f>_xlfn.SWITCH(recruitment_data3[[#This Row],[EducationLevel]], 1,"Bachelor Type 1", 2,"Bachelor Type 2", 3,"Masters", 4,"PhD")</f>
        <v>Bachelor Type 1</v>
      </c>
      <c r="F1427" s="5">
        <v>1</v>
      </c>
      <c r="G1427" s="5">
        <v>9</v>
      </c>
      <c r="H1427" s="5">
        <v>3</v>
      </c>
      <c r="I1427" s="5">
        <v>40.866840282498131</v>
      </c>
      <c r="J1427" s="5">
        <v>41</v>
      </c>
      <c r="K1427" s="5">
        <v>57</v>
      </c>
      <c r="L1427" s="5">
        <v>54</v>
      </c>
      <c r="M1427" s="5" t="str">
        <f>_xlfn.SWITCH(recruitment_data3[[#This Row],[RecruitmentStrategy]], 1,"Aggressive", 2,"Moderate", 3,"Conservative")</f>
        <v>Moderate</v>
      </c>
      <c r="N1427" s="5">
        <v>2</v>
      </c>
      <c r="O1427" s="5" t="str">
        <f>IF(recruitment_data3[[#This Row],[HiringDecision]]=1,"Hired","Rejected")</f>
        <v>Hired</v>
      </c>
      <c r="P1427" s="6">
        <v>1</v>
      </c>
    </row>
    <row r="1428" spans="1:16" x14ac:dyDescent="0.25">
      <c r="A1428" s="4" t="str">
        <f t="shared" si="22"/>
        <v>C1427</v>
      </c>
      <c r="B1428" s="4">
        <v>27</v>
      </c>
      <c r="C1428" s="5" t="str">
        <f>IF(recruitment_data3[[#This Row],[Gender]]=1,"Female","Male")</f>
        <v>Male</v>
      </c>
      <c r="D1428" s="5">
        <v>0</v>
      </c>
      <c r="E1428" s="5" t="str">
        <f>_xlfn.SWITCH(recruitment_data3[[#This Row],[EducationLevel]], 1,"Bachelor Type 1", 2,"Bachelor Type 2", 3,"Masters", 4,"PhD")</f>
        <v>Bachelor Type 1</v>
      </c>
      <c r="F1428" s="5">
        <v>1</v>
      </c>
      <c r="G1428" s="5">
        <v>2</v>
      </c>
      <c r="H1428" s="5">
        <v>2</v>
      </c>
      <c r="I1428" s="5">
        <v>14.470894466478583</v>
      </c>
      <c r="J1428" s="5">
        <v>76</v>
      </c>
      <c r="K1428" s="5">
        <v>62</v>
      </c>
      <c r="L1428" s="5">
        <v>77</v>
      </c>
      <c r="M1428" s="5" t="str">
        <f>_xlfn.SWITCH(recruitment_data3[[#This Row],[RecruitmentStrategy]], 1,"Aggressive", 2,"Moderate", 3,"Conservative")</f>
        <v>Aggressive</v>
      </c>
      <c r="N1428" s="5">
        <v>1</v>
      </c>
      <c r="O1428" s="5" t="str">
        <f>IF(recruitment_data3[[#This Row],[HiringDecision]]=1,"Hired","Rejected")</f>
        <v>Rejected</v>
      </c>
      <c r="P1428" s="6">
        <v>0</v>
      </c>
    </row>
    <row r="1429" spans="1:16" x14ac:dyDescent="0.25">
      <c r="A1429" s="4" t="str">
        <f t="shared" si="22"/>
        <v>C1428</v>
      </c>
      <c r="B1429" s="4">
        <v>33</v>
      </c>
      <c r="C1429" s="5" t="str">
        <f>IF(recruitment_data3[[#This Row],[Gender]]=1,"Female","Male")</f>
        <v>Male</v>
      </c>
      <c r="D1429" s="5">
        <v>0</v>
      </c>
      <c r="E1429" s="5" t="str">
        <f>_xlfn.SWITCH(recruitment_data3[[#This Row],[EducationLevel]], 1,"Bachelor Type 1", 2,"Bachelor Type 2", 3,"Masters", 4,"PhD")</f>
        <v>Masters</v>
      </c>
      <c r="F1429" s="5">
        <v>3</v>
      </c>
      <c r="G1429" s="5">
        <v>2</v>
      </c>
      <c r="H1429" s="5">
        <v>1</v>
      </c>
      <c r="I1429" s="5">
        <v>45.372084537624389</v>
      </c>
      <c r="J1429" s="5">
        <v>56</v>
      </c>
      <c r="K1429" s="5">
        <v>90</v>
      </c>
      <c r="L1429" s="5">
        <v>100</v>
      </c>
      <c r="M1429" s="5" t="str">
        <f>_xlfn.SWITCH(recruitment_data3[[#This Row],[RecruitmentStrategy]], 1,"Aggressive", 2,"Moderate", 3,"Conservative")</f>
        <v>Conservative</v>
      </c>
      <c r="N1429" s="5">
        <v>3</v>
      </c>
      <c r="O1429" s="5" t="str">
        <f>IF(recruitment_data3[[#This Row],[HiringDecision]]=1,"Hired","Rejected")</f>
        <v>Rejected</v>
      </c>
      <c r="P1429" s="6">
        <v>0</v>
      </c>
    </row>
    <row r="1430" spans="1:16" x14ac:dyDescent="0.25">
      <c r="A1430" s="4" t="str">
        <f t="shared" si="22"/>
        <v>C1429</v>
      </c>
      <c r="B1430" s="4">
        <v>38</v>
      </c>
      <c r="C1430" s="5" t="str">
        <f>IF(recruitment_data3[[#This Row],[Gender]]=1,"Female","Male")</f>
        <v>Female</v>
      </c>
      <c r="D1430" s="5">
        <v>1</v>
      </c>
      <c r="E1430" s="5" t="str">
        <f>_xlfn.SWITCH(recruitment_data3[[#This Row],[EducationLevel]], 1,"Bachelor Type 1", 2,"Bachelor Type 2", 3,"Masters", 4,"PhD")</f>
        <v>Bachelor Type 1</v>
      </c>
      <c r="F1430" s="5">
        <v>1</v>
      </c>
      <c r="G1430" s="5">
        <v>7</v>
      </c>
      <c r="H1430" s="5">
        <v>2</v>
      </c>
      <c r="I1430" s="5">
        <v>7.8651687570802196</v>
      </c>
      <c r="J1430" s="5">
        <v>80</v>
      </c>
      <c r="K1430" s="5">
        <v>51</v>
      </c>
      <c r="L1430" s="5">
        <v>55</v>
      </c>
      <c r="M1430" s="5" t="str">
        <f>_xlfn.SWITCH(recruitment_data3[[#This Row],[RecruitmentStrategy]], 1,"Aggressive", 2,"Moderate", 3,"Conservative")</f>
        <v>Aggressive</v>
      </c>
      <c r="N1430" s="5">
        <v>1</v>
      </c>
      <c r="O1430" s="5" t="str">
        <f>IF(recruitment_data3[[#This Row],[HiringDecision]]=1,"Hired","Rejected")</f>
        <v>Rejected</v>
      </c>
      <c r="P1430" s="6">
        <v>0</v>
      </c>
    </row>
    <row r="1431" spans="1:16" x14ac:dyDescent="0.25">
      <c r="A1431" s="4" t="str">
        <f t="shared" si="22"/>
        <v>C1430</v>
      </c>
      <c r="B1431" s="4">
        <v>48</v>
      </c>
      <c r="C1431" s="5" t="str">
        <f>IF(recruitment_data3[[#This Row],[Gender]]=1,"Female","Male")</f>
        <v>Male</v>
      </c>
      <c r="D1431" s="5">
        <v>0</v>
      </c>
      <c r="E1431" s="5" t="str">
        <f>_xlfn.SWITCH(recruitment_data3[[#This Row],[EducationLevel]], 1,"Bachelor Type 1", 2,"Bachelor Type 2", 3,"Masters", 4,"PhD")</f>
        <v>Bachelor Type 1</v>
      </c>
      <c r="F1431" s="5">
        <v>1</v>
      </c>
      <c r="G1431" s="5">
        <v>4</v>
      </c>
      <c r="H1431" s="5">
        <v>3</v>
      </c>
      <c r="I1431" s="5">
        <v>17.817286335779098</v>
      </c>
      <c r="J1431" s="5">
        <v>87</v>
      </c>
      <c r="K1431" s="5">
        <v>88</v>
      </c>
      <c r="L1431" s="5">
        <v>3</v>
      </c>
      <c r="M1431" s="5" t="str">
        <f>_xlfn.SWITCH(recruitment_data3[[#This Row],[RecruitmentStrategy]], 1,"Aggressive", 2,"Moderate", 3,"Conservative")</f>
        <v>Moderate</v>
      </c>
      <c r="N1431" s="5">
        <v>2</v>
      </c>
      <c r="O1431" s="5" t="str">
        <f>IF(recruitment_data3[[#This Row],[HiringDecision]]=1,"Hired","Rejected")</f>
        <v>Hired</v>
      </c>
      <c r="P1431" s="6">
        <v>1</v>
      </c>
    </row>
    <row r="1432" spans="1:16" x14ac:dyDescent="0.25">
      <c r="A1432" s="4" t="str">
        <f t="shared" si="22"/>
        <v>C1431</v>
      </c>
      <c r="B1432" s="4">
        <v>25</v>
      </c>
      <c r="C1432" s="5" t="str">
        <f>IF(recruitment_data3[[#This Row],[Gender]]=1,"Female","Male")</f>
        <v>Male</v>
      </c>
      <c r="D1432" s="5">
        <v>0</v>
      </c>
      <c r="E1432" s="5" t="str">
        <f>_xlfn.SWITCH(recruitment_data3[[#This Row],[EducationLevel]], 1,"Bachelor Type 1", 2,"Bachelor Type 2", 3,"Masters", 4,"PhD")</f>
        <v>Masters</v>
      </c>
      <c r="F1432" s="5">
        <v>3</v>
      </c>
      <c r="G1432" s="5">
        <v>2</v>
      </c>
      <c r="H1432" s="5">
        <v>1</v>
      </c>
      <c r="I1432" s="5">
        <v>30.337405948367145</v>
      </c>
      <c r="J1432" s="5">
        <v>66</v>
      </c>
      <c r="K1432" s="5">
        <v>23</v>
      </c>
      <c r="L1432" s="5">
        <v>99</v>
      </c>
      <c r="M1432" s="5" t="str">
        <f>_xlfn.SWITCH(recruitment_data3[[#This Row],[RecruitmentStrategy]], 1,"Aggressive", 2,"Moderate", 3,"Conservative")</f>
        <v>Aggressive</v>
      </c>
      <c r="N1432" s="5">
        <v>1</v>
      </c>
      <c r="O1432" s="5" t="str">
        <f>IF(recruitment_data3[[#This Row],[HiringDecision]]=1,"Hired","Rejected")</f>
        <v>Hired</v>
      </c>
      <c r="P1432" s="6">
        <v>1</v>
      </c>
    </row>
    <row r="1433" spans="1:16" x14ac:dyDescent="0.25">
      <c r="A1433" s="4" t="str">
        <f t="shared" si="22"/>
        <v>C1432</v>
      </c>
      <c r="B1433" s="4">
        <v>20</v>
      </c>
      <c r="C1433" s="5" t="str">
        <f>IF(recruitment_data3[[#This Row],[Gender]]=1,"Female","Male")</f>
        <v>Female</v>
      </c>
      <c r="D1433" s="5">
        <v>1</v>
      </c>
      <c r="E1433" s="5" t="str">
        <f>_xlfn.SWITCH(recruitment_data3[[#This Row],[EducationLevel]], 1,"Bachelor Type 1", 2,"Bachelor Type 2", 3,"Masters", 4,"PhD")</f>
        <v>Bachelor Type 2</v>
      </c>
      <c r="F1433" s="5">
        <v>2</v>
      </c>
      <c r="G1433" s="5">
        <v>9</v>
      </c>
      <c r="H1433" s="5">
        <v>4</v>
      </c>
      <c r="I1433" s="5">
        <v>6.1452544171000314</v>
      </c>
      <c r="J1433" s="5">
        <v>29</v>
      </c>
      <c r="K1433" s="5">
        <v>71</v>
      </c>
      <c r="L1433" s="5">
        <v>47</v>
      </c>
      <c r="M1433" s="5" t="str">
        <f>_xlfn.SWITCH(recruitment_data3[[#This Row],[RecruitmentStrategy]], 1,"Aggressive", 2,"Moderate", 3,"Conservative")</f>
        <v>Moderate</v>
      </c>
      <c r="N1433" s="5">
        <v>2</v>
      </c>
      <c r="O1433" s="5" t="str">
        <f>IF(recruitment_data3[[#This Row],[HiringDecision]]=1,"Hired","Rejected")</f>
        <v>Hired</v>
      </c>
      <c r="P1433" s="6">
        <v>1</v>
      </c>
    </row>
    <row r="1434" spans="1:16" x14ac:dyDescent="0.25">
      <c r="A1434" s="4" t="str">
        <f t="shared" si="22"/>
        <v>C1433</v>
      </c>
      <c r="B1434" s="4">
        <v>42</v>
      </c>
      <c r="C1434" s="5" t="str">
        <f>IF(recruitment_data3[[#This Row],[Gender]]=1,"Female","Male")</f>
        <v>Female</v>
      </c>
      <c r="D1434" s="5">
        <v>1</v>
      </c>
      <c r="E1434" s="5" t="str">
        <f>_xlfn.SWITCH(recruitment_data3[[#This Row],[EducationLevel]], 1,"Bachelor Type 1", 2,"Bachelor Type 2", 3,"Masters", 4,"PhD")</f>
        <v>Bachelor Type 1</v>
      </c>
      <c r="F1434" s="5">
        <v>1</v>
      </c>
      <c r="G1434" s="5">
        <v>10</v>
      </c>
      <c r="H1434" s="5">
        <v>1</v>
      </c>
      <c r="I1434" s="5">
        <v>37.506509388821243</v>
      </c>
      <c r="J1434" s="5">
        <v>12</v>
      </c>
      <c r="K1434" s="5">
        <v>8</v>
      </c>
      <c r="L1434" s="5">
        <v>16</v>
      </c>
      <c r="M1434" s="5" t="str">
        <f>_xlfn.SWITCH(recruitment_data3[[#This Row],[RecruitmentStrategy]], 1,"Aggressive", 2,"Moderate", 3,"Conservative")</f>
        <v>Moderate</v>
      </c>
      <c r="N1434" s="5">
        <v>2</v>
      </c>
      <c r="O1434" s="5" t="str">
        <f>IF(recruitment_data3[[#This Row],[HiringDecision]]=1,"Hired","Rejected")</f>
        <v>Hired</v>
      </c>
      <c r="P1434" s="6">
        <v>1</v>
      </c>
    </row>
    <row r="1435" spans="1:16" x14ac:dyDescent="0.25">
      <c r="A1435" s="4" t="str">
        <f t="shared" si="22"/>
        <v>C1434</v>
      </c>
      <c r="B1435" s="4">
        <v>50</v>
      </c>
      <c r="C1435" s="5" t="str">
        <f>IF(recruitment_data3[[#This Row],[Gender]]=1,"Female","Male")</f>
        <v>Female</v>
      </c>
      <c r="D1435" s="5">
        <v>1</v>
      </c>
      <c r="E1435" s="5" t="str">
        <f>_xlfn.SWITCH(recruitment_data3[[#This Row],[EducationLevel]], 1,"Bachelor Type 1", 2,"Bachelor Type 2", 3,"Masters", 4,"PhD")</f>
        <v>Bachelor Type 1</v>
      </c>
      <c r="F1435" s="5">
        <v>1</v>
      </c>
      <c r="G1435" s="5">
        <v>15</v>
      </c>
      <c r="H1435" s="5">
        <v>4</v>
      </c>
      <c r="I1435" s="5">
        <v>20.362302410173747</v>
      </c>
      <c r="J1435" s="5">
        <v>18</v>
      </c>
      <c r="K1435" s="5">
        <v>36</v>
      </c>
      <c r="L1435" s="5">
        <v>35</v>
      </c>
      <c r="M1435" s="5" t="str">
        <f>_xlfn.SWITCH(recruitment_data3[[#This Row],[RecruitmentStrategy]], 1,"Aggressive", 2,"Moderate", 3,"Conservative")</f>
        <v>Moderate</v>
      </c>
      <c r="N1435" s="5">
        <v>2</v>
      </c>
      <c r="O1435" s="5" t="str">
        <f>IF(recruitment_data3[[#This Row],[HiringDecision]]=1,"Hired","Rejected")</f>
        <v>Rejected</v>
      </c>
      <c r="P1435" s="6">
        <v>0</v>
      </c>
    </row>
    <row r="1436" spans="1:16" x14ac:dyDescent="0.25">
      <c r="A1436" s="4" t="str">
        <f t="shared" si="22"/>
        <v>C1435</v>
      </c>
      <c r="B1436" s="4">
        <v>34</v>
      </c>
      <c r="C1436" s="5" t="str">
        <f>IF(recruitment_data3[[#This Row],[Gender]]=1,"Female","Male")</f>
        <v>Male</v>
      </c>
      <c r="D1436" s="5">
        <v>0</v>
      </c>
      <c r="E1436" s="5" t="str">
        <f>_xlfn.SWITCH(recruitment_data3[[#This Row],[EducationLevel]], 1,"Bachelor Type 1", 2,"Bachelor Type 2", 3,"Masters", 4,"PhD")</f>
        <v>Bachelor Type 1</v>
      </c>
      <c r="F1436" s="5">
        <v>1</v>
      </c>
      <c r="G1436" s="5">
        <v>0</v>
      </c>
      <c r="H1436" s="5">
        <v>1</v>
      </c>
      <c r="I1436" s="5">
        <v>40.220283280420006</v>
      </c>
      <c r="J1436" s="5">
        <v>6</v>
      </c>
      <c r="K1436" s="5">
        <v>93</v>
      </c>
      <c r="L1436" s="5">
        <v>69</v>
      </c>
      <c r="M1436" s="5" t="str">
        <f>_xlfn.SWITCH(recruitment_data3[[#This Row],[RecruitmentStrategy]], 1,"Aggressive", 2,"Moderate", 3,"Conservative")</f>
        <v>Aggressive</v>
      </c>
      <c r="N1436" s="5">
        <v>1</v>
      </c>
      <c r="O1436" s="5" t="str">
        <f>IF(recruitment_data3[[#This Row],[HiringDecision]]=1,"Hired","Rejected")</f>
        <v>Rejected</v>
      </c>
      <c r="P1436" s="6">
        <v>0</v>
      </c>
    </row>
    <row r="1437" spans="1:16" x14ac:dyDescent="0.25">
      <c r="A1437" s="4" t="str">
        <f t="shared" si="22"/>
        <v>C1436</v>
      </c>
      <c r="B1437" s="4">
        <v>20</v>
      </c>
      <c r="C1437" s="5" t="str">
        <f>IF(recruitment_data3[[#This Row],[Gender]]=1,"Female","Male")</f>
        <v>Male</v>
      </c>
      <c r="D1437" s="5">
        <v>0</v>
      </c>
      <c r="E1437" s="5" t="str">
        <f>_xlfn.SWITCH(recruitment_data3[[#This Row],[EducationLevel]], 1,"Bachelor Type 1", 2,"Bachelor Type 2", 3,"Masters", 4,"PhD")</f>
        <v>Bachelor Type 2</v>
      </c>
      <c r="F1437" s="5">
        <v>2</v>
      </c>
      <c r="G1437" s="5">
        <v>14</v>
      </c>
      <c r="H1437" s="5">
        <v>3</v>
      </c>
      <c r="I1437" s="5">
        <v>25.644814279230136</v>
      </c>
      <c r="J1437" s="5">
        <v>8</v>
      </c>
      <c r="K1437" s="5">
        <v>82</v>
      </c>
      <c r="L1437" s="5">
        <v>79</v>
      </c>
      <c r="M1437" s="5" t="str">
        <f>_xlfn.SWITCH(recruitment_data3[[#This Row],[RecruitmentStrategy]], 1,"Aggressive", 2,"Moderate", 3,"Conservative")</f>
        <v>Moderate</v>
      </c>
      <c r="N1437" s="5">
        <v>2</v>
      </c>
      <c r="O1437" s="5" t="str">
        <f>IF(recruitment_data3[[#This Row],[HiringDecision]]=1,"Hired","Rejected")</f>
        <v>Hired</v>
      </c>
      <c r="P1437" s="6">
        <v>1</v>
      </c>
    </row>
    <row r="1438" spans="1:16" x14ac:dyDescent="0.25">
      <c r="A1438" s="4" t="str">
        <f t="shared" si="22"/>
        <v>C1437</v>
      </c>
      <c r="B1438" s="4">
        <v>44</v>
      </c>
      <c r="C1438" s="5" t="str">
        <f>IF(recruitment_data3[[#This Row],[Gender]]=1,"Female","Male")</f>
        <v>Female</v>
      </c>
      <c r="D1438" s="5">
        <v>1</v>
      </c>
      <c r="E1438" s="5" t="str">
        <f>_xlfn.SWITCH(recruitment_data3[[#This Row],[EducationLevel]], 1,"Bachelor Type 1", 2,"Bachelor Type 2", 3,"Masters", 4,"PhD")</f>
        <v>Bachelor Type 2</v>
      </c>
      <c r="F1438" s="5">
        <v>2</v>
      </c>
      <c r="G1438" s="5">
        <v>2</v>
      </c>
      <c r="H1438" s="5">
        <v>3</v>
      </c>
      <c r="I1438" s="5">
        <v>10.043726221266818</v>
      </c>
      <c r="J1438" s="5">
        <v>82</v>
      </c>
      <c r="K1438" s="5">
        <v>52</v>
      </c>
      <c r="L1438" s="5">
        <v>92</v>
      </c>
      <c r="M1438" s="5" t="str">
        <f>_xlfn.SWITCH(recruitment_data3[[#This Row],[RecruitmentStrategy]], 1,"Aggressive", 2,"Moderate", 3,"Conservative")</f>
        <v>Aggressive</v>
      </c>
      <c r="N1438" s="5">
        <v>1</v>
      </c>
      <c r="O1438" s="5" t="str">
        <f>IF(recruitment_data3[[#This Row],[HiringDecision]]=1,"Hired","Rejected")</f>
        <v>Hired</v>
      </c>
      <c r="P1438" s="6">
        <v>1</v>
      </c>
    </row>
    <row r="1439" spans="1:16" x14ac:dyDescent="0.25">
      <c r="A1439" s="4" t="str">
        <f t="shared" si="22"/>
        <v>C1438</v>
      </c>
      <c r="B1439" s="4">
        <v>36</v>
      </c>
      <c r="C1439" s="5" t="str">
        <f>IF(recruitment_data3[[#This Row],[Gender]]=1,"Female","Male")</f>
        <v>Female</v>
      </c>
      <c r="D1439" s="5">
        <v>1</v>
      </c>
      <c r="E1439" s="5" t="str">
        <f>_xlfn.SWITCH(recruitment_data3[[#This Row],[EducationLevel]], 1,"Bachelor Type 1", 2,"Bachelor Type 2", 3,"Masters", 4,"PhD")</f>
        <v>Bachelor Type 1</v>
      </c>
      <c r="F1439" s="5">
        <v>1</v>
      </c>
      <c r="G1439" s="5">
        <v>11</v>
      </c>
      <c r="H1439" s="5">
        <v>1</v>
      </c>
      <c r="I1439" s="5">
        <v>37.738090567767216</v>
      </c>
      <c r="J1439" s="5">
        <v>53</v>
      </c>
      <c r="K1439" s="5">
        <v>79</v>
      </c>
      <c r="L1439" s="5">
        <v>99</v>
      </c>
      <c r="M1439" s="5" t="str">
        <f>_xlfn.SWITCH(recruitment_data3[[#This Row],[RecruitmentStrategy]], 1,"Aggressive", 2,"Moderate", 3,"Conservative")</f>
        <v>Aggressive</v>
      </c>
      <c r="N1439" s="5">
        <v>1</v>
      </c>
      <c r="O1439" s="5" t="str">
        <f>IF(recruitment_data3[[#This Row],[HiringDecision]]=1,"Hired","Rejected")</f>
        <v>Hired</v>
      </c>
      <c r="P1439" s="6">
        <v>1</v>
      </c>
    </row>
    <row r="1440" spans="1:16" x14ac:dyDescent="0.25">
      <c r="A1440" s="4" t="str">
        <f t="shared" si="22"/>
        <v>C1439</v>
      </c>
      <c r="B1440" s="4">
        <v>20</v>
      </c>
      <c r="C1440" s="5" t="str">
        <f>IF(recruitment_data3[[#This Row],[Gender]]=1,"Female","Male")</f>
        <v>Female</v>
      </c>
      <c r="D1440" s="5">
        <v>1</v>
      </c>
      <c r="E1440" s="5" t="str">
        <f>_xlfn.SWITCH(recruitment_data3[[#This Row],[EducationLevel]], 1,"Bachelor Type 1", 2,"Bachelor Type 2", 3,"Masters", 4,"PhD")</f>
        <v>Bachelor Type 1</v>
      </c>
      <c r="F1440" s="5">
        <v>1</v>
      </c>
      <c r="G1440" s="5">
        <v>8</v>
      </c>
      <c r="H1440" s="5">
        <v>2</v>
      </c>
      <c r="I1440" s="5">
        <v>13.607197791947177</v>
      </c>
      <c r="J1440" s="5">
        <v>85</v>
      </c>
      <c r="K1440" s="5">
        <v>23</v>
      </c>
      <c r="L1440" s="5">
        <v>37</v>
      </c>
      <c r="M1440" s="5" t="str">
        <f>_xlfn.SWITCH(recruitment_data3[[#This Row],[RecruitmentStrategy]], 1,"Aggressive", 2,"Moderate", 3,"Conservative")</f>
        <v>Moderate</v>
      </c>
      <c r="N1440" s="5">
        <v>2</v>
      </c>
      <c r="O1440" s="5" t="str">
        <f>IF(recruitment_data3[[#This Row],[HiringDecision]]=1,"Hired","Rejected")</f>
        <v>Rejected</v>
      </c>
      <c r="P1440" s="6">
        <v>0</v>
      </c>
    </row>
    <row r="1441" spans="1:16" x14ac:dyDescent="0.25">
      <c r="A1441" s="4" t="str">
        <f t="shared" si="22"/>
        <v>C1440</v>
      </c>
      <c r="B1441" s="4">
        <v>34</v>
      </c>
      <c r="C1441" s="5" t="str">
        <f>IF(recruitment_data3[[#This Row],[Gender]]=1,"Female","Male")</f>
        <v>Female</v>
      </c>
      <c r="D1441" s="5">
        <v>1</v>
      </c>
      <c r="E1441" s="5" t="str">
        <f>_xlfn.SWITCH(recruitment_data3[[#This Row],[EducationLevel]], 1,"Bachelor Type 1", 2,"Bachelor Type 2", 3,"Masters", 4,"PhD")</f>
        <v>Masters</v>
      </c>
      <c r="F1441" s="5">
        <v>3</v>
      </c>
      <c r="G1441" s="5">
        <v>4</v>
      </c>
      <c r="H1441" s="5">
        <v>3</v>
      </c>
      <c r="I1441" s="5">
        <v>25.54051506340214</v>
      </c>
      <c r="J1441" s="5">
        <v>81</v>
      </c>
      <c r="K1441" s="5">
        <v>20</v>
      </c>
      <c r="L1441" s="5">
        <v>100</v>
      </c>
      <c r="M1441" s="5" t="str">
        <f>_xlfn.SWITCH(recruitment_data3[[#This Row],[RecruitmentStrategy]], 1,"Aggressive", 2,"Moderate", 3,"Conservative")</f>
        <v>Aggressive</v>
      </c>
      <c r="N1441" s="5">
        <v>1</v>
      </c>
      <c r="O1441" s="5" t="str">
        <f>IF(recruitment_data3[[#This Row],[HiringDecision]]=1,"Hired","Rejected")</f>
        <v>Hired</v>
      </c>
      <c r="P1441" s="6">
        <v>1</v>
      </c>
    </row>
    <row r="1442" spans="1:16" x14ac:dyDescent="0.25">
      <c r="A1442" s="4" t="str">
        <f t="shared" si="22"/>
        <v>C1441</v>
      </c>
      <c r="B1442" s="4">
        <v>42</v>
      </c>
      <c r="C1442" s="5" t="str">
        <f>IF(recruitment_data3[[#This Row],[Gender]]=1,"Female","Male")</f>
        <v>Female</v>
      </c>
      <c r="D1442" s="5">
        <v>1</v>
      </c>
      <c r="E1442" s="5" t="str">
        <f>_xlfn.SWITCH(recruitment_data3[[#This Row],[EducationLevel]], 1,"Bachelor Type 1", 2,"Bachelor Type 2", 3,"Masters", 4,"PhD")</f>
        <v>Bachelor Type 2</v>
      </c>
      <c r="F1442" s="5">
        <v>2</v>
      </c>
      <c r="G1442" s="5">
        <v>11</v>
      </c>
      <c r="H1442" s="5">
        <v>4</v>
      </c>
      <c r="I1442" s="5">
        <v>4.7766634578453804</v>
      </c>
      <c r="J1442" s="5">
        <v>60</v>
      </c>
      <c r="K1442" s="5">
        <v>99</v>
      </c>
      <c r="L1442" s="5">
        <v>61</v>
      </c>
      <c r="M1442" s="5" t="str">
        <f>_xlfn.SWITCH(recruitment_data3[[#This Row],[RecruitmentStrategy]], 1,"Aggressive", 2,"Moderate", 3,"Conservative")</f>
        <v>Aggressive</v>
      </c>
      <c r="N1442" s="5">
        <v>1</v>
      </c>
      <c r="O1442" s="5" t="str">
        <f>IF(recruitment_data3[[#This Row],[HiringDecision]]=1,"Hired","Rejected")</f>
        <v>Rejected</v>
      </c>
      <c r="P1442" s="6">
        <v>0</v>
      </c>
    </row>
    <row r="1443" spans="1:16" x14ac:dyDescent="0.25">
      <c r="A1443" s="4" t="str">
        <f t="shared" si="22"/>
        <v>C1442</v>
      </c>
      <c r="B1443" s="4">
        <v>21</v>
      </c>
      <c r="C1443" s="5" t="str">
        <f>IF(recruitment_data3[[#This Row],[Gender]]=1,"Female","Male")</f>
        <v>Female</v>
      </c>
      <c r="D1443" s="5">
        <v>1</v>
      </c>
      <c r="E1443" s="5" t="str">
        <f>_xlfn.SWITCH(recruitment_data3[[#This Row],[EducationLevel]], 1,"Bachelor Type 1", 2,"Bachelor Type 2", 3,"Masters", 4,"PhD")</f>
        <v>Bachelor Type 2</v>
      </c>
      <c r="F1443" s="5">
        <v>2</v>
      </c>
      <c r="G1443" s="5">
        <v>9</v>
      </c>
      <c r="H1443" s="5">
        <v>4</v>
      </c>
      <c r="I1443" s="5">
        <v>31.893332720601833</v>
      </c>
      <c r="J1443" s="5">
        <v>86</v>
      </c>
      <c r="K1443" s="5">
        <v>39</v>
      </c>
      <c r="L1443" s="5">
        <v>47</v>
      </c>
      <c r="M1443" s="5" t="str">
        <f>_xlfn.SWITCH(recruitment_data3[[#This Row],[RecruitmentStrategy]], 1,"Aggressive", 2,"Moderate", 3,"Conservative")</f>
        <v>Conservative</v>
      </c>
      <c r="N1443" s="5">
        <v>3</v>
      </c>
      <c r="O1443" s="5" t="str">
        <f>IF(recruitment_data3[[#This Row],[HiringDecision]]=1,"Hired","Rejected")</f>
        <v>Hired</v>
      </c>
      <c r="P1443" s="6">
        <v>1</v>
      </c>
    </row>
    <row r="1444" spans="1:16" x14ac:dyDescent="0.25">
      <c r="A1444" s="4" t="str">
        <f t="shared" si="22"/>
        <v>C1443</v>
      </c>
      <c r="B1444" s="4">
        <v>33</v>
      </c>
      <c r="C1444" s="5" t="str">
        <f>IF(recruitment_data3[[#This Row],[Gender]]=1,"Female","Male")</f>
        <v>Male</v>
      </c>
      <c r="D1444" s="5">
        <v>0</v>
      </c>
      <c r="E1444" s="5" t="str">
        <f>_xlfn.SWITCH(recruitment_data3[[#This Row],[EducationLevel]], 1,"Bachelor Type 1", 2,"Bachelor Type 2", 3,"Masters", 4,"PhD")</f>
        <v>Bachelor Type 2</v>
      </c>
      <c r="F1444" s="5">
        <v>2</v>
      </c>
      <c r="G1444" s="5">
        <v>14</v>
      </c>
      <c r="H1444" s="5">
        <v>5</v>
      </c>
      <c r="I1444" s="5">
        <v>34.292888310813865</v>
      </c>
      <c r="J1444" s="5">
        <v>1</v>
      </c>
      <c r="K1444" s="5">
        <v>61</v>
      </c>
      <c r="L1444" s="5">
        <v>9</v>
      </c>
      <c r="M1444" s="5" t="str">
        <f>_xlfn.SWITCH(recruitment_data3[[#This Row],[RecruitmentStrategy]], 1,"Aggressive", 2,"Moderate", 3,"Conservative")</f>
        <v>Conservative</v>
      </c>
      <c r="N1444" s="5">
        <v>3</v>
      </c>
      <c r="O1444" s="5" t="str">
        <f>IF(recruitment_data3[[#This Row],[HiringDecision]]=1,"Hired","Rejected")</f>
        <v>Rejected</v>
      </c>
      <c r="P1444" s="6">
        <v>0</v>
      </c>
    </row>
    <row r="1445" spans="1:16" x14ac:dyDescent="0.25">
      <c r="A1445" s="4" t="str">
        <f t="shared" si="22"/>
        <v>C1444</v>
      </c>
      <c r="B1445" s="4">
        <v>40</v>
      </c>
      <c r="C1445" s="5" t="str">
        <f>IF(recruitment_data3[[#This Row],[Gender]]=1,"Female","Male")</f>
        <v>Male</v>
      </c>
      <c r="D1445" s="5">
        <v>0</v>
      </c>
      <c r="E1445" s="5" t="str">
        <f>_xlfn.SWITCH(recruitment_data3[[#This Row],[EducationLevel]], 1,"Bachelor Type 1", 2,"Bachelor Type 2", 3,"Masters", 4,"PhD")</f>
        <v>Bachelor Type 2</v>
      </c>
      <c r="F1445" s="5">
        <v>2</v>
      </c>
      <c r="G1445" s="5">
        <v>1</v>
      </c>
      <c r="H1445" s="5">
        <v>4</v>
      </c>
      <c r="I1445" s="5">
        <v>19.933710498639179</v>
      </c>
      <c r="J1445" s="5">
        <v>49</v>
      </c>
      <c r="K1445" s="5">
        <v>69</v>
      </c>
      <c r="L1445" s="5">
        <v>35</v>
      </c>
      <c r="M1445" s="5" t="str">
        <f>_xlfn.SWITCH(recruitment_data3[[#This Row],[RecruitmentStrategy]], 1,"Aggressive", 2,"Moderate", 3,"Conservative")</f>
        <v>Moderate</v>
      </c>
      <c r="N1445" s="5">
        <v>2</v>
      </c>
      <c r="O1445" s="5" t="str">
        <f>IF(recruitment_data3[[#This Row],[HiringDecision]]=1,"Hired","Rejected")</f>
        <v>Rejected</v>
      </c>
      <c r="P1445" s="6">
        <v>0</v>
      </c>
    </row>
    <row r="1446" spans="1:16" x14ac:dyDescent="0.25">
      <c r="A1446" s="4" t="str">
        <f t="shared" si="22"/>
        <v>C1445</v>
      </c>
      <c r="B1446" s="4">
        <v>27</v>
      </c>
      <c r="C1446" s="5" t="str">
        <f>IF(recruitment_data3[[#This Row],[Gender]]=1,"Female","Male")</f>
        <v>Male</v>
      </c>
      <c r="D1446" s="5">
        <v>0</v>
      </c>
      <c r="E1446" s="5" t="str">
        <f>_xlfn.SWITCH(recruitment_data3[[#This Row],[EducationLevel]], 1,"Bachelor Type 1", 2,"Bachelor Type 2", 3,"Masters", 4,"PhD")</f>
        <v>Bachelor Type 2</v>
      </c>
      <c r="F1446" s="5">
        <v>2</v>
      </c>
      <c r="G1446" s="5">
        <v>6</v>
      </c>
      <c r="H1446" s="5">
        <v>5</v>
      </c>
      <c r="I1446" s="5">
        <v>48.721139016053691</v>
      </c>
      <c r="J1446" s="5">
        <v>74</v>
      </c>
      <c r="K1446" s="5">
        <v>68</v>
      </c>
      <c r="L1446" s="5">
        <v>28</v>
      </c>
      <c r="M1446" s="5" t="str">
        <f>_xlfn.SWITCH(recruitment_data3[[#This Row],[RecruitmentStrategy]], 1,"Aggressive", 2,"Moderate", 3,"Conservative")</f>
        <v>Aggressive</v>
      </c>
      <c r="N1446" s="5">
        <v>1</v>
      </c>
      <c r="O1446" s="5" t="str">
        <f>IF(recruitment_data3[[#This Row],[HiringDecision]]=1,"Hired","Rejected")</f>
        <v>Hired</v>
      </c>
      <c r="P1446" s="6">
        <v>1</v>
      </c>
    </row>
    <row r="1447" spans="1:16" x14ac:dyDescent="0.25">
      <c r="A1447" s="4" t="str">
        <f t="shared" si="22"/>
        <v>C1446</v>
      </c>
      <c r="B1447" s="4">
        <v>27</v>
      </c>
      <c r="C1447" s="5" t="str">
        <f>IF(recruitment_data3[[#This Row],[Gender]]=1,"Female","Male")</f>
        <v>Female</v>
      </c>
      <c r="D1447" s="5">
        <v>1</v>
      </c>
      <c r="E1447" s="5" t="str">
        <f>_xlfn.SWITCH(recruitment_data3[[#This Row],[EducationLevel]], 1,"Bachelor Type 1", 2,"Bachelor Type 2", 3,"Masters", 4,"PhD")</f>
        <v>Bachelor Type 2</v>
      </c>
      <c r="F1447" s="5">
        <v>2</v>
      </c>
      <c r="G1447" s="5">
        <v>14</v>
      </c>
      <c r="H1447" s="5">
        <v>1</v>
      </c>
      <c r="I1447" s="5">
        <v>44.708446074103421</v>
      </c>
      <c r="J1447" s="5">
        <v>30</v>
      </c>
      <c r="K1447" s="5">
        <v>13</v>
      </c>
      <c r="L1447" s="5">
        <v>77</v>
      </c>
      <c r="M1447" s="5" t="str">
        <f>_xlfn.SWITCH(recruitment_data3[[#This Row],[RecruitmentStrategy]], 1,"Aggressive", 2,"Moderate", 3,"Conservative")</f>
        <v>Aggressive</v>
      </c>
      <c r="N1447" s="5">
        <v>1</v>
      </c>
      <c r="O1447" s="5" t="str">
        <f>IF(recruitment_data3[[#This Row],[HiringDecision]]=1,"Hired","Rejected")</f>
        <v>Rejected</v>
      </c>
      <c r="P1447" s="6">
        <v>0</v>
      </c>
    </row>
    <row r="1448" spans="1:16" x14ac:dyDescent="0.25">
      <c r="A1448" s="4" t="str">
        <f t="shared" si="22"/>
        <v>C1447</v>
      </c>
      <c r="B1448" s="4">
        <v>38</v>
      </c>
      <c r="C1448" s="5" t="str">
        <f>IF(recruitment_data3[[#This Row],[Gender]]=1,"Female","Male")</f>
        <v>Female</v>
      </c>
      <c r="D1448" s="5">
        <v>1</v>
      </c>
      <c r="E1448" s="5" t="str">
        <f>_xlfn.SWITCH(recruitment_data3[[#This Row],[EducationLevel]], 1,"Bachelor Type 1", 2,"Bachelor Type 2", 3,"Masters", 4,"PhD")</f>
        <v>Bachelor Type 2</v>
      </c>
      <c r="F1448" s="5">
        <v>2</v>
      </c>
      <c r="G1448" s="5">
        <v>1</v>
      </c>
      <c r="H1448" s="5">
        <v>1</v>
      </c>
      <c r="I1448" s="5">
        <v>36.39704578699974</v>
      </c>
      <c r="J1448" s="5">
        <v>32</v>
      </c>
      <c r="K1448" s="5">
        <v>41</v>
      </c>
      <c r="L1448" s="5">
        <v>3</v>
      </c>
      <c r="M1448" s="5" t="str">
        <f>_xlfn.SWITCH(recruitment_data3[[#This Row],[RecruitmentStrategy]], 1,"Aggressive", 2,"Moderate", 3,"Conservative")</f>
        <v>Moderate</v>
      </c>
      <c r="N1448" s="5">
        <v>2</v>
      </c>
      <c r="O1448" s="5" t="str">
        <f>IF(recruitment_data3[[#This Row],[HiringDecision]]=1,"Hired","Rejected")</f>
        <v>Rejected</v>
      </c>
      <c r="P1448" s="6">
        <v>0</v>
      </c>
    </row>
    <row r="1449" spans="1:16" x14ac:dyDescent="0.25">
      <c r="A1449" s="4" t="str">
        <f t="shared" si="22"/>
        <v>C1448</v>
      </c>
      <c r="B1449" s="4">
        <v>26</v>
      </c>
      <c r="C1449" s="5" t="str">
        <f>IF(recruitment_data3[[#This Row],[Gender]]=1,"Female","Male")</f>
        <v>Female</v>
      </c>
      <c r="D1449" s="5">
        <v>1</v>
      </c>
      <c r="E1449" s="5" t="str">
        <f>_xlfn.SWITCH(recruitment_data3[[#This Row],[EducationLevel]], 1,"Bachelor Type 1", 2,"Bachelor Type 2", 3,"Masters", 4,"PhD")</f>
        <v>PhD</v>
      </c>
      <c r="F1449" s="5">
        <v>4</v>
      </c>
      <c r="G1449" s="5">
        <v>3</v>
      </c>
      <c r="H1449" s="5">
        <v>1</v>
      </c>
      <c r="I1449" s="5">
        <v>36.682603724687134</v>
      </c>
      <c r="J1449" s="5">
        <v>77</v>
      </c>
      <c r="K1449" s="5">
        <v>49</v>
      </c>
      <c r="L1449" s="5">
        <v>43</v>
      </c>
      <c r="M1449" s="5" t="str">
        <f>_xlfn.SWITCH(recruitment_data3[[#This Row],[RecruitmentStrategy]], 1,"Aggressive", 2,"Moderate", 3,"Conservative")</f>
        <v>Aggressive</v>
      </c>
      <c r="N1449" s="5">
        <v>1</v>
      </c>
      <c r="O1449" s="5" t="str">
        <f>IF(recruitment_data3[[#This Row],[HiringDecision]]=1,"Hired","Rejected")</f>
        <v>Hired</v>
      </c>
      <c r="P1449" s="6">
        <v>1</v>
      </c>
    </row>
    <row r="1450" spans="1:16" x14ac:dyDescent="0.25">
      <c r="A1450" s="4" t="str">
        <f t="shared" si="22"/>
        <v>C1449</v>
      </c>
      <c r="B1450" s="4">
        <v>38</v>
      </c>
      <c r="C1450" s="5" t="str">
        <f>IF(recruitment_data3[[#This Row],[Gender]]=1,"Female","Male")</f>
        <v>Female</v>
      </c>
      <c r="D1450" s="5">
        <v>1</v>
      </c>
      <c r="E1450" s="5" t="str">
        <f>_xlfn.SWITCH(recruitment_data3[[#This Row],[EducationLevel]], 1,"Bachelor Type 1", 2,"Bachelor Type 2", 3,"Masters", 4,"PhD")</f>
        <v>Bachelor Type 1</v>
      </c>
      <c r="F1450" s="5">
        <v>1</v>
      </c>
      <c r="G1450" s="5">
        <v>11</v>
      </c>
      <c r="H1450" s="5">
        <v>2</v>
      </c>
      <c r="I1450" s="5">
        <v>13.620085747107563</v>
      </c>
      <c r="J1450" s="5">
        <v>79</v>
      </c>
      <c r="K1450" s="5">
        <v>60</v>
      </c>
      <c r="L1450" s="5">
        <v>55</v>
      </c>
      <c r="M1450" s="5" t="str">
        <f>_xlfn.SWITCH(recruitment_data3[[#This Row],[RecruitmentStrategy]], 1,"Aggressive", 2,"Moderate", 3,"Conservative")</f>
        <v>Conservative</v>
      </c>
      <c r="N1450" s="5">
        <v>3</v>
      </c>
      <c r="O1450" s="5" t="str">
        <f>IF(recruitment_data3[[#This Row],[HiringDecision]]=1,"Hired","Rejected")</f>
        <v>Rejected</v>
      </c>
      <c r="P1450" s="6">
        <v>0</v>
      </c>
    </row>
    <row r="1451" spans="1:16" x14ac:dyDescent="0.25">
      <c r="A1451" s="4" t="str">
        <f t="shared" si="22"/>
        <v>C1450</v>
      </c>
      <c r="B1451" s="4">
        <v>25</v>
      </c>
      <c r="C1451" s="5" t="str">
        <f>IF(recruitment_data3[[#This Row],[Gender]]=1,"Female","Male")</f>
        <v>Female</v>
      </c>
      <c r="D1451" s="5">
        <v>1</v>
      </c>
      <c r="E1451" s="5" t="str">
        <f>_xlfn.SWITCH(recruitment_data3[[#This Row],[EducationLevel]], 1,"Bachelor Type 1", 2,"Bachelor Type 2", 3,"Masters", 4,"PhD")</f>
        <v>Masters</v>
      </c>
      <c r="F1451" s="5">
        <v>3</v>
      </c>
      <c r="G1451" s="5">
        <v>6</v>
      </c>
      <c r="H1451" s="5">
        <v>2</v>
      </c>
      <c r="I1451" s="5">
        <v>33.84076155442245</v>
      </c>
      <c r="J1451" s="5">
        <v>10</v>
      </c>
      <c r="K1451" s="5">
        <v>3</v>
      </c>
      <c r="L1451" s="5">
        <v>41</v>
      </c>
      <c r="M1451" s="5" t="str">
        <f>_xlfn.SWITCH(recruitment_data3[[#This Row],[RecruitmentStrategy]], 1,"Aggressive", 2,"Moderate", 3,"Conservative")</f>
        <v>Aggressive</v>
      </c>
      <c r="N1451" s="5">
        <v>1</v>
      </c>
      <c r="O1451" s="5" t="str">
        <f>IF(recruitment_data3[[#This Row],[HiringDecision]]=1,"Hired","Rejected")</f>
        <v>Hired</v>
      </c>
      <c r="P1451" s="6">
        <v>1</v>
      </c>
    </row>
    <row r="1452" spans="1:16" x14ac:dyDescent="0.25">
      <c r="A1452" s="4" t="str">
        <f t="shared" si="22"/>
        <v>C1451</v>
      </c>
      <c r="B1452" s="4">
        <v>25</v>
      </c>
      <c r="C1452" s="5" t="str">
        <f>IF(recruitment_data3[[#This Row],[Gender]]=1,"Female","Male")</f>
        <v>Female</v>
      </c>
      <c r="D1452" s="5">
        <v>1</v>
      </c>
      <c r="E1452" s="5" t="str">
        <f>_xlfn.SWITCH(recruitment_data3[[#This Row],[EducationLevel]], 1,"Bachelor Type 1", 2,"Bachelor Type 2", 3,"Masters", 4,"PhD")</f>
        <v>Bachelor Type 1</v>
      </c>
      <c r="F1452" s="5">
        <v>1</v>
      </c>
      <c r="G1452" s="5">
        <v>3</v>
      </c>
      <c r="H1452" s="5">
        <v>5</v>
      </c>
      <c r="I1452" s="5">
        <v>10.910313261775983</v>
      </c>
      <c r="J1452" s="5">
        <v>32</v>
      </c>
      <c r="K1452" s="5">
        <v>71</v>
      </c>
      <c r="L1452" s="5">
        <v>99</v>
      </c>
      <c r="M1452" s="5" t="str">
        <f>_xlfn.SWITCH(recruitment_data3[[#This Row],[RecruitmentStrategy]], 1,"Aggressive", 2,"Moderate", 3,"Conservative")</f>
        <v>Conservative</v>
      </c>
      <c r="N1452" s="5">
        <v>3</v>
      </c>
      <c r="O1452" s="5" t="str">
        <f>IF(recruitment_data3[[#This Row],[HiringDecision]]=1,"Hired","Rejected")</f>
        <v>Rejected</v>
      </c>
      <c r="P1452" s="6">
        <v>0</v>
      </c>
    </row>
    <row r="1453" spans="1:16" x14ac:dyDescent="0.25">
      <c r="A1453" s="4" t="str">
        <f t="shared" si="22"/>
        <v>C1452</v>
      </c>
      <c r="B1453" s="4">
        <v>22</v>
      </c>
      <c r="C1453" s="5" t="str">
        <f>IF(recruitment_data3[[#This Row],[Gender]]=1,"Female","Male")</f>
        <v>Male</v>
      </c>
      <c r="D1453" s="5">
        <v>0</v>
      </c>
      <c r="E1453" s="5" t="str">
        <f>_xlfn.SWITCH(recruitment_data3[[#This Row],[EducationLevel]], 1,"Bachelor Type 1", 2,"Bachelor Type 2", 3,"Masters", 4,"PhD")</f>
        <v>Masters</v>
      </c>
      <c r="F1453" s="5">
        <v>3</v>
      </c>
      <c r="G1453" s="5">
        <v>6</v>
      </c>
      <c r="H1453" s="5">
        <v>4</v>
      </c>
      <c r="I1453" s="5">
        <v>8.2001611959911056</v>
      </c>
      <c r="J1453" s="5">
        <v>6</v>
      </c>
      <c r="K1453" s="5">
        <v>87</v>
      </c>
      <c r="L1453" s="5">
        <v>12</v>
      </c>
      <c r="M1453" s="5" t="str">
        <f>_xlfn.SWITCH(recruitment_data3[[#This Row],[RecruitmentStrategy]], 1,"Aggressive", 2,"Moderate", 3,"Conservative")</f>
        <v>Moderate</v>
      </c>
      <c r="N1453" s="5">
        <v>2</v>
      </c>
      <c r="O1453" s="5" t="str">
        <f>IF(recruitment_data3[[#This Row],[HiringDecision]]=1,"Hired","Rejected")</f>
        <v>Rejected</v>
      </c>
      <c r="P1453" s="6">
        <v>0</v>
      </c>
    </row>
    <row r="1454" spans="1:16" x14ac:dyDescent="0.25">
      <c r="A1454" s="4" t="str">
        <f t="shared" si="22"/>
        <v>C1453</v>
      </c>
      <c r="B1454" s="4">
        <v>26</v>
      </c>
      <c r="C1454" s="5" t="str">
        <f>IF(recruitment_data3[[#This Row],[Gender]]=1,"Female","Male")</f>
        <v>Male</v>
      </c>
      <c r="D1454" s="5">
        <v>0</v>
      </c>
      <c r="E1454" s="5" t="str">
        <f>_xlfn.SWITCH(recruitment_data3[[#This Row],[EducationLevel]], 1,"Bachelor Type 1", 2,"Bachelor Type 2", 3,"Masters", 4,"PhD")</f>
        <v>Bachelor Type 2</v>
      </c>
      <c r="F1454" s="5">
        <v>2</v>
      </c>
      <c r="G1454" s="5">
        <v>15</v>
      </c>
      <c r="H1454" s="5">
        <v>4</v>
      </c>
      <c r="I1454" s="5">
        <v>50.973394710129007</v>
      </c>
      <c r="J1454" s="5">
        <v>30</v>
      </c>
      <c r="K1454" s="5">
        <v>74</v>
      </c>
      <c r="L1454" s="5">
        <v>45</v>
      </c>
      <c r="M1454" s="5" t="str">
        <f>_xlfn.SWITCH(recruitment_data3[[#This Row],[RecruitmentStrategy]], 1,"Aggressive", 2,"Moderate", 3,"Conservative")</f>
        <v>Moderate</v>
      </c>
      <c r="N1454" s="5">
        <v>2</v>
      </c>
      <c r="O1454" s="5" t="str">
        <f>IF(recruitment_data3[[#This Row],[HiringDecision]]=1,"Hired","Rejected")</f>
        <v>Rejected</v>
      </c>
      <c r="P1454" s="6">
        <v>0</v>
      </c>
    </row>
    <row r="1455" spans="1:16" x14ac:dyDescent="0.25">
      <c r="A1455" s="4" t="str">
        <f t="shared" si="22"/>
        <v>C1454</v>
      </c>
      <c r="B1455" s="4">
        <v>38</v>
      </c>
      <c r="C1455" s="5" t="str">
        <f>IF(recruitment_data3[[#This Row],[Gender]]=1,"Female","Male")</f>
        <v>Female</v>
      </c>
      <c r="D1455" s="5">
        <v>1</v>
      </c>
      <c r="E1455" s="5" t="str">
        <f>_xlfn.SWITCH(recruitment_data3[[#This Row],[EducationLevel]], 1,"Bachelor Type 1", 2,"Bachelor Type 2", 3,"Masters", 4,"PhD")</f>
        <v>Masters</v>
      </c>
      <c r="F1455" s="5">
        <v>3</v>
      </c>
      <c r="G1455" s="5">
        <v>6</v>
      </c>
      <c r="H1455" s="5">
        <v>1</v>
      </c>
      <c r="I1455" s="5">
        <v>32.118796573658713</v>
      </c>
      <c r="J1455" s="5">
        <v>47</v>
      </c>
      <c r="K1455" s="5">
        <v>16</v>
      </c>
      <c r="L1455" s="5">
        <v>81</v>
      </c>
      <c r="M1455" s="5" t="str">
        <f>_xlfn.SWITCH(recruitment_data3[[#This Row],[RecruitmentStrategy]], 1,"Aggressive", 2,"Moderate", 3,"Conservative")</f>
        <v>Aggressive</v>
      </c>
      <c r="N1455" s="5">
        <v>1</v>
      </c>
      <c r="O1455" s="5" t="str">
        <f>IF(recruitment_data3[[#This Row],[HiringDecision]]=1,"Hired","Rejected")</f>
        <v>Rejected</v>
      </c>
      <c r="P1455" s="6">
        <v>0</v>
      </c>
    </row>
    <row r="1456" spans="1:16" x14ac:dyDescent="0.25">
      <c r="A1456" s="4" t="str">
        <f t="shared" si="22"/>
        <v>C1455</v>
      </c>
      <c r="B1456" s="4">
        <v>27</v>
      </c>
      <c r="C1456" s="5" t="str">
        <f>IF(recruitment_data3[[#This Row],[Gender]]=1,"Female","Male")</f>
        <v>Male</v>
      </c>
      <c r="D1456" s="5">
        <v>0</v>
      </c>
      <c r="E1456" s="5" t="str">
        <f>_xlfn.SWITCH(recruitment_data3[[#This Row],[EducationLevel]], 1,"Bachelor Type 1", 2,"Bachelor Type 2", 3,"Masters", 4,"PhD")</f>
        <v>Bachelor Type 1</v>
      </c>
      <c r="F1456" s="5">
        <v>1</v>
      </c>
      <c r="G1456" s="5">
        <v>15</v>
      </c>
      <c r="H1456" s="5">
        <v>3</v>
      </c>
      <c r="I1456" s="5">
        <v>22.549393632859527</v>
      </c>
      <c r="J1456" s="5">
        <v>46</v>
      </c>
      <c r="K1456" s="5">
        <v>84</v>
      </c>
      <c r="L1456" s="5">
        <v>32</v>
      </c>
      <c r="M1456" s="5" t="str">
        <f>_xlfn.SWITCH(recruitment_data3[[#This Row],[RecruitmentStrategy]], 1,"Aggressive", 2,"Moderate", 3,"Conservative")</f>
        <v>Conservative</v>
      </c>
      <c r="N1456" s="5">
        <v>3</v>
      </c>
      <c r="O1456" s="5" t="str">
        <f>IF(recruitment_data3[[#This Row],[HiringDecision]]=1,"Hired","Rejected")</f>
        <v>Hired</v>
      </c>
      <c r="P1456" s="6">
        <v>1</v>
      </c>
    </row>
    <row r="1457" spans="1:16" x14ac:dyDescent="0.25">
      <c r="A1457" s="4" t="str">
        <f t="shared" si="22"/>
        <v>C1456</v>
      </c>
      <c r="B1457" s="4">
        <v>29</v>
      </c>
      <c r="C1457" s="5" t="str">
        <f>IF(recruitment_data3[[#This Row],[Gender]]=1,"Female","Male")</f>
        <v>Female</v>
      </c>
      <c r="D1457" s="5">
        <v>1</v>
      </c>
      <c r="E1457" s="5" t="str">
        <f>_xlfn.SWITCH(recruitment_data3[[#This Row],[EducationLevel]], 1,"Bachelor Type 1", 2,"Bachelor Type 2", 3,"Masters", 4,"PhD")</f>
        <v>Bachelor Type 2</v>
      </c>
      <c r="F1457" s="5">
        <v>2</v>
      </c>
      <c r="G1457" s="5">
        <v>0</v>
      </c>
      <c r="H1457" s="5">
        <v>2</v>
      </c>
      <c r="I1457" s="5">
        <v>15.408226144197567</v>
      </c>
      <c r="J1457" s="5">
        <v>77</v>
      </c>
      <c r="K1457" s="5">
        <v>56</v>
      </c>
      <c r="L1457" s="5">
        <v>20</v>
      </c>
      <c r="M1457" s="5" t="str">
        <f>_xlfn.SWITCH(recruitment_data3[[#This Row],[RecruitmentStrategy]], 1,"Aggressive", 2,"Moderate", 3,"Conservative")</f>
        <v>Aggressive</v>
      </c>
      <c r="N1457" s="5">
        <v>1</v>
      </c>
      <c r="O1457" s="5" t="str">
        <f>IF(recruitment_data3[[#This Row],[HiringDecision]]=1,"Hired","Rejected")</f>
        <v>Hired</v>
      </c>
      <c r="P1457" s="6">
        <v>1</v>
      </c>
    </row>
    <row r="1458" spans="1:16" x14ac:dyDescent="0.25">
      <c r="A1458" s="4" t="str">
        <f t="shared" si="22"/>
        <v>C1457</v>
      </c>
      <c r="B1458" s="4">
        <v>39</v>
      </c>
      <c r="C1458" s="5" t="str">
        <f>IF(recruitment_data3[[#This Row],[Gender]]=1,"Female","Male")</f>
        <v>Male</v>
      </c>
      <c r="D1458" s="5">
        <v>0</v>
      </c>
      <c r="E1458" s="5" t="str">
        <f>_xlfn.SWITCH(recruitment_data3[[#This Row],[EducationLevel]], 1,"Bachelor Type 1", 2,"Bachelor Type 2", 3,"Masters", 4,"PhD")</f>
        <v>Bachelor Type 2</v>
      </c>
      <c r="F1458" s="5">
        <v>2</v>
      </c>
      <c r="G1458" s="5">
        <v>5</v>
      </c>
      <c r="H1458" s="5">
        <v>2</v>
      </c>
      <c r="I1458" s="5">
        <v>31.196022183111371</v>
      </c>
      <c r="J1458" s="5">
        <v>91</v>
      </c>
      <c r="K1458" s="5">
        <v>89</v>
      </c>
      <c r="L1458" s="5">
        <v>79</v>
      </c>
      <c r="M1458" s="5" t="str">
        <f>_xlfn.SWITCH(recruitment_data3[[#This Row],[RecruitmentStrategy]], 1,"Aggressive", 2,"Moderate", 3,"Conservative")</f>
        <v>Moderate</v>
      </c>
      <c r="N1458" s="5">
        <v>2</v>
      </c>
      <c r="O1458" s="5" t="str">
        <f>IF(recruitment_data3[[#This Row],[HiringDecision]]=1,"Hired","Rejected")</f>
        <v>Hired</v>
      </c>
      <c r="P1458" s="6">
        <v>1</v>
      </c>
    </row>
    <row r="1459" spans="1:16" x14ac:dyDescent="0.25">
      <c r="A1459" s="4" t="str">
        <f t="shared" si="22"/>
        <v>C1458</v>
      </c>
      <c r="B1459" s="4">
        <v>34</v>
      </c>
      <c r="C1459" s="5" t="str">
        <f>IF(recruitment_data3[[#This Row],[Gender]]=1,"Female","Male")</f>
        <v>Female</v>
      </c>
      <c r="D1459" s="5">
        <v>1</v>
      </c>
      <c r="E1459" s="5" t="str">
        <f>_xlfn.SWITCH(recruitment_data3[[#This Row],[EducationLevel]], 1,"Bachelor Type 1", 2,"Bachelor Type 2", 3,"Masters", 4,"PhD")</f>
        <v>Masters</v>
      </c>
      <c r="F1459" s="5">
        <v>3</v>
      </c>
      <c r="G1459" s="5">
        <v>8</v>
      </c>
      <c r="H1459" s="5">
        <v>1</v>
      </c>
      <c r="I1459" s="5">
        <v>3.4796754110043064</v>
      </c>
      <c r="J1459" s="5">
        <v>52</v>
      </c>
      <c r="K1459" s="5">
        <v>47</v>
      </c>
      <c r="L1459" s="5">
        <v>78</v>
      </c>
      <c r="M1459" s="5" t="str">
        <f>_xlfn.SWITCH(recruitment_data3[[#This Row],[RecruitmentStrategy]], 1,"Aggressive", 2,"Moderate", 3,"Conservative")</f>
        <v>Conservative</v>
      </c>
      <c r="N1459" s="5">
        <v>3</v>
      </c>
      <c r="O1459" s="5" t="str">
        <f>IF(recruitment_data3[[#This Row],[HiringDecision]]=1,"Hired","Rejected")</f>
        <v>Rejected</v>
      </c>
      <c r="P1459" s="6">
        <v>0</v>
      </c>
    </row>
    <row r="1460" spans="1:16" x14ac:dyDescent="0.25">
      <c r="A1460" s="4" t="str">
        <f t="shared" si="22"/>
        <v>C1459</v>
      </c>
      <c r="B1460" s="4">
        <v>34</v>
      </c>
      <c r="C1460" s="5" t="str">
        <f>IF(recruitment_data3[[#This Row],[Gender]]=1,"Female","Male")</f>
        <v>Female</v>
      </c>
      <c r="D1460" s="5">
        <v>1</v>
      </c>
      <c r="E1460" s="5" t="str">
        <f>_xlfn.SWITCH(recruitment_data3[[#This Row],[EducationLevel]], 1,"Bachelor Type 1", 2,"Bachelor Type 2", 3,"Masters", 4,"PhD")</f>
        <v>Bachelor Type 2</v>
      </c>
      <c r="F1460" s="5">
        <v>2</v>
      </c>
      <c r="G1460" s="5">
        <v>1</v>
      </c>
      <c r="H1460" s="5">
        <v>2</v>
      </c>
      <c r="I1460" s="5">
        <v>5.7340495252397528</v>
      </c>
      <c r="J1460" s="5">
        <v>79</v>
      </c>
      <c r="K1460" s="5">
        <v>43</v>
      </c>
      <c r="L1460" s="5">
        <v>56</v>
      </c>
      <c r="M1460" s="5" t="str">
        <f>_xlfn.SWITCH(recruitment_data3[[#This Row],[RecruitmentStrategy]], 1,"Aggressive", 2,"Moderate", 3,"Conservative")</f>
        <v>Aggressive</v>
      </c>
      <c r="N1460" s="5">
        <v>1</v>
      </c>
      <c r="O1460" s="5" t="str">
        <f>IF(recruitment_data3[[#This Row],[HiringDecision]]=1,"Hired","Rejected")</f>
        <v>Rejected</v>
      </c>
      <c r="P1460" s="6">
        <v>0</v>
      </c>
    </row>
    <row r="1461" spans="1:16" x14ac:dyDescent="0.25">
      <c r="A1461" s="4" t="str">
        <f t="shared" si="22"/>
        <v>C1460</v>
      </c>
      <c r="B1461" s="4">
        <v>48</v>
      </c>
      <c r="C1461" s="5" t="str">
        <f>IF(recruitment_data3[[#This Row],[Gender]]=1,"Female","Male")</f>
        <v>Male</v>
      </c>
      <c r="D1461" s="5">
        <v>0</v>
      </c>
      <c r="E1461" s="5" t="str">
        <f>_xlfn.SWITCH(recruitment_data3[[#This Row],[EducationLevel]], 1,"Bachelor Type 1", 2,"Bachelor Type 2", 3,"Masters", 4,"PhD")</f>
        <v>Bachelor Type 2</v>
      </c>
      <c r="F1461" s="5">
        <v>2</v>
      </c>
      <c r="G1461" s="5">
        <v>13</v>
      </c>
      <c r="H1461" s="5">
        <v>1</v>
      </c>
      <c r="I1461" s="5">
        <v>2.6428348870198173</v>
      </c>
      <c r="J1461" s="5">
        <v>18</v>
      </c>
      <c r="K1461" s="5">
        <v>44</v>
      </c>
      <c r="L1461" s="5">
        <v>68</v>
      </c>
      <c r="M1461" s="5" t="str">
        <f>_xlfn.SWITCH(recruitment_data3[[#This Row],[RecruitmentStrategy]], 1,"Aggressive", 2,"Moderate", 3,"Conservative")</f>
        <v>Moderate</v>
      </c>
      <c r="N1461" s="5">
        <v>2</v>
      </c>
      <c r="O1461" s="5" t="str">
        <f>IF(recruitment_data3[[#This Row],[HiringDecision]]=1,"Hired","Rejected")</f>
        <v>Hired</v>
      </c>
      <c r="P1461" s="6">
        <v>1</v>
      </c>
    </row>
    <row r="1462" spans="1:16" x14ac:dyDescent="0.25">
      <c r="A1462" s="4" t="str">
        <f t="shared" si="22"/>
        <v>C1461</v>
      </c>
      <c r="B1462" s="4">
        <v>20</v>
      </c>
      <c r="C1462" s="5" t="str">
        <f>IF(recruitment_data3[[#This Row],[Gender]]=1,"Female","Male")</f>
        <v>Male</v>
      </c>
      <c r="D1462" s="5">
        <v>0</v>
      </c>
      <c r="E1462" s="5" t="str">
        <f>_xlfn.SWITCH(recruitment_data3[[#This Row],[EducationLevel]], 1,"Bachelor Type 1", 2,"Bachelor Type 2", 3,"Masters", 4,"PhD")</f>
        <v>Bachelor Type 2</v>
      </c>
      <c r="F1462" s="5">
        <v>2</v>
      </c>
      <c r="G1462" s="5">
        <v>2</v>
      </c>
      <c r="H1462" s="5">
        <v>5</v>
      </c>
      <c r="I1462" s="5">
        <v>25.958491663133088</v>
      </c>
      <c r="J1462" s="5">
        <v>80</v>
      </c>
      <c r="K1462" s="5">
        <v>90</v>
      </c>
      <c r="L1462" s="5">
        <v>69</v>
      </c>
      <c r="M1462" s="5" t="str">
        <f>_xlfn.SWITCH(recruitment_data3[[#This Row],[RecruitmentStrategy]], 1,"Aggressive", 2,"Moderate", 3,"Conservative")</f>
        <v>Moderate</v>
      </c>
      <c r="N1462" s="5">
        <v>2</v>
      </c>
      <c r="O1462" s="5" t="str">
        <f>IF(recruitment_data3[[#This Row],[HiringDecision]]=1,"Hired","Rejected")</f>
        <v>Hired</v>
      </c>
      <c r="P1462" s="6">
        <v>1</v>
      </c>
    </row>
    <row r="1463" spans="1:16" x14ac:dyDescent="0.25">
      <c r="A1463" s="4" t="str">
        <f t="shared" si="22"/>
        <v>C1462</v>
      </c>
      <c r="B1463" s="4">
        <v>39</v>
      </c>
      <c r="C1463" s="5" t="str">
        <f>IF(recruitment_data3[[#This Row],[Gender]]=1,"Female","Male")</f>
        <v>Female</v>
      </c>
      <c r="D1463" s="5">
        <v>1</v>
      </c>
      <c r="E1463" s="5" t="str">
        <f>_xlfn.SWITCH(recruitment_data3[[#This Row],[EducationLevel]], 1,"Bachelor Type 1", 2,"Bachelor Type 2", 3,"Masters", 4,"PhD")</f>
        <v>Bachelor Type 2</v>
      </c>
      <c r="F1463" s="5">
        <v>2</v>
      </c>
      <c r="G1463" s="5">
        <v>9</v>
      </c>
      <c r="H1463" s="5">
        <v>4</v>
      </c>
      <c r="I1463" s="5">
        <v>31.030331459359129</v>
      </c>
      <c r="J1463" s="5">
        <v>89</v>
      </c>
      <c r="K1463" s="5">
        <v>79</v>
      </c>
      <c r="L1463" s="5">
        <v>66</v>
      </c>
      <c r="M1463" s="5" t="str">
        <f>_xlfn.SWITCH(recruitment_data3[[#This Row],[RecruitmentStrategy]], 1,"Aggressive", 2,"Moderate", 3,"Conservative")</f>
        <v>Moderate</v>
      </c>
      <c r="N1463" s="5">
        <v>2</v>
      </c>
      <c r="O1463" s="5" t="str">
        <f>IF(recruitment_data3[[#This Row],[HiringDecision]]=1,"Hired","Rejected")</f>
        <v>Hired</v>
      </c>
      <c r="P1463" s="6">
        <v>1</v>
      </c>
    </row>
    <row r="1464" spans="1:16" x14ac:dyDescent="0.25">
      <c r="A1464" s="4" t="str">
        <f t="shared" si="22"/>
        <v>C1463</v>
      </c>
      <c r="B1464" s="4">
        <v>49</v>
      </c>
      <c r="C1464" s="5" t="str">
        <f>IF(recruitment_data3[[#This Row],[Gender]]=1,"Female","Male")</f>
        <v>Female</v>
      </c>
      <c r="D1464" s="5">
        <v>1</v>
      </c>
      <c r="E1464" s="5" t="str">
        <f>_xlfn.SWITCH(recruitment_data3[[#This Row],[EducationLevel]], 1,"Bachelor Type 1", 2,"Bachelor Type 2", 3,"Masters", 4,"PhD")</f>
        <v>Bachelor Type 2</v>
      </c>
      <c r="F1464" s="5">
        <v>2</v>
      </c>
      <c r="G1464" s="5">
        <v>4</v>
      </c>
      <c r="H1464" s="5">
        <v>3</v>
      </c>
      <c r="I1464" s="5">
        <v>4.1239880678910428</v>
      </c>
      <c r="J1464" s="5">
        <v>5</v>
      </c>
      <c r="K1464" s="5">
        <v>89</v>
      </c>
      <c r="L1464" s="5">
        <v>47</v>
      </c>
      <c r="M1464" s="5" t="str">
        <f>_xlfn.SWITCH(recruitment_data3[[#This Row],[RecruitmentStrategy]], 1,"Aggressive", 2,"Moderate", 3,"Conservative")</f>
        <v>Moderate</v>
      </c>
      <c r="N1464" s="5">
        <v>2</v>
      </c>
      <c r="O1464" s="5" t="str">
        <f>IF(recruitment_data3[[#This Row],[HiringDecision]]=1,"Hired","Rejected")</f>
        <v>Hired</v>
      </c>
      <c r="P1464" s="6">
        <v>1</v>
      </c>
    </row>
    <row r="1465" spans="1:16" x14ac:dyDescent="0.25">
      <c r="A1465" s="4" t="str">
        <f t="shared" si="22"/>
        <v>C1464</v>
      </c>
      <c r="B1465" s="4">
        <v>26</v>
      </c>
      <c r="C1465" s="5" t="str">
        <f>IF(recruitment_data3[[#This Row],[Gender]]=1,"Female","Male")</f>
        <v>Male</v>
      </c>
      <c r="D1465" s="5">
        <v>0</v>
      </c>
      <c r="E1465" s="5" t="str">
        <f>_xlfn.SWITCH(recruitment_data3[[#This Row],[EducationLevel]], 1,"Bachelor Type 1", 2,"Bachelor Type 2", 3,"Masters", 4,"PhD")</f>
        <v>Bachelor Type 1</v>
      </c>
      <c r="F1465" s="5">
        <v>1</v>
      </c>
      <c r="G1465" s="5">
        <v>8</v>
      </c>
      <c r="H1465" s="5">
        <v>4</v>
      </c>
      <c r="I1465" s="5">
        <v>37.061223374945826</v>
      </c>
      <c r="J1465" s="5">
        <v>48</v>
      </c>
      <c r="K1465" s="5">
        <v>32</v>
      </c>
      <c r="L1465" s="5">
        <v>75</v>
      </c>
      <c r="M1465" s="5" t="str">
        <f>_xlfn.SWITCH(recruitment_data3[[#This Row],[RecruitmentStrategy]], 1,"Aggressive", 2,"Moderate", 3,"Conservative")</f>
        <v>Moderate</v>
      </c>
      <c r="N1465" s="5">
        <v>2</v>
      </c>
      <c r="O1465" s="5" t="str">
        <f>IF(recruitment_data3[[#This Row],[HiringDecision]]=1,"Hired","Rejected")</f>
        <v>Rejected</v>
      </c>
      <c r="P1465" s="6">
        <v>0</v>
      </c>
    </row>
    <row r="1466" spans="1:16" x14ac:dyDescent="0.25">
      <c r="A1466" s="4" t="str">
        <f t="shared" si="22"/>
        <v>C1465</v>
      </c>
      <c r="B1466" s="4">
        <v>46</v>
      </c>
      <c r="C1466" s="5" t="str">
        <f>IF(recruitment_data3[[#This Row],[Gender]]=1,"Female","Male")</f>
        <v>Male</v>
      </c>
      <c r="D1466" s="5">
        <v>0</v>
      </c>
      <c r="E1466" s="5" t="str">
        <f>_xlfn.SWITCH(recruitment_data3[[#This Row],[EducationLevel]], 1,"Bachelor Type 1", 2,"Bachelor Type 2", 3,"Masters", 4,"PhD")</f>
        <v>PhD</v>
      </c>
      <c r="F1466" s="5">
        <v>4</v>
      </c>
      <c r="G1466" s="5">
        <v>3</v>
      </c>
      <c r="H1466" s="5">
        <v>4</v>
      </c>
      <c r="I1466" s="5">
        <v>12.51975357572822</v>
      </c>
      <c r="J1466" s="5">
        <v>72</v>
      </c>
      <c r="K1466" s="5">
        <v>30</v>
      </c>
      <c r="L1466" s="5">
        <v>99</v>
      </c>
      <c r="M1466" s="5" t="str">
        <f>_xlfn.SWITCH(recruitment_data3[[#This Row],[RecruitmentStrategy]], 1,"Aggressive", 2,"Moderate", 3,"Conservative")</f>
        <v>Moderate</v>
      </c>
      <c r="N1466" s="5">
        <v>2</v>
      </c>
      <c r="O1466" s="5" t="str">
        <f>IF(recruitment_data3[[#This Row],[HiringDecision]]=1,"Hired","Rejected")</f>
        <v>Hired</v>
      </c>
      <c r="P1466" s="6">
        <v>1</v>
      </c>
    </row>
    <row r="1467" spans="1:16" x14ac:dyDescent="0.25">
      <c r="A1467" s="4" t="str">
        <f t="shared" si="22"/>
        <v>C1466</v>
      </c>
      <c r="B1467" s="4">
        <v>23</v>
      </c>
      <c r="C1467" s="5" t="str">
        <f>IF(recruitment_data3[[#This Row],[Gender]]=1,"Female","Male")</f>
        <v>Female</v>
      </c>
      <c r="D1467" s="5">
        <v>1</v>
      </c>
      <c r="E1467" s="5" t="str">
        <f>_xlfn.SWITCH(recruitment_data3[[#This Row],[EducationLevel]], 1,"Bachelor Type 1", 2,"Bachelor Type 2", 3,"Masters", 4,"PhD")</f>
        <v>Masters</v>
      </c>
      <c r="F1467" s="5">
        <v>3</v>
      </c>
      <c r="G1467" s="5">
        <v>0</v>
      </c>
      <c r="H1467" s="5">
        <v>5</v>
      </c>
      <c r="I1467" s="5">
        <v>35.260072688493302</v>
      </c>
      <c r="J1467" s="5">
        <v>49</v>
      </c>
      <c r="K1467" s="5">
        <v>46</v>
      </c>
      <c r="L1467" s="5">
        <v>32</v>
      </c>
      <c r="M1467" s="5" t="str">
        <f>_xlfn.SWITCH(recruitment_data3[[#This Row],[RecruitmentStrategy]], 1,"Aggressive", 2,"Moderate", 3,"Conservative")</f>
        <v>Moderate</v>
      </c>
      <c r="N1467" s="5">
        <v>2</v>
      </c>
      <c r="O1467" s="5" t="str">
        <f>IF(recruitment_data3[[#This Row],[HiringDecision]]=1,"Hired","Rejected")</f>
        <v>Rejected</v>
      </c>
      <c r="P1467" s="6">
        <v>0</v>
      </c>
    </row>
    <row r="1468" spans="1:16" x14ac:dyDescent="0.25">
      <c r="A1468" s="4" t="str">
        <f t="shared" si="22"/>
        <v>C1467</v>
      </c>
      <c r="B1468" s="4">
        <v>48</v>
      </c>
      <c r="C1468" s="5" t="str">
        <f>IF(recruitment_data3[[#This Row],[Gender]]=1,"Female","Male")</f>
        <v>Male</v>
      </c>
      <c r="D1468" s="5">
        <v>0</v>
      </c>
      <c r="E1468" s="5" t="str">
        <f>_xlfn.SWITCH(recruitment_data3[[#This Row],[EducationLevel]], 1,"Bachelor Type 1", 2,"Bachelor Type 2", 3,"Masters", 4,"PhD")</f>
        <v>PhD</v>
      </c>
      <c r="F1468" s="5">
        <v>4</v>
      </c>
      <c r="G1468" s="5">
        <v>3</v>
      </c>
      <c r="H1468" s="5">
        <v>2</v>
      </c>
      <c r="I1468" s="5">
        <v>50.094857001762279</v>
      </c>
      <c r="J1468" s="5">
        <v>80</v>
      </c>
      <c r="K1468" s="5">
        <v>5</v>
      </c>
      <c r="L1468" s="5">
        <v>35</v>
      </c>
      <c r="M1468" s="5" t="str">
        <f>_xlfn.SWITCH(recruitment_data3[[#This Row],[RecruitmentStrategy]], 1,"Aggressive", 2,"Moderate", 3,"Conservative")</f>
        <v>Moderate</v>
      </c>
      <c r="N1468" s="5">
        <v>2</v>
      </c>
      <c r="O1468" s="5" t="str">
        <f>IF(recruitment_data3[[#This Row],[HiringDecision]]=1,"Hired","Rejected")</f>
        <v>Hired</v>
      </c>
      <c r="P1468" s="6">
        <v>1</v>
      </c>
    </row>
    <row r="1469" spans="1:16" x14ac:dyDescent="0.25">
      <c r="A1469" s="4" t="str">
        <f t="shared" si="22"/>
        <v>C1468</v>
      </c>
      <c r="B1469" s="4">
        <v>25</v>
      </c>
      <c r="C1469" s="5" t="str">
        <f>IF(recruitment_data3[[#This Row],[Gender]]=1,"Female","Male")</f>
        <v>Female</v>
      </c>
      <c r="D1469" s="5">
        <v>1</v>
      </c>
      <c r="E1469" s="5" t="str">
        <f>_xlfn.SWITCH(recruitment_data3[[#This Row],[EducationLevel]], 1,"Bachelor Type 1", 2,"Bachelor Type 2", 3,"Masters", 4,"PhD")</f>
        <v>Bachelor Type 2</v>
      </c>
      <c r="F1469" s="5">
        <v>2</v>
      </c>
      <c r="G1469" s="5">
        <v>5</v>
      </c>
      <c r="H1469" s="5">
        <v>3</v>
      </c>
      <c r="I1469" s="5">
        <v>35.555293502692557</v>
      </c>
      <c r="J1469" s="5">
        <v>94</v>
      </c>
      <c r="K1469" s="5">
        <v>71</v>
      </c>
      <c r="L1469" s="5">
        <v>32</v>
      </c>
      <c r="M1469" s="5" t="str">
        <f>_xlfn.SWITCH(recruitment_data3[[#This Row],[RecruitmentStrategy]], 1,"Aggressive", 2,"Moderate", 3,"Conservative")</f>
        <v>Aggressive</v>
      </c>
      <c r="N1469" s="5">
        <v>1</v>
      </c>
      <c r="O1469" s="5" t="str">
        <f>IF(recruitment_data3[[#This Row],[HiringDecision]]=1,"Hired","Rejected")</f>
        <v>Rejected</v>
      </c>
      <c r="P1469" s="6">
        <v>0</v>
      </c>
    </row>
    <row r="1470" spans="1:16" x14ac:dyDescent="0.25">
      <c r="A1470" s="4" t="str">
        <f t="shared" si="22"/>
        <v>C1469</v>
      </c>
      <c r="B1470" s="4">
        <v>44</v>
      </c>
      <c r="C1470" s="5" t="str">
        <f>IF(recruitment_data3[[#This Row],[Gender]]=1,"Female","Male")</f>
        <v>Female</v>
      </c>
      <c r="D1470" s="5">
        <v>1</v>
      </c>
      <c r="E1470" s="5" t="str">
        <f>_xlfn.SWITCH(recruitment_data3[[#This Row],[EducationLevel]], 1,"Bachelor Type 1", 2,"Bachelor Type 2", 3,"Masters", 4,"PhD")</f>
        <v>Masters</v>
      </c>
      <c r="F1470" s="5">
        <v>3</v>
      </c>
      <c r="G1470" s="5">
        <v>4</v>
      </c>
      <c r="H1470" s="5">
        <v>2</v>
      </c>
      <c r="I1470" s="5">
        <v>45.159652646180426</v>
      </c>
      <c r="J1470" s="5">
        <v>11</v>
      </c>
      <c r="K1470" s="5">
        <v>70</v>
      </c>
      <c r="L1470" s="5">
        <v>30</v>
      </c>
      <c r="M1470" s="5" t="str">
        <f>_xlfn.SWITCH(recruitment_data3[[#This Row],[RecruitmentStrategy]], 1,"Aggressive", 2,"Moderate", 3,"Conservative")</f>
        <v>Conservative</v>
      </c>
      <c r="N1470" s="5">
        <v>3</v>
      </c>
      <c r="O1470" s="5" t="str">
        <f>IF(recruitment_data3[[#This Row],[HiringDecision]]=1,"Hired","Rejected")</f>
        <v>Hired</v>
      </c>
      <c r="P1470" s="6">
        <v>1</v>
      </c>
    </row>
    <row r="1471" spans="1:16" x14ac:dyDescent="0.25">
      <c r="A1471" s="4" t="str">
        <f t="shared" si="22"/>
        <v>C1470</v>
      </c>
      <c r="B1471" s="4">
        <v>20</v>
      </c>
      <c r="C1471" s="5" t="str">
        <f>IF(recruitment_data3[[#This Row],[Gender]]=1,"Female","Male")</f>
        <v>Female</v>
      </c>
      <c r="D1471" s="5">
        <v>1</v>
      </c>
      <c r="E1471" s="5" t="str">
        <f>_xlfn.SWITCH(recruitment_data3[[#This Row],[EducationLevel]], 1,"Bachelor Type 1", 2,"Bachelor Type 2", 3,"Masters", 4,"PhD")</f>
        <v>Masters</v>
      </c>
      <c r="F1471" s="5">
        <v>3</v>
      </c>
      <c r="G1471" s="5">
        <v>13</v>
      </c>
      <c r="H1471" s="5">
        <v>4</v>
      </c>
      <c r="I1471" s="5">
        <v>48.409925337153368</v>
      </c>
      <c r="J1471" s="5">
        <v>22</v>
      </c>
      <c r="K1471" s="5">
        <v>33</v>
      </c>
      <c r="L1471" s="5">
        <v>20</v>
      </c>
      <c r="M1471" s="5" t="str">
        <f>_xlfn.SWITCH(recruitment_data3[[#This Row],[RecruitmentStrategy]], 1,"Aggressive", 2,"Moderate", 3,"Conservative")</f>
        <v>Conservative</v>
      </c>
      <c r="N1471" s="5">
        <v>3</v>
      </c>
      <c r="O1471" s="5" t="str">
        <f>IF(recruitment_data3[[#This Row],[HiringDecision]]=1,"Hired","Rejected")</f>
        <v>Hired</v>
      </c>
      <c r="P1471" s="6">
        <v>1</v>
      </c>
    </row>
    <row r="1472" spans="1:16" x14ac:dyDescent="0.25">
      <c r="A1472" s="4" t="str">
        <f t="shared" si="22"/>
        <v>C1471</v>
      </c>
      <c r="B1472" s="4">
        <v>48</v>
      </c>
      <c r="C1472" s="5" t="str">
        <f>IF(recruitment_data3[[#This Row],[Gender]]=1,"Female","Male")</f>
        <v>Female</v>
      </c>
      <c r="D1472" s="5">
        <v>1</v>
      </c>
      <c r="E1472" s="5" t="str">
        <f>_xlfn.SWITCH(recruitment_data3[[#This Row],[EducationLevel]], 1,"Bachelor Type 1", 2,"Bachelor Type 2", 3,"Masters", 4,"PhD")</f>
        <v>Bachelor Type 2</v>
      </c>
      <c r="F1472" s="5">
        <v>2</v>
      </c>
      <c r="G1472" s="5">
        <v>12</v>
      </c>
      <c r="H1472" s="5">
        <v>1</v>
      </c>
      <c r="I1472" s="5">
        <v>25.337552417615775</v>
      </c>
      <c r="J1472" s="5">
        <v>53</v>
      </c>
      <c r="K1472" s="5">
        <v>52</v>
      </c>
      <c r="L1472" s="5">
        <v>26</v>
      </c>
      <c r="M1472" s="5" t="str">
        <f>_xlfn.SWITCH(recruitment_data3[[#This Row],[RecruitmentStrategy]], 1,"Aggressive", 2,"Moderate", 3,"Conservative")</f>
        <v>Moderate</v>
      </c>
      <c r="N1472" s="5">
        <v>2</v>
      </c>
      <c r="O1472" s="5" t="str">
        <f>IF(recruitment_data3[[#This Row],[HiringDecision]]=1,"Hired","Rejected")</f>
        <v>Rejected</v>
      </c>
      <c r="P1472" s="6">
        <v>0</v>
      </c>
    </row>
    <row r="1473" spans="1:16" x14ac:dyDescent="0.25">
      <c r="A1473" s="4" t="str">
        <f t="shared" si="22"/>
        <v>C1472</v>
      </c>
      <c r="B1473" s="4">
        <v>24</v>
      </c>
      <c r="C1473" s="5" t="str">
        <f>IF(recruitment_data3[[#This Row],[Gender]]=1,"Female","Male")</f>
        <v>Male</v>
      </c>
      <c r="D1473" s="5">
        <v>0</v>
      </c>
      <c r="E1473" s="5" t="str">
        <f>_xlfn.SWITCH(recruitment_data3[[#This Row],[EducationLevel]], 1,"Bachelor Type 1", 2,"Bachelor Type 2", 3,"Masters", 4,"PhD")</f>
        <v>Bachelor Type 2</v>
      </c>
      <c r="F1473" s="5">
        <v>2</v>
      </c>
      <c r="G1473" s="5">
        <v>0</v>
      </c>
      <c r="H1473" s="5">
        <v>4</v>
      </c>
      <c r="I1473" s="5">
        <v>36.116248970985339</v>
      </c>
      <c r="J1473" s="5">
        <v>68</v>
      </c>
      <c r="K1473" s="5">
        <v>13</v>
      </c>
      <c r="L1473" s="5">
        <v>90</v>
      </c>
      <c r="M1473" s="5" t="str">
        <f>_xlfn.SWITCH(recruitment_data3[[#This Row],[RecruitmentStrategy]], 1,"Aggressive", 2,"Moderate", 3,"Conservative")</f>
        <v>Moderate</v>
      </c>
      <c r="N1473" s="5">
        <v>2</v>
      </c>
      <c r="O1473" s="5" t="str">
        <f>IF(recruitment_data3[[#This Row],[HiringDecision]]=1,"Hired","Rejected")</f>
        <v>Rejected</v>
      </c>
      <c r="P1473" s="6">
        <v>0</v>
      </c>
    </row>
    <row r="1474" spans="1:16" x14ac:dyDescent="0.25">
      <c r="A1474" s="4" t="str">
        <f t="shared" ref="A1474:A1501" si="23">"C"&amp;TEXT(ROW()-1,"0000")</f>
        <v>C1473</v>
      </c>
      <c r="B1474" s="4">
        <v>46</v>
      </c>
      <c r="C1474" s="5" t="str">
        <f>IF(recruitment_data3[[#This Row],[Gender]]=1,"Female","Male")</f>
        <v>Male</v>
      </c>
      <c r="D1474" s="5">
        <v>0</v>
      </c>
      <c r="E1474" s="5" t="str">
        <f>_xlfn.SWITCH(recruitment_data3[[#This Row],[EducationLevel]], 1,"Bachelor Type 1", 2,"Bachelor Type 2", 3,"Masters", 4,"PhD")</f>
        <v>Bachelor Type 2</v>
      </c>
      <c r="F1474" s="5">
        <v>2</v>
      </c>
      <c r="G1474" s="5">
        <v>3</v>
      </c>
      <c r="H1474" s="5">
        <v>2</v>
      </c>
      <c r="I1474" s="5">
        <v>43.598462677792085</v>
      </c>
      <c r="J1474" s="5">
        <v>99</v>
      </c>
      <c r="K1474" s="5">
        <v>15</v>
      </c>
      <c r="L1474" s="5">
        <v>71</v>
      </c>
      <c r="M1474" s="5" t="str">
        <f>_xlfn.SWITCH(recruitment_data3[[#This Row],[RecruitmentStrategy]], 1,"Aggressive", 2,"Moderate", 3,"Conservative")</f>
        <v>Moderate</v>
      </c>
      <c r="N1474" s="5">
        <v>2</v>
      </c>
      <c r="O1474" s="5" t="str">
        <f>IF(recruitment_data3[[#This Row],[HiringDecision]]=1,"Hired","Rejected")</f>
        <v>Hired</v>
      </c>
      <c r="P1474" s="6">
        <v>1</v>
      </c>
    </row>
    <row r="1475" spans="1:16" x14ac:dyDescent="0.25">
      <c r="A1475" s="4" t="str">
        <f t="shared" si="23"/>
        <v>C1474</v>
      </c>
      <c r="B1475" s="4">
        <v>42</v>
      </c>
      <c r="C1475" s="5" t="str">
        <f>IF(recruitment_data3[[#This Row],[Gender]]=1,"Female","Male")</f>
        <v>Male</v>
      </c>
      <c r="D1475" s="5">
        <v>0</v>
      </c>
      <c r="E1475" s="5" t="str">
        <f>_xlfn.SWITCH(recruitment_data3[[#This Row],[EducationLevel]], 1,"Bachelor Type 1", 2,"Bachelor Type 2", 3,"Masters", 4,"PhD")</f>
        <v>Masters</v>
      </c>
      <c r="F1475" s="5">
        <v>3</v>
      </c>
      <c r="G1475" s="5">
        <v>5</v>
      </c>
      <c r="H1475" s="5">
        <v>4</v>
      </c>
      <c r="I1475" s="5">
        <v>18.830445643719305</v>
      </c>
      <c r="J1475" s="5">
        <v>58</v>
      </c>
      <c r="K1475" s="5">
        <v>42</v>
      </c>
      <c r="L1475" s="5">
        <v>100</v>
      </c>
      <c r="M1475" s="5" t="str">
        <f>_xlfn.SWITCH(recruitment_data3[[#This Row],[RecruitmentStrategy]], 1,"Aggressive", 2,"Moderate", 3,"Conservative")</f>
        <v>Moderate</v>
      </c>
      <c r="N1475" s="5">
        <v>2</v>
      </c>
      <c r="O1475" s="5" t="str">
        <f>IF(recruitment_data3[[#This Row],[HiringDecision]]=1,"Hired","Rejected")</f>
        <v>Rejected</v>
      </c>
      <c r="P1475" s="6">
        <v>0</v>
      </c>
    </row>
    <row r="1476" spans="1:16" x14ac:dyDescent="0.25">
      <c r="A1476" s="4" t="str">
        <f t="shared" si="23"/>
        <v>C1475</v>
      </c>
      <c r="B1476" s="4">
        <v>20</v>
      </c>
      <c r="C1476" s="5" t="str">
        <f>IF(recruitment_data3[[#This Row],[Gender]]=1,"Female","Male")</f>
        <v>Male</v>
      </c>
      <c r="D1476" s="5">
        <v>0</v>
      </c>
      <c r="E1476" s="5" t="str">
        <f>_xlfn.SWITCH(recruitment_data3[[#This Row],[EducationLevel]], 1,"Bachelor Type 1", 2,"Bachelor Type 2", 3,"Masters", 4,"PhD")</f>
        <v>Bachelor Type 2</v>
      </c>
      <c r="F1476" s="5">
        <v>2</v>
      </c>
      <c r="G1476" s="5">
        <v>12</v>
      </c>
      <c r="H1476" s="5">
        <v>1</v>
      </c>
      <c r="I1476" s="5">
        <v>14.069865828019744</v>
      </c>
      <c r="J1476" s="5">
        <v>35</v>
      </c>
      <c r="K1476" s="5">
        <v>72</v>
      </c>
      <c r="L1476" s="5">
        <v>61</v>
      </c>
      <c r="M1476" s="5" t="str">
        <f>_xlfn.SWITCH(recruitment_data3[[#This Row],[RecruitmentStrategy]], 1,"Aggressive", 2,"Moderate", 3,"Conservative")</f>
        <v>Moderate</v>
      </c>
      <c r="N1476" s="5">
        <v>2</v>
      </c>
      <c r="O1476" s="5" t="str">
        <f>IF(recruitment_data3[[#This Row],[HiringDecision]]=1,"Hired","Rejected")</f>
        <v>Hired</v>
      </c>
      <c r="P1476" s="6">
        <v>1</v>
      </c>
    </row>
    <row r="1477" spans="1:16" x14ac:dyDescent="0.25">
      <c r="A1477" s="4" t="str">
        <f t="shared" si="23"/>
        <v>C1476</v>
      </c>
      <c r="B1477" s="4">
        <v>49</v>
      </c>
      <c r="C1477" s="5" t="str">
        <f>IF(recruitment_data3[[#This Row],[Gender]]=1,"Female","Male")</f>
        <v>Male</v>
      </c>
      <c r="D1477" s="5">
        <v>0</v>
      </c>
      <c r="E1477" s="5" t="str">
        <f>_xlfn.SWITCH(recruitment_data3[[#This Row],[EducationLevel]], 1,"Bachelor Type 1", 2,"Bachelor Type 2", 3,"Masters", 4,"PhD")</f>
        <v>Bachelor Type 1</v>
      </c>
      <c r="F1477" s="5">
        <v>1</v>
      </c>
      <c r="G1477" s="5">
        <v>14</v>
      </c>
      <c r="H1477" s="5">
        <v>5</v>
      </c>
      <c r="I1477" s="5">
        <v>48.329928638916932</v>
      </c>
      <c r="J1477" s="5">
        <v>2</v>
      </c>
      <c r="K1477" s="5">
        <v>73</v>
      </c>
      <c r="L1477" s="5">
        <v>95</v>
      </c>
      <c r="M1477" s="5" t="str">
        <f>_xlfn.SWITCH(recruitment_data3[[#This Row],[RecruitmentStrategy]], 1,"Aggressive", 2,"Moderate", 3,"Conservative")</f>
        <v>Aggressive</v>
      </c>
      <c r="N1477" s="5">
        <v>1</v>
      </c>
      <c r="O1477" s="5" t="str">
        <f>IF(recruitment_data3[[#This Row],[HiringDecision]]=1,"Hired","Rejected")</f>
        <v>Rejected</v>
      </c>
      <c r="P1477" s="6">
        <v>0</v>
      </c>
    </row>
    <row r="1478" spans="1:16" x14ac:dyDescent="0.25">
      <c r="A1478" s="4" t="str">
        <f t="shared" si="23"/>
        <v>C1477</v>
      </c>
      <c r="B1478" s="4">
        <v>23</v>
      </c>
      <c r="C1478" s="5" t="str">
        <f>IF(recruitment_data3[[#This Row],[Gender]]=1,"Female","Male")</f>
        <v>Male</v>
      </c>
      <c r="D1478" s="5">
        <v>0</v>
      </c>
      <c r="E1478" s="5" t="str">
        <f>_xlfn.SWITCH(recruitment_data3[[#This Row],[EducationLevel]], 1,"Bachelor Type 1", 2,"Bachelor Type 2", 3,"Masters", 4,"PhD")</f>
        <v>Bachelor Type 2</v>
      </c>
      <c r="F1478" s="5">
        <v>2</v>
      </c>
      <c r="G1478" s="5">
        <v>9</v>
      </c>
      <c r="H1478" s="5">
        <v>2</v>
      </c>
      <c r="I1478" s="5">
        <v>37.315175018440897</v>
      </c>
      <c r="J1478" s="5">
        <v>57</v>
      </c>
      <c r="K1478" s="5">
        <v>80</v>
      </c>
      <c r="L1478" s="5">
        <v>25</v>
      </c>
      <c r="M1478" s="5" t="str">
        <f>_xlfn.SWITCH(recruitment_data3[[#This Row],[RecruitmentStrategy]], 1,"Aggressive", 2,"Moderate", 3,"Conservative")</f>
        <v>Moderate</v>
      </c>
      <c r="N1478" s="5">
        <v>2</v>
      </c>
      <c r="O1478" s="5" t="str">
        <f>IF(recruitment_data3[[#This Row],[HiringDecision]]=1,"Hired","Rejected")</f>
        <v>Hired</v>
      </c>
      <c r="P1478" s="6">
        <v>1</v>
      </c>
    </row>
    <row r="1479" spans="1:16" x14ac:dyDescent="0.25">
      <c r="A1479" s="4" t="str">
        <f t="shared" si="23"/>
        <v>C1478</v>
      </c>
      <c r="B1479" s="4">
        <v>41</v>
      </c>
      <c r="C1479" s="5" t="str">
        <f>IF(recruitment_data3[[#This Row],[Gender]]=1,"Female","Male")</f>
        <v>Male</v>
      </c>
      <c r="D1479" s="5">
        <v>0</v>
      </c>
      <c r="E1479" s="5" t="str">
        <f>_xlfn.SWITCH(recruitment_data3[[#This Row],[EducationLevel]], 1,"Bachelor Type 1", 2,"Bachelor Type 2", 3,"Masters", 4,"PhD")</f>
        <v>PhD</v>
      </c>
      <c r="F1479" s="5">
        <v>4</v>
      </c>
      <c r="G1479" s="5">
        <v>9</v>
      </c>
      <c r="H1479" s="5">
        <v>4</v>
      </c>
      <c r="I1479" s="5">
        <v>11.984106668791316</v>
      </c>
      <c r="J1479" s="5">
        <v>87</v>
      </c>
      <c r="K1479" s="5">
        <v>11</v>
      </c>
      <c r="L1479" s="5">
        <v>65</v>
      </c>
      <c r="M1479" s="5" t="str">
        <f>_xlfn.SWITCH(recruitment_data3[[#This Row],[RecruitmentStrategy]], 1,"Aggressive", 2,"Moderate", 3,"Conservative")</f>
        <v>Aggressive</v>
      </c>
      <c r="N1479" s="5">
        <v>1</v>
      </c>
      <c r="O1479" s="5" t="str">
        <f>IF(recruitment_data3[[#This Row],[HiringDecision]]=1,"Hired","Rejected")</f>
        <v>Hired</v>
      </c>
      <c r="P1479" s="6">
        <v>1</v>
      </c>
    </row>
    <row r="1480" spans="1:16" x14ac:dyDescent="0.25">
      <c r="A1480" s="4" t="str">
        <f t="shared" si="23"/>
        <v>C1479</v>
      </c>
      <c r="B1480" s="4">
        <v>21</v>
      </c>
      <c r="C1480" s="5" t="str">
        <f>IF(recruitment_data3[[#This Row],[Gender]]=1,"Female","Male")</f>
        <v>Female</v>
      </c>
      <c r="D1480" s="5">
        <v>1</v>
      </c>
      <c r="E1480" s="5" t="str">
        <f>_xlfn.SWITCH(recruitment_data3[[#This Row],[EducationLevel]], 1,"Bachelor Type 1", 2,"Bachelor Type 2", 3,"Masters", 4,"PhD")</f>
        <v>Masters</v>
      </c>
      <c r="F1480" s="5">
        <v>3</v>
      </c>
      <c r="G1480" s="5">
        <v>13</v>
      </c>
      <c r="H1480" s="5">
        <v>2</v>
      </c>
      <c r="I1480" s="5">
        <v>23.45416963380567</v>
      </c>
      <c r="J1480" s="5">
        <v>54</v>
      </c>
      <c r="K1480" s="5">
        <v>69</v>
      </c>
      <c r="L1480" s="5">
        <v>11</v>
      </c>
      <c r="M1480" s="5" t="str">
        <f>_xlfn.SWITCH(recruitment_data3[[#This Row],[RecruitmentStrategy]], 1,"Aggressive", 2,"Moderate", 3,"Conservative")</f>
        <v>Aggressive</v>
      </c>
      <c r="N1480" s="5">
        <v>1</v>
      </c>
      <c r="O1480" s="5" t="str">
        <f>IF(recruitment_data3[[#This Row],[HiringDecision]]=1,"Hired","Rejected")</f>
        <v>Hired</v>
      </c>
      <c r="P1480" s="6">
        <v>1</v>
      </c>
    </row>
    <row r="1481" spans="1:16" x14ac:dyDescent="0.25">
      <c r="A1481" s="4" t="str">
        <f t="shared" si="23"/>
        <v>C1480</v>
      </c>
      <c r="B1481" s="4">
        <v>29</v>
      </c>
      <c r="C1481" s="5" t="str">
        <f>IF(recruitment_data3[[#This Row],[Gender]]=1,"Female","Male")</f>
        <v>Male</v>
      </c>
      <c r="D1481" s="5">
        <v>0</v>
      </c>
      <c r="E1481" s="5" t="str">
        <f>_xlfn.SWITCH(recruitment_data3[[#This Row],[EducationLevel]], 1,"Bachelor Type 1", 2,"Bachelor Type 2", 3,"Masters", 4,"PhD")</f>
        <v>PhD</v>
      </c>
      <c r="F1481" s="5">
        <v>4</v>
      </c>
      <c r="G1481" s="5">
        <v>3</v>
      </c>
      <c r="H1481" s="5">
        <v>5</v>
      </c>
      <c r="I1481" s="5">
        <v>40.822588476890466</v>
      </c>
      <c r="J1481" s="5">
        <v>56</v>
      </c>
      <c r="K1481" s="5">
        <v>18</v>
      </c>
      <c r="L1481" s="5">
        <v>21</v>
      </c>
      <c r="M1481" s="5" t="str">
        <f>_xlfn.SWITCH(recruitment_data3[[#This Row],[RecruitmentStrategy]], 1,"Aggressive", 2,"Moderate", 3,"Conservative")</f>
        <v>Moderate</v>
      </c>
      <c r="N1481" s="5">
        <v>2</v>
      </c>
      <c r="O1481" s="5" t="str">
        <f>IF(recruitment_data3[[#This Row],[HiringDecision]]=1,"Hired","Rejected")</f>
        <v>Hired</v>
      </c>
      <c r="P1481" s="6">
        <v>1</v>
      </c>
    </row>
    <row r="1482" spans="1:16" x14ac:dyDescent="0.25">
      <c r="A1482" s="4" t="str">
        <f t="shared" si="23"/>
        <v>C1481</v>
      </c>
      <c r="B1482" s="4">
        <v>24</v>
      </c>
      <c r="C1482" s="5" t="str">
        <f>IF(recruitment_data3[[#This Row],[Gender]]=1,"Female","Male")</f>
        <v>Male</v>
      </c>
      <c r="D1482" s="5">
        <v>0</v>
      </c>
      <c r="E1482" s="5" t="str">
        <f>_xlfn.SWITCH(recruitment_data3[[#This Row],[EducationLevel]], 1,"Bachelor Type 1", 2,"Bachelor Type 2", 3,"Masters", 4,"PhD")</f>
        <v>Bachelor Type 2</v>
      </c>
      <c r="F1482" s="5">
        <v>2</v>
      </c>
      <c r="G1482" s="5">
        <v>14</v>
      </c>
      <c r="H1482" s="5">
        <v>4</v>
      </c>
      <c r="I1482" s="5">
        <v>28.353149545922108</v>
      </c>
      <c r="J1482" s="5">
        <v>16</v>
      </c>
      <c r="K1482" s="5">
        <v>40</v>
      </c>
      <c r="L1482" s="5">
        <v>16</v>
      </c>
      <c r="M1482" s="5" t="str">
        <f>_xlfn.SWITCH(recruitment_data3[[#This Row],[RecruitmentStrategy]], 1,"Aggressive", 2,"Moderate", 3,"Conservative")</f>
        <v>Moderate</v>
      </c>
      <c r="N1482" s="5">
        <v>2</v>
      </c>
      <c r="O1482" s="5" t="str">
        <f>IF(recruitment_data3[[#This Row],[HiringDecision]]=1,"Hired","Rejected")</f>
        <v>Hired</v>
      </c>
      <c r="P1482" s="6">
        <v>1</v>
      </c>
    </row>
    <row r="1483" spans="1:16" x14ac:dyDescent="0.25">
      <c r="A1483" s="4" t="str">
        <f t="shared" si="23"/>
        <v>C1482</v>
      </c>
      <c r="B1483" s="4">
        <v>46</v>
      </c>
      <c r="C1483" s="5" t="str">
        <f>IF(recruitment_data3[[#This Row],[Gender]]=1,"Female","Male")</f>
        <v>Female</v>
      </c>
      <c r="D1483" s="5">
        <v>1</v>
      </c>
      <c r="E1483" s="5" t="str">
        <f>_xlfn.SWITCH(recruitment_data3[[#This Row],[EducationLevel]], 1,"Bachelor Type 1", 2,"Bachelor Type 2", 3,"Masters", 4,"PhD")</f>
        <v>Bachelor Type 2</v>
      </c>
      <c r="F1483" s="5">
        <v>2</v>
      </c>
      <c r="G1483" s="5">
        <v>13</v>
      </c>
      <c r="H1483" s="5">
        <v>4</v>
      </c>
      <c r="I1483" s="5">
        <v>33.497604908294456</v>
      </c>
      <c r="J1483" s="5">
        <v>38</v>
      </c>
      <c r="K1483" s="5">
        <v>52</v>
      </c>
      <c r="L1483" s="5">
        <v>6</v>
      </c>
      <c r="M1483" s="5" t="str">
        <f>_xlfn.SWITCH(recruitment_data3[[#This Row],[RecruitmentStrategy]], 1,"Aggressive", 2,"Moderate", 3,"Conservative")</f>
        <v>Moderate</v>
      </c>
      <c r="N1483" s="5">
        <v>2</v>
      </c>
      <c r="O1483" s="5" t="str">
        <f>IF(recruitment_data3[[#This Row],[HiringDecision]]=1,"Hired","Rejected")</f>
        <v>Hired</v>
      </c>
      <c r="P1483" s="6">
        <v>1</v>
      </c>
    </row>
    <row r="1484" spans="1:16" x14ac:dyDescent="0.25">
      <c r="A1484" s="4" t="str">
        <f t="shared" si="23"/>
        <v>C1483</v>
      </c>
      <c r="B1484" s="4">
        <v>29</v>
      </c>
      <c r="C1484" s="5" t="str">
        <f>IF(recruitment_data3[[#This Row],[Gender]]=1,"Female","Male")</f>
        <v>Male</v>
      </c>
      <c r="D1484" s="5">
        <v>0</v>
      </c>
      <c r="E1484" s="5" t="str">
        <f>_xlfn.SWITCH(recruitment_data3[[#This Row],[EducationLevel]], 1,"Bachelor Type 1", 2,"Bachelor Type 2", 3,"Masters", 4,"PhD")</f>
        <v>Bachelor Type 1</v>
      </c>
      <c r="F1484" s="5">
        <v>1</v>
      </c>
      <c r="G1484" s="5">
        <v>8</v>
      </c>
      <c r="H1484" s="5">
        <v>2</v>
      </c>
      <c r="I1484" s="5">
        <v>38.688410102252618</v>
      </c>
      <c r="J1484" s="5">
        <v>89</v>
      </c>
      <c r="K1484" s="5">
        <v>28</v>
      </c>
      <c r="L1484" s="5">
        <v>67</v>
      </c>
      <c r="M1484" s="5" t="str">
        <f>_xlfn.SWITCH(recruitment_data3[[#This Row],[RecruitmentStrategy]], 1,"Aggressive", 2,"Moderate", 3,"Conservative")</f>
        <v>Moderate</v>
      </c>
      <c r="N1484" s="5">
        <v>2</v>
      </c>
      <c r="O1484" s="5" t="str">
        <f>IF(recruitment_data3[[#This Row],[HiringDecision]]=1,"Hired","Rejected")</f>
        <v>Hired</v>
      </c>
      <c r="P1484" s="6">
        <v>1</v>
      </c>
    </row>
    <row r="1485" spans="1:16" x14ac:dyDescent="0.25">
      <c r="A1485" s="4" t="str">
        <f t="shared" si="23"/>
        <v>C1484</v>
      </c>
      <c r="B1485" s="4">
        <v>20</v>
      </c>
      <c r="C1485" s="5" t="str">
        <f>IF(recruitment_data3[[#This Row],[Gender]]=1,"Female","Male")</f>
        <v>Male</v>
      </c>
      <c r="D1485" s="5">
        <v>0</v>
      </c>
      <c r="E1485" s="5" t="str">
        <f>_xlfn.SWITCH(recruitment_data3[[#This Row],[EducationLevel]], 1,"Bachelor Type 1", 2,"Bachelor Type 2", 3,"Masters", 4,"PhD")</f>
        <v>Bachelor Type 1</v>
      </c>
      <c r="F1485" s="5">
        <v>1</v>
      </c>
      <c r="G1485" s="5">
        <v>4</v>
      </c>
      <c r="H1485" s="5">
        <v>2</v>
      </c>
      <c r="I1485" s="5">
        <v>32.100459440449029</v>
      </c>
      <c r="J1485" s="5">
        <v>67</v>
      </c>
      <c r="K1485" s="5">
        <v>69</v>
      </c>
      <c r="L1485" s="5">
        <v>36</v>
      </c>
      <c r="M1485" s="5" t="str">
        <f>_xlfn.SWITCH(recruitment_data3[[#This Row],[RecruitmentStrategy]], 1,"Aggressive", 2,"Moderate", 3,"Conservative")</f>
        <v>Conservative</v>
      </c>
      <c r="N1485" s="5">
        <v>3</v>
      </c>
      <c r="O1485" s="5" t="str">
        <f>IF(recruitment_data3[[#This Row],[HiringDecision]]=1,"Hired","Rejected")</f>
        <v>Hired</v>
      </c>
      <c r="P1485" s="6">
        <v>1</v>
      </c>
    </row>
    <row r="1486" spans="1:16" x14ac:dyDescent="0.25">
      <c r="A1486" s="4" t="str">
        <f t="shared" si="23"/>
        <v>C1485</v>
      </c>
      <c r="B1486" s="4">
        <v>41</v>
      </c>
      <c r="C1486" s="5" t="str">
        <f>IF(recruitment_data3[[#This Row],[Gender]]=1,"Female","Male")</f>
        <v>Female</v>
      </c>
      <c r="D1486" s="5">
        <v>1</v>
      </c>
      <c r="E1486" s="5" t="str">
        <f>_xlfn.SWITCH(recruitment_data3[[#This Row],[EducationLevel]], 1,"Bachelor Type 1", 2,"Bachelor Type 2", 3,"Masters", 4,"PhD")</f>
        <v>Bachelor Type 1</v>
      </c>
      <c r="F1486" s="5">
        <v>1</v>
      </c>
      <c r="G1486" s="5">
        <v>7</v>
      </c>
      <c r="H1486" s="5">
        <v>1</v>
      </c>
      <c r="I1486" s="5">
        <v>28.003966096109789</v>
      </c>
      <c r="J1486" s="5">
        <v>54</v>
      </c>
      <c r="K1486" s="5">
        <v>58</v>
      </c>
      <c r="L1486" s="5">
        <v>37</v>
      </c>
      <c r="M1486" s="5" t="str">
        <f>_xlfn.SWITCH(recruitment_data3[[#This Row],[RecruitmentStrategy]], 1,"Aggressive", 2,"Moderate", 3,"Conservative")</f>
        <v>Moderate</v>
      </c>
      <c r="N1486" s="5">
        <v>2</v>
      </c>
      <c r="O1486" s="5" t="str">
        <f>IF(recruitment_data3[[#This Row],[HiringDecision]]=1,"Hired","Rejected")</f>
        <v>Rejected</v>
      </c>
      <c r="P1486" s="6">
        <v>0</v>
      </c>
    </row>
    <row r="1487" spans="1:16" x14ac:dyDescent="0.25">
      <c r="A1487" s="4" t="str">
        <f t="shared" si="23"/>
        <v>C1486</v>
      </c>
      <c r="B1487" s="4">
        <v>25</v>
      </c>
      <c r="C1487" s="5" t="str">
        <f>IF(recruitment_data3[[#This Row],[Gender]]=1,"Female","Male")</f>
        <v>Male</v>
      </c>
      <c r="D1487" s="5">
        <v>0</v>
      </c>
      <c r="E1487" s="5" t="str">
        <f>_xlfn.SWITCH(recruitment_data3[[#This Row],[EducationLevel]], 1,"Bachelor Type 1", 2,"Bachelor Type 2", 3,"Masters", 4,"PhD")</f>
        <v>Bachelor Type 2</v>
      </c>
      <c r="F1487" s="5">
        <v>2</v>
      </c>
      <c r="G1487" s="5">
        <v>8</v>
      </c>
      <c r="H1487" s="5">
        <v>5</v>
      </c>
      <c r="I1487" s="5">
        <v>38.480714219388673</v>
      </c>
      <c r="J1487" s="5">
        <v>44</v>
      </c>
      <c r="K1487" s="5">
        <v>88</v>
      </c>
      <c r="L1487" s="5">
        <v>95</v>
      </c>
      <c r="M1487" s="5" t="str">
        <f>_xlfn.SWITCH(recruitment_data3[[#This Row],[RecruitmentStrategy]], 1,"Aggressive", 2,"Moderate", 3,"Conservative")</f>
        <v>Moderate</v>
      </c>
      <c r="N1487" s="5">
        <v>2</v>
      </c>
      <c r="O1487" s="5" t="str">
        <f>IF(recruitment_data3[[#This Row],[HiringDecision]]=1,"Hired","Rejected")</f>
        <v>Rejected</v>
      </c>
      <c r="P1487" s="6">
        <v>0</v>
      </c>
    </row>
    <row r="1488" spans="1:16" x14ac:dyDescent="0.25">
      <c r="A1488" s="4" t="str">
        <f t="shared" si="23"/>
        <v>C1487</v>
      </c>
      <c r="B1488" s="4">
        <v>32</v>
      </c>
      <c r="C1488" s="5" t="str">
        <f>IF(recruitment_data3[[#This Row],[Gender]]=1,"Female","Male")</f>
        <v>Male</v>
      </c>
      <c r="D1488" s="5">
        <v>0</v>
      </c>
      <c r="E1488" s="5" t="str">
        <f>_xlfn.SWITCH(recruitment_data3[[#This Row],[EducationLevel]], 1,"Bachelor Type 1", 2,"Bachelor Type 2", 3,"Masters", 4,"PhD")</f>
        <v>Bachelor Type 1</v>
      </c>
      <c r="F1488" s="5">
        <v>1</v>
      </c>
      <c r="G1488" s="5">
        <v>9</v>
      </c>
      <c r="H1488" s="5">
        <v>1</v>
      </c>
      <c r="I1488" s="5">
        <v>37.378151771610035</v>
      </c>
      <c r="J1488" s="5">
        <v>75</v>
      </c>
      <c r="K1488" s="5">
        <v>63</v>
      </c>
      <c r="L1488" s="5">
        <v>10</v>
      </c>
      <c r="M1488" s="5" t="str">
        <f>_xlfn.SWITCH(recruitment_data3[[#This Row],[RecruitmentStrategy]], 1,"Aggressive", 2,"Moderate", 3,"Conservative")</f>
        <v>Aggressive</v>
      </c>
      <c r="N1488" s="5">
        <v>1</v>
      </c>
      <c r="O1488" s="5" t="str">
        <f>IF(recruitment_data3[[#This Row],[HiringDecision]]=1,"Hired","Rejected")</f>
        <v>Rejected</v>
      </c>
      <c r="P1488" s="6">
        <v>0</v>
      </c>
    </row>
    <row r="1489" spans="1:16" x14ac:dyDescent="0.25">
      <c r="A1489" s="4" t="str">
        <f t="shared" si="23"/>
        <v>C1488</v>
      </c>
      <c r="B1489" s="4">
        <v>50</v>
      </c>
      <c r="C1489" s="5" t="str">
        <f>IF(recruitment_data3[[#This Row],[Gender]]=1,"Female","Male")</f>
        <v>Male</v>
      </c>
      <c r="D1489" s="5">
        <v>0</v>
      </c>
      <c r="E1489" s="5" t="str">
        <f>_xlfn.SWITCH(recruitment_data3[[#This Row],[EducationLevel]], 1,"Bachelor Type 1", 2,"Bachelor Type 2", 3,"Masters", 4,"PhD")</f>
        <v>Bachelor Type 2</v>
      </c>
      <c r="F1489" s="5">
        <v>2</v>
      </c>
      <c r="G1489" s="5">
        <v>4</v>
      </c>
      <c r="H1489" s="5">
        <v>4</v>
      </c>
      <c r="I1489" s="5">
        <v>32.493620009158946</v>
      </c>
      <c r="J1489" s="5">
        <v>0</v>
      </c>
      <c r="K1489" s="5">
        <v>23</v>
      </c>
      <c r="L1489" s="5">
        <v>0</v>
      </c>
      <c r="M1489" s="5" t="str">
        <f>_xlfn.SWITCH(recruitment_data3[[#This Row],[RecruitmentStrategy]], 1,"Aggressive", 2,"Moderate", 3,"Conservative")</f>
        <v>Aggressive</v>
      </c>
      <c r="N1489" s="5">
        <v>1</v>
      </c>
      <c r="O1489" s="5" t="str">
        <f>IF(recruitment_data3[[#This Row],[HiringDecision]]=1,"Hired","Rejected")</f>
        <v>Hired</v>
      </c>
      <c r="P1489" s="6">
        <v>1</v>
      </c>
    </row>
    <row r="1490" spans="1:16" x14ac:dyDescent="0.25">
      <c r="A1490" s="4" t="str">
        <f t="shared" si="23"/>
        <v>C1489</v>
      </c>
      <c r="B1490" s="4">
        <v>34</v>
      </c>
      <c r="C1490" s="5" t="str">
        <f>IF(recruitment_data3[[#This Row],[Gender]]=1,"Female","Male")</f>
        <v>Female</v>
      </c>
      <c r="D1490" s="5">
        <v>1</v>
      </c>
      <c r="E1490" s="5" t="str">
        <f>_xlfn.SWITCH(recruitment_data3[[#This Row],[EducationLevel]], 1,"Bachelor Type 1", 2,"Bachelor Type 2", 3,"Masters", 4,"PhD")</f>
        <v>PhD</v>
      </c>
      <c r="F1490" s="5">
        <v>4</v>
      </c>
      <c r="G1490" s="5">
        <v>5</v>
      </c>
      <c r="H1490" s="5">
        <v>2</v>
      </c>
      <c r="I1490" s="5">
        <v>18.98947066909648</v>
      </c>
      <c r="J1490" s="5">
        <v>20</v>
      </c>
      <c r="K1490" s="5">
        <v>88</v>
      </c>
      <c r="L1490" s="5">
        <v>24</v>
      </c>
      <c r="M1490" s="5" t="str">
        <f>_xlfn.SWITCH(recruitment_data3[[#This Row],[RecruitmentStrategy]], 1,"Aggressive", 2,"Moderate", 3,"Conservative")</f>
        <v>Moderate</v>
      </c>
      <c r="N1490" s="5">
        <v>2</v>
      </c>
      <c r="O1490" s="5" t="str">
        <f>IF(recruitment_data3[[#This Row],[HiringDecision]]=1,"Hired","Rejected")</f>
        <v>Hired</v>
      </c>
      <c r="P1490" s="6">
        <v>1</v>
      </c>
    </row>
    <row r="1491" spans="1:16" x14ac:dyDescent="0.25">
      <c r="A1491" s="4" t="str">
        <f t="shared" si="23"/>
        <v>C1490</v>
      </c>
      <c r="B1491" s="4">
        <v>23</v>
      </c>
      <c r="C1491" s="5" t="str">
        <f>IF(recruitment_data3[[#This Row],[Gender]]=1,"Female","Male")</f>
        <v>Male</v>
      </c>
      <c r="D1491" s="5">
        <v>0</v>
      </c>
      <c r="E1491" s="5" t="str">
        <f>_xlfn.SWITCH(recruitment_data3[[#This Row],[EducationLevel]], 1,"Bachelor Type 1", 2,"Bachelor Type 2", 3,"Masters", 4,"PhD")</f>
        <v>Bachelor Type 2</v>
      </c>
      <c r="F1491" s="5">
        <v>2</v>
      </c>
      <c r="G1491" s="5">
        <v>0</v>
      </c>
      <c r="H1491" s="5">
        <v>4</v>
      </c>
      <c r="I1491" s="5">
        <v>21.290604610013581</v>
      </c>
      <c r="J1491" s="5">
        <v>82</v>
      </c>
      <c r="K1491" s="5">
        <v>15</v>
      </c>
      <c r="L1491" s="5">
        <v>41</v>
      </c>
      <c r="M1491" s="5" t="str">
        <f>_xlfn.SWITCH(recruitment_data3[[#This Row],[RecruitmentStrategy]], 1,"Aggressive", 2,"Moderate", 3,"Conservative")</f>
        <v>Moderate</v>
      </c>
      <c r="N1491" s="5">
        <v>2</v>
      </c>
      <c r="O1491" s="5" t="str">
        <f>IF(recruitment_data3[[#This Row],[HiringDecision]]=1,"Hired","Rejected")</f>
        <v>Hired</v>
      </c>
      <c r="P1491" s="6">
        <v>1</v>
      </c>
    </row>
    <row r="1492" spans="1:16" x14ac:dyDescent="0.25">
      <c r="A1492" s="4" t="str">
        <f t="shared" si="23"/>
        <v>C1491</v>
      </c>
      <c r="B1492" s="4">
        <v>32</v>
      </c>
      <c r="C1492" s="5" t="str">
        <f>IF(recruitment_data3[[#This Row],[Gender]]=1,"Female","Male")</f>
        <v>Male</v>
      </c>
      <c r="D1492" s="5">
        <v>0</v>
      </c>
      <c r="E1492" s="5" t="str">
        <f>_xlfn.SWITCH(recruitment_data3[[#This Row],[EducationLevel]], 1,"Bachelor Type 1", 2,"Bachelor Type 2", 3,"Masters", 4,"PhD")</f>
        <v>Masters</v>
      </c>
      <c r="F1492" s="5">
        <v>3</v>
      </c>
      <c r="G1492" s="5">
        <v>10</v>
      </c>
      <c r="H1492" s="5">
        <v>4</v>
      </c>
      <c r="I1492" s="5">
        <v>49.52192744420487</v>
      </c>
      <c r="J1492" s="5">
        <v>20</v>
      </c>
      <c r="K1492" s="5">
        <v>51</v>
      </c>
      <c r="L1492" s="5">
        <v>51</v>
      </c>
      <c r="M1492" s="5" t="str">
        <f>_xlfn.SWITCH(recruitment_data3[[#This Row],[RecruitmentStrategy]], 1,"Aggressive", 2,"Moderate", 3,"Conservative")</f>
        <v>Moderate</v>
      </c>
      <c r="N1492" s="5">
        <v>2</v>
      </c>
      <c r="O1492" s="5" t="str">
        <f>IF(recruitment_data3[[#This Row],[HiringDecision]]=1,"Hired","Rejected")</f>
        <v>Rejected</v>
      </c>
      <c r="P1492" s="6">
        <v>0</v>
      </c>
    </row>
    <row r="1493" spans="1:16" x14ac:dyDescent="0.25">
      <c r="A1493" s="4" t="str">
        <f t="shared" si="23"/>
        <v>C1492</v>
      </c>
      <c r="B1493" s="4">
        <v>43</v>
      </c>
      <c r="C1493" s="5" t="str">
        <f>IF(recruitment_data3[[#This Row],[Gender]]=1,"Female","Male")</f>
        <v>Female</v>
      </c>
      <c r="D1493" s="5">
        <v>1</v>
      </c>
      <c r="E1493" s="5" t="str">
        <f>_xlfn.SWITCH(recruitment_data3[[#This Row],[EducationLevel]], 1,"Bachelor Type 1", 2,"Bachelor Type 2", 3,"Masters", 4,"PhD")</f>
        <v>Bachelor Type 2</v>
      </c>
      <c r="F1493" s="5">
        <v>2</v>
      </c>
      <c r="G1493" s="5">
        <v>15</v>
      </c>
      <c r="H1493" s="5">
        <v>3</v>
      </c>
      <c r="I1493" s="5">
        <v>6.6192966145762915</v>
      </c>
      <c r="J1493" s="5">
        <v>51</v>
      </c>
      <c r="K1493" s="5">
        <v>79</v>
      </c>
      <c r="L1493" s="5">
        <v>23</v>
      </c>
      <c r="M1493" s="5" t="str">
        <f>_xlfn.SWITCH(recruitment_data3[[#This Row],[RecruitmentStrategy]], 1,"Aggressive", 2,"Moderate", 3,"Conservative")</f>
        <v>Moderate</v>
      </c>
      <c r="N1493" s="5">
        <v>2</v>
      </c>
      <c r="O1493" s="5" t="str">
        <f>IF(recruitment_data3[[#This Row],[HiringDecision]]=1,"Hired","Rejected")</f>
        <v>Rejected</v>
      </c>
      <c r="P1493" s="6">
        <v>0</v>
      </c>
    </row>
    <row r="1494" spans="1:16" x14ac:dyDescent="0.25">
      <c r="A1494" s="4" t="str">
        <f t="shared" si="23"/>
        <v>C1493</v>
      </c>
      <c r="B1494" s="4">
        <v>39</v>
      </c>
      <c r="C1494" s="5" t="str">
        <f>IF(recruitment_data3[[#This Row],[Gender]]=1,"Female","Male")</f>
        <v>Male</v>
      </c>
      <c r="D1494" s="5">
        <v>0</v>
      </c>
      <c r="E1494" s="5" t="str">
        <f>_xlfn.SWITCH(recruitment_data3[[#This Row],[EducationLevel]], 1,"Bachelor Type 1", 2,"Bachelor Type 2", 3,"Masters", 4,"PhD")</f>
        <v>Bachelor Type 2</v>
      </c>
      <c r="F1494" s="5">
        <v>2</v>
      </c>
      <c r="G1494" s="5">
        <v>11</v>
      </c>
      <c r="H1494" s="5">
        <v>3</v>
      </c>
      <c r="I1494" s="5">
        <v>14.425245862641766</v>
      </c>
      <c r="J1494" s="5">
        <v>81</v>
      </c>
      <c r="K1494" s="5">
        <v>5</v>
      </c>
      <c r="L1494" s="5">
        <v>52</v>
      </c>
      <c r="M1494" s="5" t="str">
        <f>_xlfn.SWITCH(recruitment_data3[[#This Row],[RecruitmentStrategy]], 1,"Aggressive", 2,"Moderate", 3,"Conservative")</f>
        <v>Moderate</v>
      </c>
      <c r="N1494" s="5">
        <v>2</v>
      </c>
      <c r="O1494" s="5" t="str">
        <f>IF(recruitment_data3[[#This Row],[HiringDecision]]=1,"Hired","Rejected")</f>
        <v>Rejected</v>
      </c>
      <c r="P1494" s="6">
        <v>0</v>
      </c>
    </row>
    <row r="1495" spans="1:16" x14ac:dyDescent="0.25">
      <c r="A1495" s="4" t="str">
        <f t="shared" si="23"/>
        <v>C1494</v>
      </c>
      <c r="B1495" s="4">
        <v>43</v>
      </c>
      <c r="C1495" s="5" t="str">
        <f>IF(recruitment_data3[[#This Row],[Gender]]=1,"Female","Male")</f>
        <v>Female</v>
      </c>
      <c r="D1495" s="5">
        <v>1</v>
      </c>
      <c r="E1495" s="5" t="str">
        <f>_xlfn.SWITCH(recruitment_data3[[#This Row],[EducationLevel]], 1,"Bachelor Type 1", 2,"Bachelor Type 2", 3,"Masters", 4,"PhD")</f>
        <v>Bachelor Type 2</v>
      </c>
      <c r="F1495" s="5">
        <v>2</v>
      </c>
      <c r="G1495" s="5">
        <v>14</v>
      </c>
      <c r="H1495" s="5">
        <v>4</v>
      </c>
      <c r="I1495" s="5">
        <v>25.620087960216786</v>
      </c>
      <c r="J1495" s="5">
        <v>42</v>
      </c>
      <c r="K1495" s="5">
        <v>36</v>
      </c>
      <c r="L1495" s="5">
        <v>55</v>
      </c>
      <c r="M1495" s="5" t="str">
        <f>_xlfn.SWITCH(recruitment_data3[[#This Row],[RecruitmentStrategy]], 1,"Aggressive", 2,"Moderate", 3,"Conservative")</f>
        <v>Aggressive</v>
      </c>
      <c r="N1495" s="5">
        <v>1</v>
      </c>
      <c r="O1495" s="5" t="str">
        <f>IF(recruitment_data3[[#This Row],[HiringDecision]]=1,"Hired","Rejected")</f>
        <v>Rejected</v>
      </c>
      <c r="P1495" s="6">
        <v>0</v>
      </c>
    </row>
    <row r="1496" spans="1:16" x14ac:dyDescent="0.25">
      <c r="A1496" s="4" t="str">
        <f t="shared" si="23"/>
        <v>C1495</v>
      </c>
      <c r="B1496" s="4">
        <v>34</v>
      </c>
      <c r="C1496" s="5" t="str">
        <f>IF(recruitment_data3[[#This Row],[Gender]]=1,"Female","Male")</f>
        <v>Female</v>
      </c>
      <c r="D1496" s="5">
        <v>1</v>
      </c>
      <c r="E1496" s="5" t="str">
        <f>_xlfn.SWITCH(recruitment_data3[[#This Row],[EducationLevel]], 1,"Bachelor Type 1", 2,"Bachelor Type 2", 3,"Masters", 4,"PhD")</f>
        <v>Bachelor Type 1</v>
      </c>
      <c r="F1496" s="5">
        <v>1</v>
      </c>
      <c r="G1496" s="5">
        <v>6</v>
      </c>
      <c r="H1496" s="5">
        <v>2</v>
      </c>
      <c r="I1496" s="5">
        <v>42.836484307189295</v>
      </c>
      <c r="J1496" s="5">
        <v>51</v>
      </c>
      <c r="K1496" s="5">
        <v>84</v>
      </c>
      <c r="L1496" s="5">
        <v>62</v>
      </c>
      <c r="M1496" s="5" t="str">
        <f>_xlfn.SWITCH(recruitment_data3[[#This Row],[RecruitmentStrategy]], 1,"Aggressive", 2,"Moderate", 3,"Conservative")</f>
        <v>Aggressive</v>
      </c>
      <c r="N1496" s="5">
        <v>1</v>
      </c>
      <c r="O1496" s="5" t="str">
        <f>IF(recruitment_data3[[#This Row],[HiringDecision]]=1,"Hired","Rejected")</f>
        <v>Rejected</v>
      </c>
      <c r="P1496" s="6">
        <v>0</v>
      </c>
    </row>
    <row r="1497" spans="1:16" x14ac:dyDescent="0.25">
      <c r="A1497" s="4" t="str">
        <f t="shared" si="23"/>
        <v>C1496</v>
      </c>
      <c r="B1497" s="4">
        <v>48</v>
      </c>
      <c r="C1497" s="5" t="str">
        <f>IF(recruitment_data3[[#This Row],[Gender]]=1,"Female","Male")</f>
        <v>Male</v>
      </c>
      <c r="D1497" s="5">
        <v>0</v>
      </c>
      <c r="E1497" s="5" t="str">
        <f>_xlfn.SWITCH(recruitment_data3[[#This Row],[EducationLevel]], 1,"Bachelor Type 1", 2,"Bachelor Type 2", 3,"Masters", 4,"PhD")</f>
        <v>Bachelor Type 2</v>
      </c>
      <c r="F1497" s="5">
        <v>2</v>
      </c>
      <c r="G1497" s="5">
        <v>3</v>
      </c>
      <c r="H1497" s="5">
        <v>4</v>
      </c>
      <c r="I1497" s="5">
        <v>9.1837831864863926</v>
      </c>
      <c r="J1497" s="5">
        <v>66</v>
      </c>
      <c r="K1497" s="5">
        <v>3</v>
      </c>
      <c r="L1497" s="5">
        <v>80</v>
      </c>
      <c r="M1497" s="5" t="str">
        <f>_xlfn.SWITCH(recruitment_data3[[#This Row],[RecruitmentStrategy]], 1,"Aggressive", 2,"Moderate", 3,"Conservative")</f>
        <v>Conservative</v>
      </c>
      <c r="N1497" s="5">
        <v>3</v>
      </c>
      <c r="O1497" s="5" t="str">
        <f>IF(recruitment_data3[[#This Row],[HiringDecision]]=1,"Hired","Rejected")</f>
        <v>Hired</v>
      </c>
      <c r="P1497" s="6">
        <v>1</v>
      </c>
    </row>
    <row r="1498" spans="1:16" x14ac:dyDescent="0.25">
      <c r="A1498" s="4" t="str">
        <f t="shared" si="23"/>
        <v>C1497</v>
      </c>
      <c r="B1498" s="4">
        <v>27</v>
      </c>
      <c r="C1498" s="5" t="str">
        <f>IF(recruitment_data3[[#This Row],[Gender]]=1,"Female","Male")</f>
        <v>Female</v>
      </c>
      <c r="D1498" s="5">
        <v>1</v>
      </c>
      <c r="E1498" s="5" t="str">
        <f>_xlfn.SWITCH(recruitment_data3[[#This Row],[EducationLevel]], 1,"Bachelor Type 1", 2,"Bachelor Type 2", 3,"Masters", 4,"PhD")</f>
        <v>Bachelor Type 2</v>
      </c>
      <c r="F1498" s="5">
        <v>2</v>
      </c>
      <c r="G1498" s="5">
        <v>10</v>
      </c>
      <c r="H1498" s="5">
        <v>3</v>
      </c>
      <c r="I1498" s="5">
        <v>14.847730906230494</v>
      </c>
      <c r="J1498" s="5">
        <v>43</v>
      </c>
      <c r="K1498" s="5">
        <v>97</v>
      </c>
      <c r="L1498" s="5">
        <v>7</v>
      </c>
      <c r="M1498" s="5" t="str">
        <f>_xlfn.SWITCH(recruitment_data3[[#This Row],[RecruitmentStrategy]], 1,"Aggressive", 2,"Moderate", 3,"Conservative")</f>
        <v>Moderate</v>
      </c>
      <c r="N1498" s="5">
        <v>2</v>
      </c>
      <c r="O1498" s="5" t="str">
        <f>IF(recruitment_data3[[#This Row],[HiringDecision]]=1,"Hired","Rejected")</f>
        <v>Rejected</v>
      </c>
      <c r="P1498" s="6">
        <v>0</v>
      </c>
    </row>
    <row r="1499" spans="1:16" x14ac:dyDescent="0.25">
      <c r="A1499" s="4" t="str">
        <f t="shared" si="23"/>
        <v>C1498</v>
      </c>
      <c r="B1499" s="4">
        <v>24</v>
      </c>
      <c r="C1499" s="5" t="str">
        <f>IF(recruitment_data3[[#This Row],[Gender]]=1,"Female","Male")</f>
        <v>Female</v>
      </c>
      <c r="D1499" s="5">
        <v>1</v>
      </c>
      <c r="E1499" s="5" t="str">
        <f>_xlfn.SWITCH(recruitment_data3[[#This Row],[EducationLevel]], 1,"Bachelor Type 1", 2,"Bachelor Type 2", 3,"Masters", 4,"PhD")</f>
        <v>Bachelor Type 1</v>
      </c>
      <c r="F1499" s="5">
        <v>1</v>
      </c>
      <c r="G1499" s="5">
        <v>1</v>
      </c>
      <c r="H1499" s="5">
        <v>2</v>
      </c>
      <c r="I1499" s="5">
        <v>4.2899108897619485</v>
      </c>
      <c r="J1499" s="5">
        <v>31</v>
      </c>
      <c r="K1499" s="5">
        <v>91</v>
      </c>
      <c r="L1499" s="5">
        <v>58</v>
      </c>
      <c r="M1499" s="5" t="str">
        <f>_xlfn.SWITCH(recruitment_data3[[#This Row],[RecruitmentStrategy]], 1,"Aggressive", 2,"Moderate", 3,"Conservative")</f>
        <v>Aggressive</v>
      </c>
      <c r="N1499" s="5">
        <v>1</v>
      </c>
      <c r="O1499" s="5" t="str">
        <f>IF(recruitment_data3[[#This Row],[HiringDecision]]=1,"Hired","Rejected")</f>
        <v>Hired</v>
      </c>
      <c r="P1499" s="6">
        <v>1</v>
      </c>
    </row>
    <row r="1500" spans="1:16" x14ac:dyDescent="0.25">
      <c r="A1500" s="4" t="str">
        <f t="shared" si="23"/>
        <v>C1499</v>
      </c>
      <c r="B1500" s="4">
        <v>48</v>
      </c>
      <c r="C1500" s="5" t="str">
        <f>IF(recruitment_data3[[#This Row],[Gender]]=1,"Female","Male")</f>
        <v>Male</v>
      </c>
      <c r="D1500" s="5">
        <v>0</v>
      </c>
      <c r="E1500" s="5" t="str">
        <f>_xlfn.SWITCH(recruitment_data3[[#This Row],[EducationLevel]], 1,"Bachelor Type 1", 2,"Bachelor Type 2", 3,"Masters", 4,"PhD")</f>
        <v>Bachelor Type 2</v>
      </c>
      <c r="F1500" s="5">
        <v>2</v>
      </c>
      <c r="G1500" s="5">
        <v>4</v>
      </c>
      <c r="H1500" s="5">
        <v>4</v>
      </c>
      <c r="I1500" s="5">
        <v>36.299263302540922</v>
      </c>
      <c r="J1500" s="5">
        <v>9</v>
      </c>
      <c r="K1500" s="5">
        <v>37</v>
      </c>
      <c r="L1500" s="5">
        <v>44</v>
      </c>
      <c r="M1500" s="5" t="str">
        <f>_xlfn.SWITCH(recruitment_data3[[#This Row],[RecruitmentStrategy]], 1,"Aggressive", 2,"Moderate", 3,"Conservative")</f>
        <v>Moderate</v>
      </c>
      <c r="N1500" s="5">
        <v>2</v>
      </c>
      <c r="O1500" s="5" t="str">
        <f>IF(recruitment_data3[[#This Row],[HiringDecision]]=1,"Hired","Rejected")</f>
        <v>Hired</v>
      </c>
      <c r="P1500" s="6">
        <v>1</v>
      </c>
    </row>
    <row r="1501" spans="1:16" x14ac:dyDescent="0.25">
      <c r="A1501" s="7" t="str">
        <f t="shared" si="23"/>
        <v>C1500</v>
      </c>
      <c r="B1501" s="7">
        <v>34</v>
      </c>
      <c r="C1501" s="8" t="str">
        <f>IF(recruitment_data3[[#This Row],[Gender]]=1,"Female","Male")</f>
        <v>Female</v>
      </c>
      <c r="D1501" s="8">
        <v>1</v>
      </c>
      <c r="E1501" s="8" t="str">
        <f>_xlfn.SWITCH(recruitment_data3[[#This Row],[EducationLevel]], 1,"Bachelor Type 1", 2,"Bachelor Type 2", 3,"Masters", 4,"PhD")</f>
        <v>Bachelor Type 2</v>
      </c>
      <c r="F1501" s="8">
        <v>2</v>
      </c>
      <c r="G1501" s="8">
        <v>11</v>
      </c>
      <c r="H1501" s="8">
        <v>5</v>
      </c>
      <c r="I1501" s="8">
        <v>12.910471773780806</v>
      </c>
      <c r="J1501" s="8">
        <v>63</v>
      </c>
      <c r="K1501" s="8">
        <v>40</v>
      </c>
      <c r="L1501" s="8">
        <v>26</v>
      </c>
      <c r="M1501" s="8" t="str">
        <f>_xlfn.SWITCH(recruitment_data3[[#This Row],[RecruitmentStrategy]], 1,"Aggressive", 2,"Moderate", 3,"Conservative")</f>
        <v>Moderate</v>
      </c>
      <c r="N1501" s="8">
        <v>2</v>
      </c>
      <c r="O1501" s="8" t="str">
        <f>IF(recruitment_data3[[#This Row],[HiringDecision]]=1,"Hired","Rejected")</f>
        <v>Hired</v>
      </c>
      <c r="P1501" s="9">
        <v>1</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9BCB8C-5998-400C-91EB-60E0431940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Metrics</vt:lpstr>
      <vt:lpstr>Candidate Analyzer</vt:lpstr>
      <vt:lpstr>Data_Model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Ilakkiya Raja</dc:creator>
  <cp:lastModifiedBy>Ilakkiya Raja</cp:lastModifiedBy>
  <dcterms:created xsi:type="dcterms:W3CDTF">2026-03-08T19:51:57Z</dcterms:created>
  <dcterms:modified xsi:type="dcterms:W3CDTF">2026-03-10T23:28:02Z</dcterms:modified>
</cp:coreProperties>
</file>